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updateLinks="always" codeName="Questa_cartella_di_lavoro" defaultThemeVersion="166925"/>
  <mc:AlternateContent xmlns:mc="http://schemas.openxmlformats.org/markup-compatibility/2006">
    <mc:Choice Requires="x15">
      <x15ac:absPath xmlns:x15ac="http://schemas.microsoft.com/office/spreadsheetml/2010/11/ac" url="https://clariter-my.sharepoint.com/personal/leonardo_diamanti_claritergroup_com/Documents/Desktop/Automation_silk/resources/"/>
    </mc:Choice>
  </mc:AlternateContent>
  <xr:revisionPtr revIDLastSave="1713" documentId="13_ncr:1_{FA8BFA35-A303-4874-A378-DCA9786DCD81}" xr6:coauthVersionLast="47" xr6:coauthVersionMax="47" xr10:uidLastSave="{BEBB67A3-65E5-4419-B236-2CA638C26FCB}"/>
  <bookViews>
    <workbookView xWindow="-28920" yWindow="-105" windowWidth="29040" windowHeight="15720" tabRatio="871" xr2:uid="{00000000-000D-0000-FFFF-FFFF00000000}"/>
  </bookViews>
  <sheets>
    <sheet name="prova" sheetId="33" r:id="rId1"/>
    <sheet name="Copertina" sheetId="7" r:id="rId2"/>
    <sheet name="Page Status_Summary" sheetId="1" r:id="rId3"/>
    <sheet name="Pivot" sheetId="24" r:id="rId4"/>
    <sheet name="Not Passed" sheetId="2" r:id="rId5"/>
    <sheet name="PDF Status_Summary" sheetId="10" r:id="rId6"/>
    <sheet name="PDF Issues" sheetId="11" r:id="rId7"/>
    <sheet name="PDF InLab Test" sheetId="15" r:id="rId8"/>
    <sheet name="Dati input" sheetId="4" r:id="rId9"/>
  </sheets>
  <definedNames>
    <definedName name="_xlcn.WorksheetConnection_001PortaleImmigrazioneTB_VTA.xlsxGrouped_Violations1" hidden="1">Grouped_Violations</definedName>
  </definedNames>
  <calcPr calcId="191028"/>
  <pivotCaches>
    <pivotCache cacheId="0"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rouped_Violations" name="Grouped_Violations" connection="WorksheetConnection_001 - PortaleImmigrazione - TB_VTA.xlsx!Grouped_Violatio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6" i="2" l="1"/>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110" i="2"/>
  <c r="AF111" i="2"/>
  <c r="AF112" i="2"/>
  <c r="AF113" i="2"/>
  <c r="AF114" i="2"/>
  <c r="AF115" i="2"/>
  <c r="AF116" i="2"/>
  <c r="AF117" i="2"/>
  <c r="AF118" i="2"/>
  <c r="AF119"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81" i="2"/>
  <c r="AF207" i="2"/>
  <c r="AF208" i="2"/>
  <c r="AF227" i="2"/>
  <c r="AF228" i="2"/>
  <c r="AF229" i="2"/>
  <c r="AF230" i="2"/>
  <c r="AF231" i="2"/>
  <c r="AF232" i="2"/>
  <c r="AF233" i="2"/>
  <c r="AF234" i="2"/>
  <c r="AF235" i="2"/>
  <c r="AF236" i="2"/>
  <c r="AF237" i="2"/>
  <c r="AF238" i="2"/>
  <c r="AF239" i="2"/>
  <c r="AF240" i="2"/>
  <c r="AF241" i="2"/>
  <c r="AF242" i="2"/>
  <c r="AF243" i="2"/>
  <c r="AF244" i="2"/>
  <c r="AF245" i="2"/>
  <c r="AF246" i="2"/>
  <c r="AF300" i="2"/>
  <c r="AF301" i="2"/>
  <c r="AF304" i="2"/>
  <c r="AF324" i="2"/>
  <c r="AF337"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221" i="2"/>
  <c r="AF20" i="2"/>
  <c r="AF216" i="2"/>
  <c r="AF250" i="2"/>
  <c r="AF17" i="2"/>
  <c r="AF102" i="2"/>
  <c r="AF120" i="2"/>
  <c r="AF123" i="2"/>
  <c r="AF8" i="2"/>
  <c r="AF53" i="2"/>
  <c r="AF5" i="2"/>
  <c r="AF89" i="2"/>
  <c r="AF91" i="2"/>
  <c r="AF101" i="2"/>
  <c r="AF29" i="2"/>
  <c r="AF200" i="2"/>
  <c r="AF198" i="2"/>
  <c r="AF31" i="2"/>
  <c r="AF194" i="2"/>
  <c r="AF173" i="2"/>
  <c r="AF30" i="2"/>
  <c r="AF183" i="2"/>
  <c r="AF22" i="2"/>
  <c r="AF174" i="2"/>
  <c r="AF182" i="2"/>
  <c r="AF177" i="2"/>
  <c r="AF185" i="2"/>
  <c r="AF320" i="2"/>
  <c r="AF319" i="2"/>
  <c r="AF317" i="2"/>
  <c r="AF315" i="2"/>
  <c r="AF311" i="2"/>
  <c r="AF310" i="2"/>
  <c r="AF308" i="2"/>
  <c r="AF307" i="2"/>
  <c r="AF305" i="2"/>
  <c r="AF294" i="2"/>
  <c r="AF298" i="2"/>
  <c r="AF293" i="2"/>
  <c r="AF295" i="2"/>
  <c r="AF290" i="2"/>
  <c r="AF281" i="2"/>
  <c r="AF280" i="2"/>
  <c r="AF287" i="2"/>
  <c r="AF279" i="2"/>
  <c r="AF276" i="2"/>
  <c r="AF267" i="2"/>
  <c r="AF273" i="2"/>
  <c r="AF272" i="2"/>
  <c r="AF265" i="2"/>
  <c r="AF269" i="2"/>
  <c r="AF137" i="2" l="1"/>
  <c r="AF345" i="2"/>
  <c r="AF327" i="2"/>
  <c r="AF369" i="2"/>
  <c r="AF127" i="2"/>
  <c r="AF333" i="2"/>
  <c r="AF372" i="2"/>
  <c r="AF343" i="2"/>
  <c r="AF349" i="2"/>
  <c r="AF357" i="2"/>
  <c r="AF342" i="2"/>
  <c r="AF360" i="2"/>
  <c r="AF361" i="2"/>
  <c r="AF375" i="2"/>
  <c r="AF209" i="2"/>
  <c r="AF211" i="2"/>
  <c r="AF97" i="2"/>
  <c r="AF205" i="2"/>
  <c r="AF256" i="2"/>
  <c r="AF373" i="2"/>
  <c r="AF261" i="2"/>
  <c r="AF96" i="2"/>
  <c r="AF374" i="2"/>
  <c r="AF364" i="2"/>
  <c r="AF106" i="2"/>
  <c r="AF109" i="2"/>
  <c r="AF282" i="2"/>
  <c r="AF283" i="2"/>
  <c r="AF248" i="2"/>
  <c r="AF249" i="2"/>
  <c r="AF41" i="2"/>
  <c r="AF88" i="2"/>
  <c r="AF87" i="2"/>
  <c r="AF340" i="2"/>
  <c r="AF339" i="2"/>
  <c r="AF125" i="2"/>
  <c r="AF124" i="2"/>
  <c r="AF180" i="2"/>
  <c r="AF292" i="2"/>
  <c r="AF291" i="2"/>
  <c r="AF175" i="2"/>
  <c r="AF278" i="2"/>
  <c r="AF172" i="2"/>
  <c r="AF359" i="2"/>
  <c r="AF328" i="2"/>
  <c r="AF275" i="2"/>
  <c r="AF39" i="2"/>
  <c r="AF268" i="2"/>
  <c r="AF355" i="2"/>
  <c r="AF326" i="2"/>
  <c r="AF131" i="2"/>
  <c r="AF19" i="2"/>
  <c r="AF376" i="2"/>
  <c r="AF352" i="2"/>
  <c r="AF325" i="2"/>
  <c r="AF266" i="2"/>
  <c r="AF218" i="2"/>
  <c r="AF129" i="2"/>
  <c r="AF16" i="2"/>
  <c r="AF13" i="2"/>
  <c r="AF33" i="2"/>
  <c r="AF12" i="2"/>
  <c r="AF371" i="2"/>
  <c r="AF354" i="2"/>
  <c r="AF338" i="2"/>
  <c r="AF314" i="2"/>
  <c r="AF285" i="2"/>
  <c r="AF259" i="2"/>
  <c r="AF206" i="2"/>
  <c r="AF122" i="2"/>
  <c r="AF108" i="2"/>
  <c r="AF86" i="2"/>
  <c r="AF28" i="2"/>
  <c r="AF11" i="2"/>
  <c r="AF312" i="2"/>
  <c r="AF139" i="2"/>
  <c r="AF107" i="2"/>
  <c r="AF85" i="2"/>
  <c r="AF27" i="2"/>
  <c r="AF9" i="2"/>
  <c r="AF38" i="2"/>
  <c r="AF37" i="2"/>
  <c r="AF288" i="2"/>
  <c r="AF367" i="2"/>
  <c r="AF351" i="2"/>
  <c r="AF336" i="2"/>
  <c r="AF255" i="2"/>
  <c r="AF225" i="2"/>
  <c r="AF204" i="2"/>
  <c r="AF136" i="2"/>
  <c r="AF105" i="2"/>
  <c r="AF84" i="2"/>
  <c r="AF26" i="2"/>
  <c r="AF7" i="2"/>
  <c r="AF366" i="2"/>
  <c r="AF350" i="2"/>
  <c r="AF335" i="2"/>
  <c r="AF254" i="2"/>
  <c r="AF223" i="2"/>
  <c r="AF187" i="2"/>
  <c r="AF135" i="2"/>
  <c r="AF103" i="2"/>
  <c r="AF83" i="2"/>
  <c r="AF25" i="2"/>
  <c r="AF6" i="2"/>
  <c r="AF217" i="2"/>
  <c r="AF15" i="2"/>
  <c r="AF134" i="2"/>
  <c r="AF100" i="2"/>
  <c r="AF24" i="2"/>
  <c r="AF4" i="2"/>
  <c r="AF184" i="2"/>
  <c r="AF363" i="2"/>
  <c r="AF348" i="2"/>
  <c r="AF331" i="2"/>
  <c r="AF303" i="2"/>
  <c r="AF277" i="2"/>
  <c r="AF247" i="2"/>
  <c r="AF220" i="2"/>
  <c r="AF133" i="2"/>
  <c r="AF99" i="2"/>
  <c r="AF23" i="2"/>
  <c r="AF3" i="2"/>
  <c r="AF484" i="2"/>
  <c r="AF222" i="2"/>
  <c r="AF362" i="2"/>
  <c r="AF347" i="2"/>
  <c r="AF330" i="2"/>
  <c r="AF302" i="2"/>
  <c r="AF219" i="2"/>
  <c r="AF132" i="2"/>
  <c r="AF98" i="2"/>
  <c r="AF40" i="2"/>
  <c r="AF21" i="2"/>
  <c r="AF2" i="2"/>
  <c r="AF253" i="2"/>
  <c r="AF193" i="2"/>
  <c r="AF169" i="2"/>
  <c r="AF121" i="2"/>
  <c r="AF49" i="2"/>
  <c r="AF252" i="2"/>
  <c r="AF323" i="2"/>
  <c r="AF299" i="2"/>
  <c r="AF263" i="2"/>
  <c r="AF251" i="2"/>
  <c r="AF215" i="2"/>
  <c r="AF203" i="2"/>
  <c r="AF191" i="2"/>
  <c r="AF179" i="2"/>
  <c r="AF167" i="2"/>
  <c r="AF95" i="2"/>
  <c r="AF47" i="2"/>
  <c r="AF35" i="2"/>
  <c r="AF370" i="2"/>
  <c r="AF358" i="2"/>
  <c r="AF346" i="2"/>
  <c r="AF334" i="2"/>
  <c r="AF322" i="2"/>
  <c r="AF286" i="2"/>
  <c r="AF274" i="2"/>
  <c r="AF262" i="2"/>
  <c r="AF226" i="2"/>
  <c r="AF214" i="2"/>
  <c r="AF202" i="2"/>
  <c r="AF190" i="2"/>
  <c r="AF178" i="2"/>
  <c r="AF130" i="2"/>
  <c r="AF94" i="2"/>
  <c r="AF82" i="2"/>
  <c r="AF46" i="2"/>
  <c r="AF34" i="2"/>
  <c r="AF10" i="2"/>
  <c r="AF171" i="2"/>
  <c r="AF170" i="2"/>
  <c r="AF14" i="2"/>
  <c r="AF313" i="2"/>
  <c r="AF289" i="2"/>
  <c r="AF264" i="2"/>
  <c r="AF192" i="2"/>
  <c r="AF168" i="2"/>
  <c r="AF48" i="2"/>
  <c r="AF321" i="2"/>
  <c r="AF309" i="2"/>
  <c r="AF297" i="2"/>
  <c r="AF213" i="2"/>
  <c r="AF201" i="2"/>
  <c r="AF189" i="2"/>
  <c r="AF93" i="2"/>
  <c r="AF45" i="2"/>
  <c r="AF368" i="2"/>
  <c r="AF356" i="2"/>
  <c r="AF344" i="2"/>
  <c r="AF332" i="2"/>
  <c r="AF296" i="2"/>
  <c r="AF284" i="2"/>
  <c r="AF260" i="2"/>
  <c r="AF224" i="2"/>
  <c r="AF212" i="2"/>
  <c r="AF188" i="2"/>
  <c r="AF176" i="2"/>
  <c r="AF140" i="2"/>
  <c r="AF128" i="2"/>
  <c r="AF104" i="2"/>
  <c r="AF92" i="2"/>
  <c r="AF44" i="2"/>
  <c r="AF32" i="2"/>
  <c r="AF316" i="2"/>
  <c r="AF196" i="2"/>
  <c r="AF52" i="2"/>
  <c r="AF483" i="2"/>
  <c r="AF195" i="2"/>
  <c r="AF51" i="2"/>
  <c r="AF482" i="2"/>
  <c r="AF50" i="2"/>
  <c r="AF271" i="2"/>
  <c r="AF199" i="2"/>
  <c r="AF55" i="2"/>
  <c r="AF43" i="2"/>
  <c r="AF318" i="2"/>
  <c r="AF306" i="2"/>
  <c r="AF270" i="2"/>
  <c r="AF258" i="2"/>
  <c r="AF210" i="2"/>
  <c r="AF186" i="2"/>
  <c r="AF138" i="2"/>
  <c r="AF126" i="2"/>
  <c r="AF90" i="2"/>
  <c r="AF54" i="2"/>
  <c r="AF42" i="2"/>
  <c r="AF18" i="2"/>
  <c r="AF365" i="2"/>
  <c r="AF353" i="2"/>
  <c r="AF341" i="2"/>
  <c r="AF329" i="2"/>
  <c r="AF257" i="2"/>
  <c r="AF197" i="2"/>
  <c r="B18" i="33"/>
  <c r="B24" i="33"/>
  <c r="B2" i="33"/>
  <c r="B8" i="33"/>
  <c r="B14" i="33"/>
  <c r="B19" i="33"/>
  <c r="B25" i="33"/>
  <c r="B3" i="33"/>
  <c r="B9" i="33"/>
  <c r="B15" i="33"/>
  <c r="B4" i="33"/>
  <c r="B10" i="33"/>
  <c r="B16" i="33"/>
  <c r="B20" i="33"/>
  <c r="B26" i="33"/>
  <c r="B5" i="33"/>
  <c r="B11" i="33"/>
  <c r="B17" i="33"/>
  <c r="B21" i="33"/>
  <c r="B27" i="33"/>
  <c r="B6" i="33"/>
  <c r="B12" i="33"/>
  <c r="B22" i="33"/>
  <c r="B7" i="33"/>
  <c r="B13" i="33"/>
  <c r="B23" i="33"/>
  <c r="B34" i="33"/>
  <c r="B43" i="33"/>
  <c r="B50" i="33"/>
  <c r="B35" i="33"/>
  <c r="B28" i="33"/>
  <c r="B55" i="33"/>
  <c r="B44" i="33"/>
  <c r="B51" i="33"/>
  <c r="B36" i="33"/>
  <c r="B29" i="33"/>
  <c r="B56" i="33"/>
  <c r="B37" i="33"/>
  <c r="B38" i="33"/>
  <c r="B30" i="33"/>
  <c r="B39" i="33"/>
  <c r="B45" i="33"/>
  <c r="B52" i="33"/>
  <c r="B40" i="33"/>
  <c r="B31" i="33"/>
  <c r="B57" i="33"/>
  <c r="B46" i="33"/>
  <c r="B32" i="33"/>
  <c r="B47" i="33"/>
  <c r="B53" i="33"/>
  <c r="B49" i="33"/>
  <c r="B41" i="33"/>
  <c r="B58" i="33"/>
  <c r="B48" i="33"/>
  <c r="B54" i="33"/>
  <c r="B42" i="33"/>
  <c r="B33" i="33"/>
  <c r="B59" i="33"/>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C328" i="2"/>
  <c r="AC329" i="2"/>
  <c r="AC330" i="2"/>
  <c r="AC331" i="2"/>
  <c r="AC332" i="2"/>
  <c r="AC333" i="2"/>
  <c r="AC340" i="2"/>
  <c r="AC341" i="2"/>
  <c r="AC342" i="2"/>
  <c r="AC343" i="2"/>
  <c r="AC344" i="2"/>
  <c r="AC345" i="2"/>
  <c r="AC352" i="2"/>
  <c r="AC353" i="2"/>
  <c r="AC354" i="2"/>
  <c r="AC355" i="2"/>
  <c r="AC356" i="2"/>
  <c r="AC357" i="2"/>
  <c r="AC364" i="2"/>
  <c r="AC365" i="2"/>
  <c r="AC366" i="2"/>
  <c r="AC367" i="2"/>
  <c r="AC368" i="2"/>
  <c r="AC369" i="2"/>
  <c r="AC376" i="2"/>
  <c r="AC377" i="2"/>
  <c r="AC378" i="2"/>
  <c r="AC379" i="2"/>
  <c r="AC380" i="2"/>
  <c r="AC381" i="2"/>
  <c r="AC388" i="2"/>
  <c r="AC389" i="2"/>
  <c r="AC390" i="2"/>
  <c r="AC391" i="2"/>
  <c r="AC392" i="2"/>
  <c r="AC393" i="2"/>
  <c r="AC400" i="2"/>
  <c r="AC401" i="2"/>
  <c r="AC402" i="2"/>
  <c r="AC403" i="2"/>
  <c r="AC404" i="2"/>
  <c r="AC405" i="2"/>
  <c r="AC412" i="2"/>
  <c r="AC413" i="2"/>
  <c r="AC414" i="2"/>
  <c r="AC415" i="2"/>
  <c r="AC416" i="2"/>
  <c r="AC417" i="2"/>
  <c r="AC424" i="2"/>
  <c r="AC425" i="2"/>
  <c r="AC426" i="2"/>
  <c r="AC427" i="2"/>
  <c r="AC428" i="2"/>
  <c r="AC429" i="2"/>
  <c r="AC436" i="2"/>
  <c r="AC437" i="2"/>
  <c r="AC438" i="2"/>
  <c r="AC439" i="2"/>
  <c r="AC440" i="2"/>
  <c r="AC441" i="2"/>
  <c r="AC448" i="2"/>
  <c r="AC449" i="2"/>
  <c r="AC450" i="2"/>
  <c r="AC451" i="2"/>
  <c r="AC452" i="2"/>
  <c r="AC453" i="2"/>
  <c r="AC460" i="2"/>
  <c r="AC461" i="2"/>
  <c r="AC462" i="2"/>
  <c r="AC463" i="2"/>
  <c r="AC464" i="2"/>
  <c r="AC465" i="2"/>
  <c r="AC472" i="2"/>
  <c r="AC473" i="2"/>
  <c r="AC474" i="2"/>
  <c r="AC475" i="2"/>
  <c r="AC476" i="2"/>
  <c r="AC477" i="2"/>
  <c r="AC483" i="2"/>
  <c r="AC484" i="2"/>
  <c r="AC322" i="2"/>
  <c r="AC323" i="2"/>
  <c r="AC324" i="2"/>
  <c r="AC325" i="2"/>
  <c r="AC326" i="2"/>
  <c r="AC327" i="2"/>
  <c r="AC334" i="2"/>
  <c r="AC335" i="2"/>
  <c r="AC336" i="2"/>
  <c r="AC337" i="2"/>
  <c r="AC338" i="2"/>
  <c r="AC339" i="2"/>
  <c r="AC346" i="2"/>
  <c r="AC347" i="2"/>
  <c r="AC348" i="2"/>
  <c r="AC349" i="2"/>
  <c r="AC350" i="2"/>
  <c r="AC351" i="2"/>
  <c r="AC358" i="2"/>
  <c r="AC359" i="2"/>
  <c r="AC360" i="2"/>
  <c r="AC361" i="2"/>
  <c r="AC362" i="2"/>
  <c r="AC363" i="2"/>
  <c r="AC370" i="2"/>
  <c r="AC371" i="2"/>
  <c r="AC372" i="2"/>
  <c r="AC373" i="2"/>
  <c r="AC374" i="2"/>
  <c r="AC375" i="2"/>
  <c r="AC382" i="2"/>
  <c r="AC383" i="2"/>
  <c r="AC384" i="2"/>
  <c r="AC385" i="2"/>
  <c r="AC386" i="2"/>
  <c r="AC387" i="2"/>
  <c r="AC394" i="2"/>
  <c r="AC395" i="2"/>
  <c r="AC396" i="2"/>
  <c r="AC397" i="2"/>
  <c r="AC398" i="2"/>
  <c r="AC399" i="2"/>
  <c r="AC406" i="2"/>
  <c r="AC407" i="2"/>
  <c r="AC408" i="2"/>
  <c r="AC409" i="2"/>
  <c r="AC410" i="2"/>
  <c r="AC411" i="2"/>
  <c r="AC418" i="2"/>
  <c r="AC419" i="2"/>
  <c r="AC420" i="2"/>
  <c r="AC421" i="2"/>
  <c r="AC422" i="2"/>
  <c r="AC423" i="2"/>
  <c r="AC430" i="2"/>
  <c r="AC431" i="2"/>
  <c r="AC432" i="2"/>
  <c r="AC433" i="2"/>
  <c r="AC434" i="2"/>
  <c r="AC435" i="2"/>
  <c r="AC442" i="2"/>
  <c r="AC443" i="2"/>
  <c r="AC444" i="2"/>
  <c r="AC445" i="2"/>
  <c r="AC446" i="2"/>
  <c r="AC447" i="2"/>
  <c r="AC454" i="2"/>
  <c r="AC455" i="2"/>
  <c r="AC456" i="2"/>
  <c r="AC457" i="2"/>
  <c r="AC458" i="2"/>
  <c r="AC459" i="2"/>
  <c r="AC466" i="2"/>
  <c r="AC467" i="2"/>
  <c r="AC468" i="2"/>
  <c r="AC469" i="2"/>
  <c r="AC470" i="2"/>
  <c r="AC471" i="2"/>
  <c r="AC478" i="2"/>
  <c r="AC479" i="2"/>
  <c r="AC480" i="2"/>
  <c r="AC481" i="2"/>
  <c r="AC482" i="2"/>
  <c r="H329" i="2"/>
  <c r="H340" i="2"/>
  <c r="H352" i="2"/>
  <c r="H356" i="2"/>
  <c r="H365" i="2"/>
  <c r="H377" i="2"/>
  <c r="H388" i="2"/>
  <c r="H389" i="2"/>
  <c r="H400" i="2"/>
  <c r="H401" i="2"/>
  <c r="H404" i="2"/>
  <c r="H412" i="2"/>
  <c r="H421" i="2"/>
  <c r="H424" i="2"/>
  <c r="H437" i="2"/>
  <c r="H448" i="2"/>
  <c r="H449" i="2"/>
  <c r="H452" i="2"/>
  <c r="H460" i="2"/>
  <c r="H461" i="2"/>
  <c r="H472"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E322" i="2"/>
  <c r="H322" i="2" s="1"/>
  <c r="E323" i="2"/>
  <c r="E324" i="2"/>
  <c r="E325" i="2"/>
  <c r="E326" i="2"/>
  <c r="R326" i="2" s="1"/>
  <c r="E327" i="2"/>
  <c r="E328" i="2"/>
  <c r="E329" i="2"/>
  <c r="E330" i="2"/>
  <c r="E331" i="2"/>
  <c r="E332" i="2"/>
  <c r="E333" i="2"/>
  <c r="E334" i="2"/>
  <c r="H334" i="2" s="1"/>
  <c r="E335" i="2"/>
  <c r="E336" i="2"/>
  <c r="E337" i="2"/>
  <c r="E338" i="2"/>
  <c r="R338" i="2" s="1"/>
  <c r="E339" i="2"/>
  <c r="E340" i="2"/>
  <c r="E341" i="2"/>
  <c r="E342" i="2"/>
  <c r="E343" i="2"/>
  <c r="E344" i="2"/>
  <c r="E345" i="2"/>
  <c r="E346" i="2"/>
  <c r="E347" i="2"/>
  <c r="E348" i="2"/>
  <c r="R348" i="2" s="1"/>
  <c r="E349" i="2"/>
  <c r="R349" i="2" s="1"/>
  <c r="E350" i="2"/>
  <c r="E351" i="2"/>
  <c r="E352" i="2"/>
  <c r="R352" i="2" s="1"/>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R386" i="2" s="1"/>
  <c r="E387" i="2"/>
  <c r="E388" i="2"/>
  <c r="E389" i="2"/>
  <c r="R389" i="2" s="1"/>
  <c r="E390" i="2"/>
  <c r="E391" i="2"/>
  <c r="E392" i="2"/>
  <c r="E393" i="2"/>
  <c r="E394" i="2"/>
  <c r="E395" i="2"/>
  <c r="E396" i="2"/>
  <c r="E397" i="2"/>
  <c r="E398" i="2"/>
  <c r="R398" i="2" s="1"/>
  <c r="E399" i="2"/>
  <c r="E400" i="2"/>
  <c r="E401" i="2"/>
  <c r="E402" i="2"/>
  <c r="E403" i="2"/>
  <c r="E404" i="2"/>
  <c r="E405" i="2"/>
  <c r="E406" i="2"/>
  <c r="E407" i="2"/>
  <c r="E408" i="2"/>
  <c r="E409" i="2"/>
  <c r="E410" i="2"/>
  <c r="R410" i="2" s="1"/>
  <c r="E411" i="2"/>
  <c r="E412" i="2"/>
  <c r="E413" i="2"/>
  <c r="E414" i="2"/>
  <c r="E415" i="2"/>
  <c r="E416" i="2"/>
  <c r="E417" i="2"/>
  <c r="E418" i="2"/>
  <c r="E419" i="2"/>
  <c r="E420" i="2"/>
  <c r="E421" i="2"/>
  <c r="E422" i="2"/>
  <c r="E423" i="2"/>
  <c r="E424" i="2"/>
  <c r="E425" i="2"/>
  <c r="E426" i="2"/>
  <c r="E427" i="2"/>
  <c r="R427" i="2" s="1"/>
  <c r="E428" i="2"/>
  <c r="E429" i="2"/>
  <c r="E430" i="2"/>
  <c r="E431" i="2"/>
  <c r="E432" i="2"/>
  <c r="E433" i="2"/>
  <c r="R433" i="2" s="1"/>
  <c r="E434" i="2"/>
  <c r="E435" i="2"/>
  <c r="E436" i="2"/>
  <c r="E437" i="2"/>
  <c r="E438" i="2"/>
  <c r="E439" i="2"/>
  <c r="E440" i="2"/>
  <c r="E441" i="2"/>
  <c r="E442" i="2"/>
  <c r="E443" i="2"/>
  <c r="E444" i="2"/>
  <c r="R444" i="2" s="1"/>
  <c r="E445" i="2"/>
  <c r="E446" i="2"/>
  <c r="E447" i="2"/>
  <c r="E448" i="2"/>
  <c r="E449" i="2"/>
  <c r="E450" i="2"/>
  <c r="R450" i="2" s="1"/>
  <c r="E451" i="2"/>
  <c r="E452" i="2"/>
  <c r="R452" i="2" s="1"/>
  <c r="E453" i="2"/>
  <c r="E454" i="2"/>
  <c r="E455" i="2"/>
  <c r="E456" i="2"/>
  <c r="E457" i="2"/>
  <c r="E458" i="2"/>
  <c r="R458" i="2" s="1"/>
  <c r="E459" i="2"/>
  <c r="E460" i="2"/>
  <c r="E461" i="2"/>
  <c r="R461" i="2" s="1"/>
  <c r="E462" i="2"/>
  <c r="E463" i="2"/>
  <c r="E464" i="2"/>
  <c r="E465" i="2"/>
  <c r="E466" i="2"/>
  <c r="E467" i="2"/>
  <c r="H467" i="2" s="1"/>
  <c r="E468" i="2"/>
  <c r="R468" i="2" s="1"/>
  <c r="E469" i="2"/>
  <c r="E470" i="2"/>
  <c r="R470" i="2" s="1"/>
  <c r="E471" i="2"/>
  <c r="E472" i="2"/>
  <c r="E473" i="2"/>
  <c r="E474" i="2"/>
  <c r="E475" i="2"/>
  <c r="E476" i="2"/>
  <c r="R476" i="2" s="1"/>
  <c r="E477" i="2"/>
  <c r="R477" i="2" s="1"/>
  <c r="E478" i="2"/>
  <c r="R478" i="2" s="1"/>
  <c r="E479" i="2"/>
  <c r="E480" i="2"/>
  <c r="E481" i="2"/>
  <c r="E482" i="2"/>
  <c r="R482" i="2" s="1"/>
  <c r="E483" i="2"/>
  <c r="E484" i="2"/>
  <c r="H341" i="2"/>
  <c r="H353" i="2"/>
  <c r="H364" i="2"/>
  <c r="H413" i="2"/>
  <c r="H425" i="2"/>
  <c r="H473" i="2"/>
  <c r="H484" i="2"/>
  <c r="R328" i="2"/>
  <c r="R329" i="2"/>
  <c r="R332" i="2"/>
  <c r="R333" i="2"/>
  <c r="R340" i="2"/>
  <c r="R341" i="2"/>
  <c r="R353" i="2"/>
  <c r="R355" i="2"/>
  <c r="R356" i="2"/>
  <c r="R357" i="2"/>
  <c r="R362" i="2"/>
  <c r="R364" i="2"/>
  <c r="R365" i="2"/>
  <c r="R376" i="2"/>
  <c r="R377" i="2"/>
  <c r="R380" i="2"/>
  <c r="R388" i="2"/>
  <c r="R400" i="2"/>
  <c r="R401" i="2"/>
  <c r="R404" i="2"/>
  <c r="R412" i="2"/>
  <c r="R413" i="2"/>
  <c r="R424" i="2"/>
  <c r="R425" i="2"/>
  <c r="R426" i="2"/>
  <c r="R428" i="2"/>
  <c r="R436" i="2"/>
  <c r="R437" i="2"/>
  <c r="R438" i="2"/>
  <c r="R448" i="2"/>
  <c r="R449" i="2"/>
  <c r="R460" i="2"/>
  <c r="R472" i="2"/>
  <c r="R473" i="2"/>
  <c r="R484"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AC321" i="2"/>
  <c r="E321" i="2"/>
  <c r="R321" i="2"/>
  <c r="X321" i="2"/>
  <c r="Y321" i="2"/>
  <c r="AC264" i="2"/>
  <c r="AC265" i="2"/>
  <c r="AC266" i="2"/>
  <c r="AC271" i="2"/>
  <c r="AC272" i="2"/>
  <c r="AC273" i="2"/>
  <c r="AC274" i="2"/>
  <c r="AC275" i="2"/>
  <c r="AC276" i="2"/>
  <c r="AC277" i="2"/>
  <c r="AC278" i="2"/>
  <c r="AC280" i="2"/>
  <c r="AC281" i="2"/>
  <c r="AC283" i="2"/>
  <c r="AC284" i="2"/>
  <c r="AC285" i="2"/>
  <c r="AC286" i="2"/>
  <c r="AC287" i="2"/>
  <c r="AC288" i="2"/>
  <c r="AC289" i="2"/>
  <c r="AC290" i="2"/>
  <c r="AC293" i="2"/>
  <c r="AC294" i="2"/>
  <c r="AC295" i="2"/>
  <c r="AC296" i="2"/>
  <c r="AC297" i="2"/>
  <c r="AC298" i="2"/>
  <c r="AC299" i="2"/>
  <c r="AC300" i="2"/>
  <c r="AC301" i="2"/>
  <c r="AC302" i="2"/>
  <c r="AC305" i="2"/>
  <c r="AC308" i="2"/>
  <c r="AC309" i="2"/>
  <c r="AC310" i="2"/>
  <c r="AC311" i="2"/>
  <c r="AC312" i="2"/>
  <c r="AC313" i="2"/>
  <c r="AC314" i="2"/>
  <c r="AC316" i="2"/>
  <c r="AC319" i="2"/>
  <c r="AC320"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E264" i="2"/>
  <c r="R264" i="2" s="1"/>
  <c r="E265" i="2"/>
  <c r="E266" i="2"/>
  <c r="E267" i="2"/>
  <c r="E268" i="2"/>
  <c r="E269" i="2"/>
  <c r="R269" i="2" s="1"/>
  <c r="E270" i="2"/>
  <c r="E271" i="2"/>
  <c r="E272" i="2"/>
  <c r="E273" i="2"/>
  <c r="E274" i="2"/>
  <c r="E275" i="2"/>
  <c r="R275" i="2" s="1"/>
  <c r="E276" i="2"/>
  <c r="E277" i="2"/>
  <c r="R277" i="2" s="1"/>
  <c r="E278" i="2"/>
  <c r="R278" i="2" s="1"/>
  <c r="E279" i="2"/>
  <c r="E280" i="2"/>
  <c r="E281" i="2"/>
  <c r="E282" i="2"/>
  <c r="E283" i="2"/>
  <c r="H283" i="2" s="1"/>
  <c r="E284" i="2"/>
  <c r="E285" i="2"/>
  <c r="E286" i="2"/>
  <c r="E287" i="2"/>
  <c r="E288" i="2"/>
  <c r="E289" i="2"/>
  <c r="E290" i="2"/>
  <c r="R290" i="2" s="1"/>
  <c r="E291" i="2"/>
  <c r="E292" i="2"/>
  <c r="E293" i="2"/>
  <c r="R293" i="2" s="1"/>
  <c r="E294" i="2"/>
  <c r="E295" i="2"/>
  <c r="H295" i="2" s="1"/>
  <c r="E296" i="2"/>
  <c r="R296" i="2" s="1"/>
  <c r="E297" i="2"/>
  <c r="E298" i="2"/>
  <c r="E299" i="2"/>
  <c r="R299" i="2" s="1"/>
  <c r="E300" i="2"/>
  <c r="R300" i="2" s="1"/>
  <c r="E301" i="2"/>
  <c r="R301" i="2" s="1"/>
  <c r="E302" i="2"/>
  <c r="R302" i="2" s="1"/>
  <c r="E303" i="2"/>
  <c r="E304" i="2"/>
  <c r="E305" i="2"/>
  <c r="E306" i="2"/>
  <c r="E307" i="2"/>
  <c r="H307" i="2" s="1"/>
  <c r="E308" i="2"/>
  <c r="E309" i="2"/>
  <c r="E310" i="2"/>
  <c r="R310" i="2" s="1"/>
  <c r="E311" i="2"/>
  <c r="R311" i="2" s="1"/>
  <c r="E312" i="2"/>
  <c r="R312" i="2" s="1"/>
  <c r="E313" i="2"/>
  <c r="E314" i="2"/>
  <c r="R314" i="2" s="1"/>
  <c r="E315" i="2"/>
  <c r="E316" i="2"/>
  <c r="E317" i="2"/>
  <c r="E318" i="2"/>
  <c r="E319" i="2"/>
  <c r="H319" i="2" s="1"/>
  <c r="E320"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AC267" i="2"/>
  <c r="AC268" i="2"/>
  <c r="AC269" i="2"/>
  <c r="AC270" i="2"/>
  <c r="AC279" i="2"/>
  <c r="AC282" i="2"/>
  <c r="AC291" i="2"/>
  <c r="AC292" i="2"/>
  <c r="AC303" i="2"/>
  <c r="AC304" i="2"/>
  <c r="AC306" i="2"/>
  <c r="AC307" i="2"/>
  <c r="AC315" i="2"/>
  <c r="AC317" i="2"/>
  <c r="AC318" i="2"/>
  <c r="L3" i="10"/>
  <c r="L4" i="10"/>
  <c r="L5" i="10"/>
  <c r="L6" i="10"/>
  <c r="L7" i="10"/>
  <c r="D263" i="2"/>
  <c r="E263" i="2"/>
  <c r="X263" i="2"/>
  <c r="Y263"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E40" i="2"/>
  <c r="R40" i="2" s="1"/>
  <c r="E41" i="2"/>
  <c r="R41" i="2" s="1"/>
  <c r="E42" i="2"/>
  <c r="H42" i="2" s="1"/>
  <c r="E43" i="2"/>
  <c r="H43" i="2" s="1"/>
  <c r="E44" i="2"/>
  <c r="R44" i="2" s="1"/>
  <c r="E45" i="2"/>
  <c r="R45" i="2" s="1"/>
  <c r="E46" i="2"/>
  <c r="R46" i="2" s="1"/>
  <c r="E47" i="2"/>
  <c r="E48" i="2"/>
  <c r="R48" i="2" s="1"/>
  <c r="E49" i="2"/>
  <c r="R49" i="2" s="1"/>
  <c r="E50" i="2"/>
  <c r="R50" i="2" s="1"/>
  <c r="E51" i="2"/>
  <c r="H51" i="2" s="1"/>
  <c r="E52" i="2"/>
  <c r="R52" i="2" s="1"/>
  <c r="E53" i="2"/>
  <c r="H53" i="2" s="1"/>
  <c r="E54" i="2"/>
  <c r="R54" i="2" s="1"/>
  <c r="E55" i="2"/>
  <c r="H55" i="2" s="1"/>
  <c r="E56" i="2"/>
  <c r="H56" i="2" s="1"/>
  <c r="E57" i="2"/>
  <c r="R57" i="2" s="1"/>
  <c r="E58" i="2"/>
  <c r="R58" i="2" s="1"/>
  <c r="E59" i="2"/>
  <c r="R59" i="2" s="1"/>
  <c r="E60" i="2"/>
  <c r="R60" i="2" s="1"/>
  <c r="E61" i="2"/>
  <c r="R61" i="2" s="1"/>
  <c r="E62" i="2"/>
  <c r="R62" i="2" s="1"/>
  <c r="E63" i="2"/>
  <c r="H63" i="2" s="1"/>
  <c r="E64" i="2"/>
  <c r="E65" i="2"/>
  <c r="R65" i="2" s="1"/>
  <c r="E66" i="2"/>
  <c r="R66" i="2" s="1"/>
  <c r="E67" i="2"/>
  <c r="H67" i="2" s="1"/>
  <c r="E68" i="2"/>
  <c r="H68" i="2" s="1"/>
  <c r="E69" i="2"/>
  <c r="R69" i="2" s="1"/>
  <c r="E70" i="2"/>
  <c r="R70" i="2" s="1"/>
  <c r="E71" i="2"/>
  <c r="H71" i="2" s="1"/>
  <c r="E72" i="2"/>
  <c r="R72" i="2" s="1"/>
  <c r="E73" i="2"/>
  <c r="R73" i="2" s="1"/>
  <c r="E74" i="2"/>
  <c r="H74" i="2" s="1"/>
  <c r="E75" i="2"/>
  <c r="H75" i="2" s="1"/>
  <c r="E76" i="2"/>
  <c r="R76" i="2" s="1"/>
  <c r="E77" i="2"/>
  <c r="H77" i="2" s="1"/>
  <c r="E78" i="2"/>
  <c r="R78" i="2" s="1"/>
  <c r="E79" i="2"/>
  <c r="E80" i="2"/>
  <c r="R80" i="2" s="1"/>
  <c r="E81" i="2"/>
  <c r="R81" i="2" s="1"/>
  <c r="E82" i="2"/>
  <c r="H82" i="2" s="1"/>
  <c r="E83" i="2"/>
  <c r="R83" i="2" s="1"/>
  <c r="E84" i="2"/>
  <c r="R84" i="2" s="1"/>
  <c r="E85" i="2"/>
  <c r="R85" i="2" s="1"/>
  <c r="E86" i="2"/>
  <c r="R86" i="2" s="1"/>
  <c r="E87" i="2"/>
  <c r="H87" i="2" s="1"/>
  <c r="E88" i="2"/>
  <c r="R88" i="2" s="1"/>
  <c r="E89" i="2"/>
  <c r="H89" i="2" s="1"/>
  <c r="E90" i="2"/>
  <c r="H90" i="2" s="1"/>
  <c r="E91" i="2"/>
  <c r="H91" i="2" s="1"/>
  <c r="E92" i="2"/>
  <c r="R92" i="2" s="1"/>
  <c r="E93" i="2"/>
  <c r="H93" i="2" s="1"/>
  <c r="E94" i="2"/>
  <c r="R94" i="2" s="1"/>
  <c r="E95" i="2"/>
  <c r="H95" i="2" s="1"/>
  <c r="E96" i="2"/>
  <c r="R96" i="2" s="1"/>
  <c r="E97" i="2"/>
  <c r="R97" i="2" s="1"/>
  <c r="E98" i="2"/>
  <c r="H98" i="2" s="1"/>
  <c r="E99" i="2"/>
  <c r="R99" i="2" s="1"/>
  <c r="E100" i="2"/>
  <c r="E101" i="2"/>
  <c r="H101" i="2" s="1"/>
  <c r="E102" i="2"/>
  <c r="H102" i="2" s="1"/>
  <c r="E103" i="2"/>
  <c r="H103" i="2" s="1"/>
  <c r="E104" i="2"/>
  <c r="H104" i="2" s="1"/>
  <c r="E105" i="2"/>
  <c r="R105" i="2" s="1"/>
  <c r="E106" i="2"/>
  <c r="R106" i="2" s="1"/>
  <c r="E107" i="2"/>
  <c r="R107" i="2" s="1"/>
  <c r="E108" i="2"/>
  <c r="R108" i="2" s="1"/>
  <c r="E109" i="2"/>
  <c r="R109" i="2" s="1"/>
  <c r="E110" i="2"/>
  <c r="R110" i="2" s="1"/>
  <c r="E111" i="2"/>
  <c r="R111" i="2" s="1"/>
  <c r="E112" i="2"/>
  <c r="R112" i="2" s="1"/>
  <c r="E113" i="2"/>
  <c r="H113" i="2" s="1"/>
  <c r="E114" i="2"/>
  <c r="R114" i="2" s="1"/>
  <c r="E115" i="2"/>
  <c r="H115" i="2" s="1"/>
  <c r="E116" i="2"/>
  <c r="R116" i="2" s="1"/>
  <c r="E117" i="2"/>
  <c r="H117" i="2" s="1"/>
  <c r="E118" i="2"/>
  <c r="R118" i="2" s="1"/>
  <c r="E119" i="2"/>
  <c r="R119" i="2" s="1"/>
  <c r="E120" i="2"/>
  <c r="R120" i="2" s="1"/>
  <c r="E121" i="2"/>
  <c r="R121" i="2" s="1"/>
  <c r="E122" i="2"/>
  <c r="R122" i="2" s="1"/>
  <c r="E123" i="2"/>
  <c r="R123" i="2" s="1"/>
  <c r="E124" i="2"/>
  <c r="H124" i="2" s="1"/>
  <c r="E125" i="2"/>
  <c r="H125" i="2" s="1"/>
  <c r="E126" i="2"/>
  <c r="H126" i="2" s="1"/>
  <c r="E127" i="2"/>
  <c r="H127" i="2" s="1"/>
  <c r="E128" i="2"/>
  <c r="H128" i="2" s="1"/>
  <c r="E129" i="2"/>
  <c r="R129" i="2" s="1"/>
  <c r="E130" i="2"/>
  <c r="R130" i="2" s="1"/>
  <c r="E131" i="2"/>
  <c r="R131" i="2" s="1"/>
  <c r="E132" i="2"/>
  <c r="R132" i="2" s="1"/>
  <c r="E133" i="2"/>
  <c r="R133" i="2" s="1"/>
  <c r="E134" i="2"/>
  <c r="H134" i="2" s="1"/>
  <c r="E135" i="2"/>
  <c r="H135" i="2" s="1"/>
  <c r="E136" i="2"/>
  <c r="H136" i="2" s="1"/>
  <c r="E137" i="2"/>
  <c r="H137" i="2" s="1"/>
  <c r="E138" i="2"/>
  <c r="H138" i="2" s="1"/>
  <c r="E139" i="2"/>
  <c r="H139" i="2" s="1"/>
  <c r="E140" i="2"/>
  <c r="H140" i="2" s="1"/>
  <c r="E141" i="2"/>
  <c r="H141" i="2" s="1"/>
  <c r="E142" i="2"/>
  <c r="R142" i="2" s="1"/>
  <c r="E143" i="2"/>
  <c r="R143" i="2" s="1"/>
  <c r="E144" i="2"/>
  <c r="R144" i="2" s="1"/>
  <c r="E145" i="2"/>
  <c r="H145" i="2" s="1"/>
  <c r="E146" i="2"/>
  <c r="H146" i="2" s="1"/>
  <c r="E147" i="2"/>
  <c r="H147" i="2" s="1"/>
  <c r="E148" i="2"/>
  <c r="R148" i="2" s="1"/>
  <c r="E149" i="2"/>
  <c r="H149" i="2" s="1"/>
  <c r="E150" i="2"/>
  <c r="H150" i="2" s="1"/>
  <c r="E151" i="2"/>
  <c r="R151" i="2" s="1"/>
  <c r="E152" i="2"/>
  <c r="H152" i="2" s="1"/>
  <c r="E153" i="2"/>
  <c r="R153" i="2" s="1"/>
  <c r="E154" i="2"/>
  <c r="H154" i="2" s="1"/>
  <c r="E155" i="2"/>
  <c r="R155" i="2" s="1"/>
  <c r="E156" i="2"/>
  <c r="R156" i="2" s="1"/>
  <c r="E157" i="2"/>
  <c r="R157" i="2" s="1"/>
  <c r="E158" i="2"/>
  <c r="H158" i="2" s="1"/>
  <c r="E159" i="2"/>
  <c r="H159" i="2" s="1"/>
  <c r="E160" i="2"/>
  <c r="R160" i="2" s="1"/>
  <c r="E161" i="2"/>
  <c r="R161" i="2" s="1"/>
  <c r="E162" i="2"/>
  <c r="H162" i="2" s="1"/>
  <c r="E163" i="2"/>
  <c r="H163" i="2" s="1"/>
  <c r="E164" i="2"/>
  <c r="H164" i="2" s="1"/>
  <c r="E165" i="2"/>
  <c r="H165" i="2" s="1"/>
  <c r="E166" i="2"/>
  <c r="H166" i="2" s="1"/>
  <c r="E167" i="2"/>
  <c r="H167" i="2" s="1"/>
  <c r="E168" i="2"/>
  <c r="R168" i="2" s="1"/>
  <c r="E169" i="2"/>
  <c r="R169" i="2" s="1"/>
  <c r="E170" i="2"/>
  <c r="H170" i="2" s="1"/>
  <c r="E171" i="2"/>
  <c r="H171" i="2" s="1"/>
  <c r="E172" i="2"/>
  <c r="R172" i="2" s="1"/>
  <c r="E173" i="2"/>
  <c r="R173" i="2" s="1"/>
  <c r="E174" i="2"/>
  <c r="R174" i="2" s="1"/>
  <c r="E175" i="2"/>
  <c r="H175" i="2" s="1"/>
  <c r="E176" i="2"/>
  <c r="H176" i="2" s="1"/>
  <c r="E177" i="2"/>
  <c r="R177" i="2" s="1"/>
  <c r="E178" i="2"/>
  <c r="H178" i="2" s="1"/>
  <c r="E179" i="2"/>
  <c r="H179" i="2" s="1"/>
  <c r="E180" i="2"/>
  <c r="R180" i="2" s="1"/>
  <c r="E181" i="2"/>
  <c r="H181" i="2" s="1"/>
  <c r="E182" i="2"/>
  <c r="R182" i="2" s="1"/>
  <c r="E183" i="2"/>
  <c r="E184" i="2"/>
  <c r="E185" i="2"/>
  <c r="E186" i="2"/>
  <c r="R186" i="2" s="1"/>
  <c r="E187" i="2"/>
  <c r="H187" i="2" s="1"/>
  <c r="E188" i="2"/>
  <c r="H188" i="2" s="1"/>
  <c r="E189" i="2"/>
  <c r="H189" i="2" s="1"/>
  <c r="E190" i="2"/>
  <c r="E191" i="2"/>
  <c r="H191" i="2" s="1"/>
  <c r="E192" i="2"/>
  <c r="H192" i="2" s="1"/>
  <c r="E193" i="2"/>
  <c r="R193" i="2" s="1"/>
  <c r="E194" i="2"/>
  <c r="H194" i="2" s="1"/>
  <c r="E195" i="2"/>
  <c r="R195" i="2" s="1"/>
  <c r="E196" i="2"/>
  <c r="R196" i="2" s="1"/>
  <c r="E197" i="2"/>
  <c r="H197" i="2" s="1"/>
  <c r="E198" i="2"/>
  <c r="H198" i="2" s="1"/>
  <c r="E199" i="2"/>
  <c r="H199" i="2" s="1"/>
  <c r="E200" i="2"/>
  <c r="H200" i="2" s="1"/>
  <c r="E201" i="2"/>
  <c r="H201" i="2" s="1"/>
  <c r="E202" i="2"/>
  <c r="E203" i="2"/>
  <c r="R203" i="2" s="1"/>
  <c r="E204" i="2"/>
  <c r="R204" i="2" s="1"/>
  <c r="E205" i="2"/>
  <c r="H205" i="2" s="1"/>
  <c r="E206" i="2"/>
  <c r="H206" i="2" s="1"/>
  <c r="E207" i="2"/>
  <c r="R207" i="2" s="1"/>
  <c r="E208" i="2"/>
  <c r="H208" i="2" s="1"/>
  <c r="E209" i="2"/>
  <c r="H209" i="2" s="1"/>
  <c r="E210" i="2"/>
  <c r="H210" i="2" s="1"/>
  <c r="E211" i="2"/>
  <c r="H211" i="2" s="1"/>
  <c r="E212" i="2"/>
  <c r="H212" i="2" s="1"/>
  <c r="E213" i="2"/>
  <c r="R213" i="2" s="1"/>
  <c r="E214" i="2"/>
  <c r="R214" i="2" s="1"/>
  <c r="E215" i="2"/>
  <c r="H215" i="2" s="1"/>
  <c r="E216" i="2"/>
  <c r="R216" i="2" s="1"/>
  <c r="E217" i="2"/>
  <c r="H217" i="2" s="1"/>
  <c r="E218" i="2"/>
  <c r="H218" i="2" s="1"/>
  <c r="E219" i="2"/>
  <c r="R219" i="2" s="1"/>
  <c r="E220" i="2"/>
  <c r="H220" i="2" s="1"/>
  <c r="E221" i="2"/>
  <c r="H221" i="2" s="1"/>
  <c r="E222" i="2"/>
  <c r="R222" i="2" s="1"/>
  <c r="E223" i="2"/>
  <c r="H223" i="2" s="1"/>
  <c r="E224" i="2"/>
  <c r="H224" i="2" s="1"/>
  <c r="E225" i="2"/>
  <c r="H225" i="2" s="1"/>
  <c r="E226" i="2"/>
  <c r="R226" i="2" s="1"/>
  <c r="E227" i="2"/>
  <c r="R227" i="2" s="1"/>
  <c r="E228" i="2"/>
  <c r="R228" i="2" s="1"/>
  <c r="E229" i="2"/>
  <c r="H229" i="2" s="1"/>
  <c r="E230" i="2"/>
  <c r="H230" i="2" s="1"/>
  <c r="E231" i="2"/>
  <c r="H231" i="2" s="1"/>
  <c r="E232" i="2"/>
  <c r="H232" i="2" s="1"/>
  <c r="E233" i="2"/>
  <c r="H233" i="2" s="1"/>
  <c r="E234" i="2"/>
  <c r="H234" i="2" s="1"/>
  <c r="E235" i="2"/>
  <c r="H235" i="2" s="1"/>
  <c r="E236" i="2"/>
  <c r="H236" i="2" s="1"/>
  <c r="E237" i="2"/>
  <c r="R237" i="2" s="1"/>
  <c r="E238" i="2"/>
  <c r="H238" i="2" s="1"/>
  <c r="E239" i="2"/>
  <c r="R239" i="2" s="1"/>
  <c r="E240" i="2"/>
  <c r="R240" i="2" s="1"/>
  <c r="E241" i="2"/>
  <c r="R241" i="2" s="1"/>
  <c r="E242" i="2"/>
  <c r="R242" i="2" s="1"/>
  <c r="E243" i="2"/>
  <c r="R243" i="2" s="1"/>
  <c r="E244" i="2"/>
  <c r="H244" i="2" s="1"/>
  <c r="E245" i="2"/>
  <c r="R245" i="2" s="1"/>
  <c r="E246" i="2"/>
  <c r="H246" i="2" s="1"/>
  <c r="E247" i="2"/>
  <c r="H247" i="2" s="1"/>
  <c r="E248" i="2"/>
  <c r="H248" i="2" s="1"/>
  <c r="E249" i="2"/>
  <c r="R249" i="2" s="1"/>
  <c r="E250" i="2"/>
  <c r="R250" i="2" s="1"/>
  <c r="E251" i="2"/>
  <c r="R251" i="2" s="1"/>
  <c r="E252" i="2"/>
  <c r="H252" i="2" s="1"/>
  <c r="E253" i="2"/>
  <c r="H253" i="2" s="1"/>
  <c r="E254" i="2"/>
  <c r="H254" i="2" s="1"/>
  <c r="E255" i="2"/>
  <c r="H255" i="2" s="1"/>
  <c r="E256" i="2"/>
  <c r="H256" i="2" s="1"/>
  <c r="E257" i="2"/>
  <c r="H257" i="2" s="1"/>
  <c r="E258" i="2"/>
  <c r="H258" i="2" s="1"/>
  <c r="E259" i="2"/>
  <c r="H259" i="2" s="1"/>
  <c r="E260" i="2"/>
  <c r="H260" i="2" s="1"/>
  <c r="E261" i="2"/>
  <c r="H261" i="2" s="1"/>
  <c r="E262" i="2"/>
  <c r="R262" i="2" s="1"/>
  <c r="H46" i="2"/>
  <c r="H182" i="2"/>
  <c r="H202" i="2"/>
  <c r="H214" i="2"/>
  <c r="R43" i="2"/>
  <c r="R202"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F4" i="10"/>
  <c r="F5" i="10"/>
  <c r="F6" i="10"/>
  <c r="F7" i="10"/>
  <c r="H4" i="10"/>
  <c r="H5" i="10"/>
  <c r="H6" i="10"/>
  <c r="H7" i="10"/>
  <c r="D39" i="2"/>
  <c r="E39" i="2"/>
  <c r="R39" i="2" s="1"/>
  <c r="AC39" i="2"/>
  <c r="X39" i="2"/>
  <c r="Y39" i="2"/>
  <c r="D38" i="2"/>
  <c r="E38" i="2"/>
  <c r="R38" i="2" s="1"/>
  <c r="AC38" i="2"/>
  <c r="X38" i="2"/>
  <c r="Y38" i="2"/>
  <c r="D37" i="2"/>
  <c r="E37" i="2"/>
  <c r="R37" i="2" s="1"/>
  <c r="AC37" i="2"/>
  <c r="X37" i="2"/>
  <c r="Y37" i="2"/>
  <c r="D36" i="2"/>
  <c r="E36" i="2"/>
  <c r="R36" i="2" s="1"/>
  <c r="AC36" i="2"/>
  <c r="X36" i="2"/>
  <c r="Y36" i="2"/>
  <c r="D35" i="2"/>
  <c r="E35" i="2"/>
  <c r="R35" i="2" s="1"/>
  <c r="AC35" i="2"/>
  <c r="X35" i="2"/>
  <c r="Y35" i="2"/>
  <c r="D34" i="2"/>
  <c r="E34" i="2"/>
  <c r="R34" i="2" s="1"/>
  <c r="AC34" i="2"/>
  <c r="X34" i="2"/>
  <c r="Y34" i="2"/>
  <c r="D32" i="2"/>
  <c r="D33" i="2"/>
  <c r="E32" i="2"/>
  <c r="E33" i="2"/>
  <c r="AC32" i="2"/>
  <c r="AC33" i="2"/>
  <c r="X32" i="2"/>
  <c r="X33" i="2"/>
  <c r="Y32" i="2"/>
  <c r="Y33" i="2"/>
  <c r="D30" i="2"/>
  <c r="D31" i="2"/>
  <c r="E30" i="2"/>
  <c r="E31" i="2"/>
  <c r="AC30" i="2"/>
  <c r="AC31" i="2"/>
  <c r="X30" i="2"/>
  <c r="X31" i="2"/>
  <c r="Y30" i="2"/>
  <c r="Y31" i="2"/>
  <c r="D29" i="2"/>
  <c r="E29" i="2"/>
  <c r="R29" i="2" s="1"/>
  <c r="AC29" i="2"/>
  <c r="X29" i="2"/>
  <c r="Y29" i="2"/>
  <c r="D28" i="2"/>
  <c r="E28" i="2"/>
  <c r="R28" i="2" s="1"/>
  <c r="AC28" i="2"/>
  <c r="X28" i="2"/>
  <c r="Y28" i="2"/>
  <c r="D27" i="2"/>
  <c r="E27" i="2"/>
  <c r="R27" i="2" s="1"/>
  <c r="AC27" i="2"/>
  <c r="X27" i="2"/>
  <c r="Y27" i="2"/>
  <c r="D26" i="2"/>
  <c r="E26" i="2"/>
  <c r="AC26" i="2"/>
  <c r="X26" i="2"/>
  <c r="Y26" i="2"/>
  <c r="D25" i="2"/>
  <c r="E25" i="2"/>
  <c r="R25" i="2" s="1"/>
  <c r="AC25" i="2"/>
  <c r="X25" i="2"/>
  <c r="Y25" i="2"/>
  <c r="D24" i="2"/>
  <c r="E24" i="2"/>
  <c r="AC24" i="2"/>
  <c r="X24" i="2"/>
  <c r="Y24" i="2"/>
  <c r="D23" i="2"/>
  <c r="E23" i="2"/>
  <c r="AC23" i="2"/>
  <c r="X23" i="2"/>
  <c r="Y23" i="2"/>
  <c r="D22" i="2"/>
  <c r="E22" i="2"/>
  <c r="AC22" i="2"/>
  <c r="X22" i="2"/>
  <c r="Y22" i="2"/>
  <c r="D21" i="2"/>
  <c r="E21" i="2"/>
  <c r="R21" i="2" s="1"/>
  <c r="AC21" i="2"/>
  <c r="X21" i="2"/>
  <c r="Y21" i="2"/>
  <c r="D20" i="2"/>
  <c r="E20" i="2"/>
  <c r="R20" i="2" s="1"/>
  <c r="AC20" i="2"/>
  <c r="X20" i="2"/>
  <c r="Y20" i="2"/>
  <c r="D19" i="2"/>
  <c r="E19" i="2"/>
  <c r="R19" i="2" s="1"/>
  <c r="AC19" i="2"/>
  <c r="X19" i="2"/>
  <c r="Y19" i="2"/>
  <c r="D18" i="2"/>
  <c r="E18" i="2"/>
  <c r="R18" i="2" s="1"/>
  <c r="AC18" i="2"/>
  <c r="X18" i="2"/>
  <c r="Y18" i="2"/>
  <c r="D17" i="2"/>
  <c r="E17" i="2"/>
  <c r="R17" i="2" s="1"/>
  <c r="AC17" i="2"/>
  <c r="X17" i="2"/>
  <c r="Y17" i="2"/>
  <c r="D16" i="2"/>
  <c r="E16" i="2"/>
  <c r="R16" i="2" s="1"/>
  <c r="AC16" i="2"/>
  <c r="X16" i="2"/>
  <c r="Y16" i="2"/>
  <c r="D14" i="2"/>
  <c r="D15" i="2"/>
  <c r="E14" i="2"/>
  <c r="E15" i="2"/>
  <c r="AC14" i="2"/>
  <c r="AC15" i="2"/>
  <c r="X14" i="2"/>
  <c r="X15" i="2"/>
  <c r="Y14" i="2"/>
  <c r="Y15" i="2"/>
  <c r="D10" i="2"/>
  <c r="D11" i="2"/>
  <c r="D12" i="2"/>
  <c r="D13" i="2"/>
  <c r="E10" i="2"/>
  <c r="R10" i="2" s="1"/>
  <c r="E11" i="2"/>
  <c r="R11" i="2" s="1"/>
  <c r="E12" i="2"/>
  <c r="R12" i="2" s="1"/>
  <c r="E13" i="2"/>
  <c r="R13" i="2" s="1"/>
  <c r="AC10" i="2"/>
  <c r="AC11" i="2"/>
  <c r="AC12" i="2"/>
  <c r="AC13" i="2"/>
  <c r="X10" i="2"/>
  <c r="X11" i="2"/>
  <c r="X12" i="2"/>
  <c r="X13" i="2"/>
  <c r="Y10" i="2"/>
  <c r="Y11" i="2"/>
  <c r="Y12" i="2"/>
  <c r="Y13" i="2"/>
  <c r="D9" i="2"/>
  <c r="E9" i="2"/>
  <c r="R9" i="2" s="1"/>
  <c r="AC9" i="2"/>
  <c r="X9" i="2"/>
  <c r="Y9" i="2"/>
  <c r="D8" i="2"/>
  <c r="E8" i="2"/>
  <c r="R8" i="2" s="1"/>
  <c r="AC8" i="2"/>
  <c r="X8" i="2"/>
  <c r="Y8" i="2"/>
  <c r="D7" i="2"/>
  <c r="E7" i="2"/>
  <c r="R7" i="2" s="1"/>
  <c r="AC7" i="2"/>
  <c r="X7" i="2"/>
  <c r="Y7" i="2"/>
  <c r="D6" i="2"/>
  <c r="E6" i="2"/>
  <c r="R6" i="2" s="1"/>
  <c r="AC6" i="2"/>
  <c r="X6" i="2"/>
  <c r="Y6" i="2"/>
  <c r="D5" i="2"/>
  <c r="E5" i="2"/>
  <c r="R5" i="2" s="1"/>
  <c r="AC5" i="2"/>
  <c r="X5" i="2"/>
  <c r="Y5" i="2"/>
  <c r="D4" i="2"/>
  <c r="E4" i="2"/>
  <c r="R4" i="2" s="1"/>
  <c r="AC4" i="2"/>
  <c r="X4" i="2"/>
  <c r="Y4" i="2"/>
  <c r="D3" i="2"/>
  <c r="E3" i="2"/>
  <c r="AC3" i="2"/>
  <c r="X3" i="2"/>
  <c r="Y3" i="2"/>
  <c r="C9" i="1"/>
  <c r="AD341" i="2" l="1"/>
  <c r="H436" i="2"/>
  <c r="B436" i="2" s="1"/>
  <c r="H376" i="2"/>
  <c r="H328" i="2"/>
  <c r="AD328" i="2" s="1"/>
  <c r="B448" i="2"/>
  <c r="H438" i="2"/>
  <c r="AD438" i="2" s="1"/>
  <c r="H426" i="2"/>
  <c r="H414" i="2"/>
  <c r="H378" i="2"/>
  <c r="H366" i="2"/>
  <c r="H354" i="2"/>
  <c r="H342" i="2"/>
  <c r="H373" i="2"/>
  <c r="AD424" i="2"/>
  <c r="H453" i="2"/>
  <c r="H441" i="2"/>
  <c r="H429" i="2"/>
  <c r="H405" i="2"/>
  <c r="H381" i="2"/>
  <c r="H369" i="2"/>
  <c r="H357" i="2"/>
  <c r="B425" i="2"/>
  <c r="H464" i="2"/>
  <c r="H428" i="2"/>
  <c r="H416" i="2"/>
  <c r="H392" i="2"/>
  <c r="H380" i="2"/>
  <c r="AD380" i="2" s="1"/>
  <c r="H368" i="2"/>
  <c r="H344" i="2"/>
  <c r="B377" i="2"/>
  <c r="H446" i="2"/>
  <c r="H434" i="2"/>
  <c r="H422" i="2"/>
  <c r="H362" i="2"/>
  <c r="H350" i="2"/>
  <c r="B356" i="2"/>
  <c r="B438" i="2"/>
  <c r="H481" i="2"/>
  <c r="H469" i="2"/>
  <c r="H457" i="2"/>
  <c r="H445" i="2"/>
  <c r="H385" i="2"/>
  <c r="H325" i="2"/>
  <c r="B452" i="2"/>
  <c r="H408" i="2"/>
  <c r="H372" i="2"/>
  <c r="R361" i="2"/>
  <c r="AD340" i="2"/>
  <c r="B404" i="2"/>
  <c r="R464" i="2"/>
  <c r="R354" i="2"/>
  <c r="H440" i="2"/>
  <c r="H332" i="2"/>
  <c r="H444" i="2"/>
  <c r="R416" i="2"/>
  <c r="H476" i="2"/>
  <c r="R369" i="2"/>
  <c r="R385" i="2"/>
  <c r="AD385" i="2" s="1"/>
  <c r="R368" i="2"/>
  <c r="R342" i="2"/>
  <c r="B413" i="2"/>
  <c r="R322" i="2"/>
  <c r="B461" i="2"/>
  <c r="R441" i="2"/>
  <c r="B441" i="2" s="1"/>
  <c r="R409" i="2"/>
  <c r="R366" i="2"/>
  <c r="H468" i="2"/>
  <c r="R325" i="2"/>
  <c r="R440" i="2"/>
  <c r="AD440" i="2" s="1"/>
  <c r="R405" i="2"/>
  <c r="AD449" i="2"/>
  <c r="AD448" i="2"/>
  <c r="AD401" i="2"/>
  <c r="AD329" i="2"/>
  <c r="AD356" i="2"/>
  <c r="AD377" i="2"/>
  <c r="B400" i="2"/>
  <c r="B364" i="2"/>
  <c r="B322" i="2"/>
  <c r="AD461" i="2"/>
  <c r="B437" i="2"/>
  <c r="AD460" i="2"/>
  <c r="B340" i="2"/>
  <c r="B352" i="2"/>
  <c r="R185" i="2"/>
  <c r="B185" i="2" s="1"/>
  <c r="H185" i="2"/>
  <c r="AD185" i="2" s="1"/>
  <c r="B341" i="2"/>
  <c r="B472" i="2"/>
  <c r="AD472" i="2"/>
  <c r="R483" i="2"/>
  <c r="H483" i="2"/>
  <c r="R471" i="2"/>
  <c r="H471" i="2"/>
  <c r="R459" i="2"/>
  <c r="H459" i="2"/>
  <c r="H447" i="2"/>
  <c r="H435" i="2"/>
  <c r="R435" i="2"/>
  <c r="H423" i="2"/>
  <c r="R423" i="2"/>
  <c r="R411" i="2"/>
  <c r="H411" i="2"/>
  <c r="H399" i="2"/>
  <c r="R399" i="2"/>
  <c r="R387" i="2"/>
  <c r="H387" i="2"/>
  <c r="R375" i="2"/>
  <c r="H375" i="2"/>
  <c r="R363" i="2"/>
  <c r="H363" i="2"/>
  <c r="H351" i="2"/>
  <c r="R351" i="2"/>
  <c r="R339" i="2"/>
  <c r="H339" i="2"/>
  <c r="H327" i="2"/>
  <c r="R327" i="2"/>
  <c r="R446" i="2"/>
  <c r="B446" i="2" s="1"/>
  <c r="R469" i="2"/>
  <c r="R374" i="2"/>
  <c r="R254" i="2"/>
  <c r="B254" i="2" s="1"/>
  <c r="AD437" i="2"/>
  <c r="R397" i="2"/>
  <c r="R171" i="2"/>
  <c r="B171" i="2" s="1"/>
  <c r="B389" i="2"/>
  <c r="R481" i="2"/>
  <c r="R457" i="2"/>
  <c r="B457" i="2" s="1"/>
  <c r="R350" i="2"/>
  <c r="B424" i="2"/>
  <c r="H398" i="2"/>
  <c r="H374" i="2"/>
  <c r="H349" i="2"/>
  <c r="H326" i="2"/>
  <c r="AD326" i="2" s="1"/>
  <c r="R445" i="2"/>
  <c r="H482" i="2"/>
  <c r="H361" i="2"/>
  <c r="H337" i="2"/>
  <c r="H86" i="2"/>
  <c r="AD86" i="2" s="1"/>
  <c r="AD484" i="2"/>
  <c r="R422" i="2"/>
  <c r="R373" i="2"/>
  <c r="R337" i="2"/>
  <c r="H458" i="2"/>
  <c r="R218" i="2"/>
  <c r="AD218" i="2" s="1"/>
  <c r="H62" i="2"/>
  <c r="B62" i="2" s="1"/>
  <c r="R206" i="2"/>
  <c r="AD206" i="2" s="1"/>
  <c r="B460" i="2"/>
  <c r="R392" i="2"/>
  <c r="R170" i="2"/>
  <c r="AD170" i="2" s="1"/>
  <c r="R434" i="2"/>
  <c r="H470" i="2"/>
  <c r="H397" i="2"/>
  <c r="H348" i="2"/>
  <c r="H386" i="2"/>
  <c r="B386" i="2" s="1"/>
  <c r="H338" i="2"/>
  <c r="AD413" i="2"/>
  <c r="H410" i="2"/>
  <c r="H409" i="2"/>
  <c r="R421" i="2"/>
  <c r="H433" i="2"/>
  <c r="B449" i="2"/>
  <c r="B484" i="2"/>
  <c r="R63" i="2"/>
  <c r="AD63" i="2" s="1"/>
  <c r="B473" i="2"/>
  <c r="R344" i="2"/>
  <c r="AD352" i="2"/>
  <c r="R479" i="2"/>
  <c r="H479" i="2"/>
  <c r="R467" i="2"/>
  <c r="R455" i="2"/>
  <c r="H455" i="2"/>
  <c r="R443" i="2"/>
  <c r="H443" i="2"/>
  <c r="R431" i="2"/>
  <c r="H431" i="2"/>
  <c r="R419" i="2"/>
  <c r="H419" i="2"/>
  <c r="R407" i="2"/>
  <c r="H407" i="2"/>
  <c r="R395" i="2"/>
  <c r="H395" i="2"/>
  <c r="R383" i="2"/>
  <c r="H383" i="2"/>
  <c r="R371" i="2"/>
  <c r="H371" i="2"/>
  <c r="R359" i="2"/>
  <c r="H359" i="2"/>
  <c r="R347" i="2"/>
  <c r="H347" i="2"/>
  <c r="R335" i="2"/>
  <c r="H335" i="2"/>
  <c r="R323" i="2"/>
  <c r="H323" i="2"/>
  <c r="H442" i="2"/>
  <c r="R442" i="2"/>
  <c r="H394" i="2"/>
  <c r="R394" i="2"/>
  <c r="R358" i="2"/>
  <c r="H358" i="2"/>
  <c r="R334" i="2"/>
  <c r="R184" i="2"/>
  <c r="H184" i="2"/>
  <c r="H64" i="2"/>
  <c r="R64" i="2"/>
  <c r="AD353" i="2"/>
  <c r="H466" i="2"/>
  <c r="R466" i="2"/>
  <c r="H454" i="2"/>
  <c r="R454" i="2"/>
  <c r="H418" i="2"/>
  <c r="R418" i="2"/>
  <c r="H406" i="2"/>
  <c r="R406" i="2"/>
  <c r="H370" i="2"/>
  <c r="R370" i="2"/>
  <c r="AD322" i="2"/>
  <c r="R287" i="2"/>
  <c r="H478" i="2"/>
  <c r="R430" i="2"/>
  <c r="H430" i="2"/>
  <c r="R382" i="2"/>
  <c r="H382" i="2"/>
  <c r="R346" i="2"/>
  <c r="H346" i="2"/>
  <c r="H475" i="2"/>
  <c r="R475" i="2"/>
  <c r="H439" i="2"/>
  <c r="H403" i="2"/>
  <c r="R403" i="2"/>
  <c r="H355" i="2"/>
  <c r="AD389" i="2"/>
  <c r="H190" i="2"/>
  <c r="R190" i="2"/>
  <c r="B190" i="2" s="1"/>
  <c r="H451" i="2"/>
  <c r="R451" i="2"/>
  <c r="H391" i="2"/>
  <c r="H331" i="2"/>
  <c r="R331" i="2"/>
  <c r="R391" i="2"/>
  <c r="H321" i="2"/>
  <c r="AD321" i="2" s="1"/>
  <c r="AD364" i="2"/>
  <c r="H463" i="2"/>
  <c r="H379" i="2"/>
  <c r="R379" i="2"/>
  <c r="AD473" i="2"/>
  <c r="AD412" i="2"/>
  <c r="R463" i="2"/>
  <c r="AD388" i="2"/>
  <c r="H415" i="2"/>
  <c r="R415" i="2"/>
  <c r="H343" i="2"/>
  <c r="R343" i="2"/>
  <c r="AD365" i="2"/>
  <c r="H79" i="2"/>
  <c r="R79" i="2"/>
  <c r="AD425" i="2"/>
  <c r="H427" i="2"/>
  <c r="AD427" i="2" s="1"/>
  <c r="H367" i="2"/>
  <c r="R367" i="2"/>
  <c r="R47" i="2"/>
  <c r="H47" i="2"/>
  <c r="R439" i="2"/>
  <c r="R480" i="2"/>
  <c r="H480" i="2"/>
  <c r="R456" i="2"/>
  <c r="H456" i="2"/>
  <c r="R432" i="2"/>
  <c r="H432" i="2"/>
  <c r="R420" i="2"/>
  <c r="H420" i="2"/>
  <c r="AD420" i="2" s="1"/>
  <c r="R408" i="2"/>
  <c r="R396" i="2"/>
  <c r="H396" i="2"/>
  <c r="R384" i="2"/>
  <c r="H384" i="2"/>
  <c r="R372" i="2"/>
  <c r="R360" i="2"/>
  <c r="H360" i="2"/>
  <c r="R336" i="2"/>
  <c r="H336" i="2"/>
  <c r="R324" i="2"/>
  <c r="H324" i="2"/>
  <c r="H477" i="2"/>
  <c r="H465" i="2"/>
  <c r="R465" i="2"/>
  <c r="H417" i="2"/>
  <c r="R417" i="2"/>
  <c r="H393" i="2"/>
  <c r="R393" i="2"/>
  <c r="H345" i="2"/>
  <c r="R345" i="2"/>
  <c r="H333" i="2"/>
  <c r="R453" i="2"/>
  <c r="H450" i="2"/>
  <c r="H390" i="2"/>
  <c r="R390" i="2"/>
  <c r="R381" i="2"/>
  <c r="H474" i="2"/>
  <c r="R474" i="2"/>
  <c r="H462" i="2"/>
  <c r="R462" i="2"/>
  <c r="H402" i="2"/>
  <c r="R402" i="2"/>
  <c r="H330" i="2"/>
  <c r="R330" i="2"/>
  <c r="R77" i="2"/>
  <c r="B77" i="2" s="1"/>
  <c r="H50" i="2"/>
  <c r="AD452" i="2"/>
  <c r="AD400" i="2"/>
  <c r="R414" i="2"/>
  <c r="R378" i="2"/>
  <c r="R75" i="2"/>
  <c r="B75" i="2" s="1"/>
  <c r="R429" i="2"/>
  <c r="R447" i="2"/>
  <c r="B447" i="2" s="1"/>
  <c r="H84" i="2"/>
  <c r="H83" i="2"/>
  <c r="H226" i="2"/>
  <c r="B226" i="2" s="1"/>
  <c r="H48" i="2"/>
  <c r="AD48" i="2" s="1"/>
  <c r="H262" i="2"/>
  <c r="B262" i="2" s="1"/>
  <c r="R238" i="2"/>
  <c r="B238" i="2" s="1"/>
  <c r="H242" i="2"/>
  <c r="H122" i="2"/>
  <c r="AD122" i="2" s="1"/>
  <c r="H60" i="2"/>
  <c r="R166" i="2"/>
  <c r="B166" i="2" s="1"/>
  <c r="H250" i="2"/>
  <c r="AD250" i="2" s="1"/>
  <c r="H123" i="2"/>
  <c r="B123" i="2" s="1"/>
  <c r="H61" i="2"/>
  <c r="R235" i="2"/>
  <c r="B235" i="2" s="1"/>
  <c r="H239" i="2"/>
  <c r="AD239" i="2" s="1"/>
  <c r="H119" i="2"/>
  <c r="H59" i="2"/>
  <c r="AD59" i="2" s="1"/>
  <c r="H118" i="2"/>
  <c r="H58" i="2"/>
  <c r="H70" i="2"/>
  <c r="H228" i="2"/>
  <c r="R215" i="2"/>
  <c r="B215" i="2" s="1"/>
  <c r="H227" i="2"/>
  <c r="B227" i="2" s="1"/>
  <c r="H85" i="2"/>
  <c r="H49" i="2"/>
  <c r="R158" i="2"/>
  <c r="B158" i="2" s="1"/>
  <c r="R197" i="2"/>
  <c r="B197" i="2" s="1"/>
  <c r="R147" i="2"/>
  <c r="B147" i="2" s="1"/>
  <c r="R101" i="2"/>
  <c r="R42" i="2"/>
  <c r="AD42" i="2" s="1"/>
  <c r="H161" i="2"/>
  <c r="B161" i="2" s="1"/>
  <c r="H111" i="2"/>
  <c r="B111" i="2" s="1"/>
  <c r="H41" i="2"/>
  <c r="H308" i="2"/>
  <c r="H284" i="2"/>
  <c r="H272" i="2"/>
  <c r="H66" i="2"/>
  <c r="B66" i="2" s="1"/>
  <c r="R113" i="2"/>
  <c r="B113" i="2" s="1"/>
  <c r="R159" i="2"/>
  <c r="B159" i="2" s="1"/>
  <c r="H300" i="2"/>
  <c r="R194" i="2"/>
  <c r="AD194" i="2" s="1"/>
  <c r="R146" i="2"/>
  <c r="AD146" i="2" s="1"/>
  <c r="R98" i="2"/>
  <c r="B98" i="2" s="1"/>
  <c r="H110" i="2"/>
  <c r="AD110" i="2" s="1"/>
  <c r="H76" i="2"/>
  <c r="B76" i="2" s="1"/>
  <c r="H40" i="2"/>
  <c r="AD40" i="2" s="1"/>
  <c r="H173" i="2"/>
  <c r="B173" i="2" s="1"/>
  <c r="R234" i="2"/>
  <c r="B234" i="2" s="1"/>
  <c r="R90" i="2"/>
  <c r="H203" i="2"/>
  <c r="B203" i="2" s="1"/>
  <c r="H306" i="2"/>
  <c r="H294" i="2"/>
  <c r="H282" i="2"/>
  <c r="H65" i="2"/>
  <c r="AD65" i="2" s="1"/>
  <c r="R266" i="2"/>
  <c r="H78" i="2"/>
  <c r="B78" i="2" s="1"/>
  <c r="R233" i="2"/>
  <c r="AD233" i="2" s="1"/>
  <c r="R138" i="2"/>
  <c r="AD138" i="2" s="1"/>
  <c r="R89" i="2"/>
  <c r="R230" i="2"/>
  <c r="B230" i="2" s="1"/>
  <c r="R137" i="2"/>
  <c r="AD137" i="2" s="1"/>
  <c r="H251" i="2"/>
  <c r="AD251" i="2" s="1"/>
  <c r="H72" i="2"/>
  <c r="H114" i="2"/>
  <c r="B114" i="2" s="1"/>
  <c r="H73" i="2"/>
  <c r="H54" i="2"/>
  <c r="B54" i="2" s="1"/>
  <c r="B46" i="2"/>
  <c r="R134" i="2"/>
  <c r="H88" i="2"/>
  <c r="B88" i="2" s="1"/>
  <c r="H52" i="2"/>
  <c r="B52" i="2" s="1"/>
  <c r="R189" i="2"/>
  <c r="AD189" i="2" s="1"/>
  <c r="R217" i="2"/>
  <c r="B217" i="2" s="1"/>
  <c r="R188" i="2"/>
  <c r="B188" i="2" s="1"/>
  <c r="R55" i="2"/>
  <c r="B55" i="2" s="1"/>
  <c r="H241" i="2"/>
  <c r="B241" i="2" s="1"/>
  <c r="H313" i="2"/>
  <c r="H289" i="2"/>
  <c r="H265" i="2"/>
  <c r="R150" i="2"/>
  <c r="AD150" i="2" s="1"/>
  <c r="R115" i="2"/>
  <c r="B115" i="2" s="1"/>
  <c r="R87" i="2"/>
  <c r="B87" i="2" s="1"/>
  <c r="H288" i="2"/>
  <c r="R149" i="2"/>
  <c r="B149" i="2" s="1"/>
  <c r="R51" i="2"/>
  <c r="B51" i="2" s="1"/>
  <c r="H196" i="2"/>
  <c r="H160" i="2"/>
  <c r="R181" i="2"/>
  <c r="B181" i="2" s="1"/>
  <c r="H193" i="2"/>
  <c r="B193" i="2" s="1"/>
  <c r="R102" i="2"/>
  <c r="R71" i="2"/>
  <c r="H99" i="2"/>
  <c r="B99" i="2" s="1"/>
  <c r="R205" i="2"/>
  <c r="R229" i="2"/>
  <c r="B229" i="2" s="1"/>
  <c r="R135" i="2"/>
  <c r="AD135" i="2" s="1"/>
  <c r="R67" i="2"/>
  <c r="B67" i="2" s="1"/>
  <c r="H81" i="2"/>
  <c r="H69" i="2"/>
  <c r="H57" i="2"/>
  <c r="H45" i="2"/>
  <c r="H305" i="2"/>
  <c r="H269" i="2"/>
  <c r="H174" i="2"/>
  <c r="B174" i="2" s="1"/>
  <c r="B43" i="2"/>
  <c r="R162" i="2"/>
  <c r="B162" i="2" s="1"/>
  <c r="H92" i="2"/>
  <c r="H80" i="2"/>
  <c r="H44" i="2"/>
  <c r="R253" i="2"/>
  <c r="R126" i="2"/>
  <c r="B126" i="2" s="1"/>
  <c r="R95" i="2"/>
  <c r="B95" i="2" s="1"/>
  <c r="R246" i="2"/>
  <c r="B246" i="2" s="1"/>
  <c r="H132" i="2"/>
  <c r="B132" i="2" s="1"/>
  <c r="H264" i="2"/>
  <c r="H312" i="2"/>
  <c r="R212" i="2"/>
  <c r="AD212" i="2" s="1"/>
  <c r="R198" i="2"/>
  <c r="B198" i="2" s="1"/>
  <c r="H156" i="2"/>
  <c r="B156" i="2" s="1"/>
  <c r="H299" i="2"/>
  <c r="H155" i="2"/>
  <c r="H108" i="2"/>
  <c r="R223" i="2"/>
  <c r="B223" i="2" s="1"/>
  <c r="R236" i="2"/>
  <c r="AD236" i="2" s="1"/>
  <c r="R221" i="2"/>
  <c r="B221" i="2" s="1"/>
  <c r="R191" i="2"/>
  <c r="B191" i="2" s="1"/>
  <c r="R125" i="2"/>
  <c r="B125" i="2" s="1"/>
  <c r="H168" i="2"/>
  <c r="AD168" i="2" s="1"/>
  <c r="H142" i="2"/>
  <c r="H120" i="2"/>
  <c r="R288" i="2"/>
  <c r="H301" i="2"/>
  <c r="H314" i="2"/>
  <c r="H302" i="2"/>
  <c r="H290" i="2"/>
  <c r="H278" i="2"/>
  <c r="H266" i="2"/>
  <c r="AD266" i="2" s="1"/>
  <c r="R248" i="2"/>
  <c r="B248" i="2" s="1"/>
  <c r="R145" i="2"/>
  <c r="H249" i="2"/>
  <c r="B249" i="2" s="1"/>
  <c r="R247" i="2"/>
  <c r="B247" i="2" s="1"/>
  <c r="H97" i="2"/>
  <c r="AD313" i="2"/>
  <c r="R276" i="2"/>
  <c r="R74" i="2"/>
  <c r="R313" i="2"/>
  <c r="H96" i="2"/>
  <c r="R261" i="2"/>
  <c r="AD261" i="2" s="1"/>
  <c r="R199" i="2"/>
  <c r="B199" i="2" s="1"/>
  <c r="H180" i="2"/>
  <c r="B180" i="2" s="1"/>
  <c r="H94" i="2"/>
  <c r="H177" i="2"/>
  <c r="B177" i="2" s="1"/>
  <c r="H129" i="2"/>
  <c r="R265" i="2"/>
  <c r="R258" i="2"/>
  <c r="B258" i="2" s="1"/>
  <c r="R225" i="2"/>
  <c r="B225" i="2" s="1"/>
  <c r="R210" i="2"/>
  <c r="B210" i="2" s="1"/>
  <c r="R82" i="2"/>
  <c r="H195" i="2"/>
  <c r="H107" i="2"/>
  <c r="AD107" i="2" s="1"/>
  <c r="H277" i="2"/>
  <c r="H263" i="2"/>
  <c r="AD263" i="2" s="1"/>
  <c r="H276" i="2"/>
  <c r="AD276" i="2" s="1"/>
  <c r="R260" i="2"/>
  <c r="B260" i="2" s="1"/>
  <c r="H275" i="2"/>
  <c r="R211" i="2"/>
  <c r="AD211" i="2" s="1"/>
  <c r="R257" i="2"/>
  <c r="AD257" i="2" s="1"/>
  <c r="R224" i="2"/>
  <c r="B224" i="2" s="1"/>
  <c r="R209" i="2"/>
  <c r="B209" i="2" s="1"/>
  <c r="R179" i="2"/>
  <c r="AD179" i="2" s="1"/>
  <c r="R154" i="2"/>
  <c r="B154" i="2" s="1"/>
  <c r="H237" i="2"/>
  <c r="B237" i="2" s="1"/>
  <c r="H106" i="2"/>
  <c r="R201" i="2"/>
  <c r="B201" i="2" s="1"/>
  <c r="R200" i="2"/>
  <c r="B200" i="2" s="1"/>
  <c r="H222" i="2"/>
  <c r="B222" i="2" s="1"/>
  <c r="H130" i="2"/>
  <c r="H287" i="2"/>
  <c r="R178" i="2"/>
  <c r="B178" i="2" s="1"/>
  <c r="H213" i="2"/>
  <c r="B213" i="2" s="1"/>
  <c r="H144" i="2"/>
  <c r="H105" i="2"/>
  <c r="H310" i="2"/>
  <c r="B182" i="2"/>
  <c r="H133" i="2"/>
  <c r="H157" i="2"/>
  <c r="B157" i="2" s="1"/>
  <c r="H311" i="2"/>
  <c r="B84" i="2"/>
  <c r="R259" i="2"/>
  <c r="B259" i="2" s="1"/>
  <c r="R192" i="2"/>
  <c r="B192" i="2" s="1"/>
  <c r="H169" i="2"/>
  <c r="B169" i="2" s="1"/>
  <c r="H143" i="2"/>
  <c r="H121" i="2"/>
  <c r="R289" i="2"/>
  <c r="H309" i="2"/>
  <c r="AD309" i="2" s="1"/>
  <c r="H298" i="2"/>
  <c r="H274" i="2"/>
  <c r="H297" i="2"/>
  <c r="H285" i="2"/>
  <c r="H273" i="2"/>
  <c r="R298" i="2"/>
  <c r="R297" i="2"/>
  <c r="R272" i="2"/>
  <c r="R309" i="2"/>
  <c r="H296" i="2"/>
  <c r="R308" i="2"/>
  <c r="R286" i="2"/>
  <c r="R274" i="2"/>
  <c r="H286" i="2"/>
  <c r="AD286" i="2" s="1"/>
  <c r="R273" i="2"/>
  <c r="R305" i="2"/>
  <c r="R285" i="2"/>
  <c r="H293" i="2"/>
  <c r="H281" i="2"/>
  <c r="R163" i="2"/>
  <c r="B163" i="2" s="1"/>
  <c r="R128" i="2"/>
  <c r="B128" i="2" s="1"/>
  <c r="R256" i="2"/>
  <c r="B256" i="2" s="1"/>
  <c r="R208" i="2"/>
  <c r="B208" i="2" s="1"/>
  <c r="H172" i="2"/>
  <c r="R255" i="2"/>
  <c r="B255" i="2" s="1"/>
  <c r="R304" i="2"/>
  <c r="H304" i="2"/>
  <c r="R280" i="2"/>
  <c r="H280" i="2"/>
  <c r="R268" i="2"/>
  <c r="H268" i="2"/>
  <c r="R139" i="2"/>
  <c r="R124" i="2"/>
  <c r="R104" i="2"/>
  <c r="B104" i="2" s="1"/>
  <c r="R68" i="2"/>
  <c r="H219" i="2"/>
  <c r="H186" i="2"/>
  <c r="AD186" i="2" s="1"/>
  <c r="H148" i="2"/>
  <c r="H131" i="2"/>
  <c r="R317" i="2"/>
  <c r="R281" i="2"/>
  <c r="H320" i="2"/>
  <c r="AD320" i="2" s="1"/>
  <c r="R315" i="2"/>
  <c r="H315" i="2"/>
  <c r="R303" i="2"/>
  <c r="H303" i="2"/>
  <c r="R291" i="2"/>
  <c r="H291" i="2"/>
  <c r="R279" i="2"/>
  <c r="H279" i="2"/>
  <c r="R267" i="2"/>
  <c r="H267" i="2"/>
  <c r="R91" i="2"/>
  <c r="R56" i="2"/>
  <c r="H243" i="2"/>
  <c r="AD243" i="2" s="1"/>
  <c r="R295" i="2"/>
  <c r="R176" i="2"/>
  <c r="B176" i="2" s="1"/>
  <c r="H112" i="2"/>
  <c r="R318" i="2"/>
  <c r="R294" i="2"/>
  <c r="R270" i="2"/>
  <c r="R292" i="2"/>
  <c r="H292" i="2"/>
  <c r="R103" i="2"/>
  <c r="B103" i="2" s="1"/>
  <c r="R263" i="2"/>
  <c r="R164" i="2"/>
  <c r="B164" i="2" s="1"/>
  <c r="H207" i="2"/>
  <c r="B207" i="2" s="1"/>
  <c r="R319" i="2"/>
  <c r="R307" i="2"/>
  <c r="R283" i="2"/>
  <c r="R271" i="2"/>
  <c r="R127" i="2"/>
  <c r="H100" i="2"/>
  <c r="R244" i="2"/>
  <c r="R232" i="2"/>
  <c r="AD232" i="2" s="1"/>
  <c r="R220" i="2"/>
  <c r="B220" i="2" s="1"/>
  <c r="R187" i="2"/>
  <c r="AD187" i="2" s="1"/>
  <c r="R175" i="2"/>
  <c r="AD175" i="2" s="1"/>
  <c r="H116" i="2"/>
  <c r="R53" i="2"/>
  <c r="H240" i="2"/>
  <c r="B240" i="2" s="1"/>
  <c r="H204" i="2"/>
  <c r="AD204" i="2" s="1"/>
  <c r="H151" i="2"/>
  <c r="R320" i="2"/>
  <c r="R284" i="2"/>
  <c r="R316" i="2"/>
  <c r="H316" i="2"/>
  <c r="R252" i="2"/>
  <c r="H318" i="2"/>
  <c r="H271" i="2"/>
  <c r="R136" i="2"/>
  <c r="B136" i="2" s="1"/>
  <c r="H216" i="2"/>
  <c r="H183" i="2"/>
  <c r="H109" i="2"/>
  <c r="H317" i="2"/>
  <c r="AD317" i="2" s="1"/>
  <c r="H270" i="2"/>
  <c r="R306" i="2"/>
  <c r="R282" i="2"/>
  <c r="R231" i="2"/>
  <c r="B231" i="2" s="1"/>
  <c r="R140" i="2"/>
  <c r="R183" i="2"/>
  <c r="R152" i="2"/>
  <c r="B152" i="2" s="1"/>
  <c r="R167" i="2"/>
  <c r="B167" i="2" s="1"/>
  <c r="R100" i="2"/>
  <c r="H245" i="2"/>
  <c r="AD43" i="2"/>
  <c r="AC263" i="2"/>
  <c r="AD123" i="2"/>
  <c r="R165" i="2"/>
  <c r="AD165" i="2" s="1"/>
  <c r="R141" i="2"/>
  <c r="B141" i="2" s="1"/>
  <c r="R117" i="2"/>
  <c r="B117" i="2" s="1"/>
  <c r="R93" i="2"/>
  <c r="B93" i="2" s="1"/>
  <c r="H153" i="2"/>
  <c r="H39" i="2"/>
  <c r="AD227" i="2"/>
  <c r="AD46" i="2"/>
  <c r="B202" i="2"/>
  <c r="AD202" i="2"/>
  <c r="B214" i="2"/>
  <c r="AD214" i="2"/>
  <c r="AD182" i="2"/>
  <c r="B155" i="2"/>
  <c r="AD155" i="2"/>
  <c r="H38" i="2"/>
  <c r="H37" i="2"/>
  <c r="H36" i="2"/>
  <c r="H35" i="2"/>
  <c r="H32" i="2"/>
  <c r="H34" i="2"/>
  <c r="H31" i="2"/>
  <c r="H23" i="2"/>
  <c r="H30" i="2"/>
  <c r="H24" i="2"/>
  <c r="H26" i="2"/>
  <c r="H33" i="2"/>
  <c r="R33" i="2"/>
  <c r="H29" i="2"/>
  <c r="R32" i="2"/>
  <c r="R31" i="2"/>
  <c r="R30" i="2"/>
  <c r="H28" i="2"/>
  <c r="H27" i="2"/>
  <c r="R26" i="2"/>
  <c r="H25" i="2"/>
  <c r="R24" i="2"/>
  <c r="H9" i="2"/>
  <c r="B9" i="2" s="1"/>
  <c r="H22" i="2"/>
  <c r="R23" i="2"/>
  <c r="R22" i="2"/>
  <c r="H21" i="2"/>
  <c r="H20" i="2"/>
  <c r="H19" i="2"/>
  <c r="H18" i="2"/>
  <c r="H17" i="2"/>
  <c r="H14" i="2"/>
  <c r="H16" i="2"/>
  <c r="H13" i="2"/>
  <c r="H12" i="2"/>
  <c r="H15" i="2"/>
  <c r="H11" i="2"/>
  <c r="R15" i="2"/>
  <c r="H10" i="2"/>
  <c r="R14" i="2"/>
  <c r="H8" i="2"/>
  <c r="H7" i="2"/>
  <c r="H6" i="2"/>
  <c r="H5" i="2"/>
  <c r="H3" i="2"/>
  <c r="H4" i="2"/>
  <c r="R3" i="2"/>
  <c r="AD344" i="2" l="1"/>
  <c r="B453" i="2"/>
  <c r="AD435" i="2"/>
  <c r="AD51" i="2"/>
  <c r="B416" i="2"/>
  <c r="AD403" i="2"/>
  <c r="AD444" i="2"/>
  <c r="B250" i="2"/>
  <c r="B381" i="2"/>
  <c r="B344" i="2"/>
  <c r="B184" i="2"/>
  <c r="AD114" i="2"/>
  <c r="B48" i="2"/>
  <c r="AD325" i="2"/>
  <c r="B428" i="2"/>
  <c r="B370" i="2"/>
  <c r="B479" i="2"/>
  <c r="B362" i="2"/>
  <c r="AD436" i="2"/>
  <c r="AD464" i="2"/>
  <c r="AD445" i="2"/>
  <c r="B378" i="2"/>
  <c r="AD376" i="2"/>
  <c r="B434" i="2"/>
  <c r="B422" i="2"/>
  <c r="B373" i="2"/>
  <c r="B399" i="2"/>
  <c r="AD416" i="2"/>
  <c r="B332" i="2"/>
  <c r="B443" i="2"/>
  <c r="B375" i="2"/>
  <c r="B380" i="2"/>
  <c r="B384" i="2"/>
  <c r="AD453" i="2"/>
  <c r="B426" i="2"/>
  <c r="B414" i="2"/>
  <c r="B418" i="2"/>
  <c r="AD405" i="2"/>
  <c r="B342" i="2"/>
  <c r="B368" i="2"/>
  <c r="AD337" i="2"/>
  <c r="B348" i="2"/>
  <c r="AD386" i="2"/>
  <c r="B481" i="2"/>
  <c r="B350" i="2"/>
  <c r="B469" i="2"/>
  <c r="AD363" i="2"/>
  <c r="B421" i="2"/>
  <c r="AD421" i="2"/>
  <c r="B392" i="2"/>
  <c r="AD392" i="2"/>
  <c r="B366" i="2"/>
  <c r="AD366" i="2"/>
  <c r="B429" i="2"/>
  <c r="AD429" i="2"/>
  <c r="AD402" i="2"/>
  <c r="AD456" i="2"/>
  <c r="AD404" i="2"/>
  <c r="AD415" i="2"/>
  <c r="AD342" i="2"/>
  <c r="AD374" i="2"/>
  <c r="AD471" i="2"/>
  <c r="AD393" i="2"/>
  <c r="AD361" i="2"/>
  <c r="AD390" i="2"/>
  <c r="AD406" i="2"/>
  <c r="AD409" i="2"/>
  <c r="AD330" i="2"/>
  <c r="AD327" i="2"/>
  <c r="AD378" i="2"/>
  <c r="AD324" i="2"/>
  <c r="AD355" i="2"/>
  <c r="B431" i="2"/>
  <c r="B325" i="2"/>
  <c r="B338" i="2"/>
  <c r="AD414" i="2"/>
  <c r="AD468" i="2"/>
  <c r="B349" i="2"/>
  <c r="AD432" i="2"/>
  <c r="AD332" i="2"/>
  <c r="AD391" i="2"/>
  <c r="AD459" i="2"/>
  <c r="AD417" i="2"/>
  <c r="B440" i="2"/>
  <c r="AD407" i="2"/>
  <c r="B385" i="2"/>
  <c r="AD480" i="2"/>
  <c r="AD47" i="2"/>
  <c r="AD428" i="2"/>
  <c r="B410" i="2"/>
  <c r="AD397" i="2"/>
  <c r="AD381" i="2"/>
  <c r="AD426" i="2"/>
  <c r="AD483" i="2"/>
  <c r="AD475" i="2"/>
  <c r="B206" i="2"/>
  <c r="AD470" i="2"/>
  <c r="AD338" i="2"/>
  <c r="AD394" i="2"/>
  <c r="B444" i="2"/>
  <c r="AD184" i="2"/>
  <c r="B387" i="2"/>
  <c r="AD446" i="2"/>
  <c r="B170" i="2"/>
  <c r="AD373" i="2"/>
  <c r="AD441" i="2"/>
  <c r="B351" i="2"/>
  <c r="B293" i="2"/>
  <c r="B468" i="2"/>
  <c r="AD481" i="2"/>
  <c r="B63" i="2"/>
  <c r="AD410" i="2"/>
  <c r="AD458" i="2"/>
  <c r="AD238" i="2"/>
  <c r="AD254" i="2"/>
  <c r="B435" i="2"/>
  <c r="B218" i="2"/>
  <c r="B343" i="2"/>
  <c r="B339" i="2"/>
  <c r="B323" i="2"/>
  <c r="B65" i="2"/>
  <c r="AD346" i="2"/>
  <c r="B324" i="2"/>
  <c r="B64" i="2"/>
  <c r="B442" i="2"/>
  <c r="AD191" i="2"/>
  <c r="AD399" i="2"/>
  <c r="AD62" i="2"/>
  <c r="AD345" i="2"/>
  <c r="AD382" i="2"/>
  <c r="AD349" i="2"/>
  <c r="B363" i="2"/>
  <c r="B179" i="2"/>
  <c r="B360" i="2"/>
  <c r="AD439" i="2"/>
  <c r="AD433" i="2"/>
  <c r="AD379" i="2"/>
  <c r="B419" i="2"/>
  <c r="AD398" i="2"/>
  <c r="B411" i="2"/>
  <c r="AD411" i="2"/>
  <c r="AD482" i="2"/>
  <c r="B482" i="2"/>
  <c r="B326" i="2"/>
  <c r="AD323" i="2"/>
  <c r="B470" i="2"/>
  <c r="B439" i="2"/>
  <c r="B409" i="2"/>
  <c r="B86" i="2"/>
  <c r="B367" i="2"/>
  <c r="B456" i="2"/>
  <c r="B398" i="2"/>
  <c r="AD375" i="2"/>
  <c r="AD422" i="2"/>
  <c r="AD171" i="2"/>
  <c r="AD289" i="2"/>
  <c r="AD287" i="2"/>
  <c r="AD423" i="2"/>
  <c r="B474" i="2"/>
  <c r="AD477" i="2"/>
  <c r="AD463" i="2"/>
  <c r="AD451" i="2"/>
  <c r="B445" i="2"/>
  <c r="B430" i="2"/>
  <c r="B347" i="2"/>
  <c r="B395" i="2"/>
  <c r="B476" i="2"/>
  <c r="AD476" i="2"/>
  <c r="AD339" i="2"/>
  <c r="AD387" i="2"/>
  <c r="B361" i="2"/>
  <c r="B393" i="2"/>
  <c r="B459" i="2"/>
  <c r="B47" i="2"/>
  <c r="B331" i="2"/>
  <c r="AD383" i="2"/>
  <c r="B483" i="2"/>
  <c r="AD466" i="2"/>
  <c r="B397" i="2"/>
  <c r="AD64" i="2"/>
  <c r="B85" i="2"/>
  <c r="B327" i="2"/>
  <c r="AD333" i="2"/>
  <c r="AD396" i="2"/>
  <c r="AD351" i="2"/>
  <c r="B432" i="2"/>
  <c r="AD469" i="2"/>
  <c r="B471" i="2"/>
  <c r="AD358" i="2"/>
  <c r="AD450" i="2"/>
  <c r="B371" i="2"/>
  <c r="AD368" i="2"/>
  <c r="B462" i="2"/>
  <c r="AD190" i="2"/>
  <c r="AD335" i="2"/>
  <c r="AD278" i="2"/>
  <c r="B59" i="2"/>
  <c r="B465" i="2"/>
  <c r="AD362" i="2"/>
  <c r="AD457" i="2"/>
  <c r="AD478" i="2"/>
  <c r="AD467" i="2"/>
  <c r="AD359" i="2"/>
  <c r="AD348" i="2"/>
  <c r="B458" i="2"/>
  <c r="B433" i="2"/>
  <c r="AD447" i="2"/>
  <c r="B374" i="2"/>
  <c r="AD434" i="2"/>
  <c r="AD350" i="2"/>
  <c r="AD336" i="2"/>
  <c r="AD79" i="2"/>
  <c r="B79" i="2"/>
  <c r="B405" i="2"/>
  <c r="B379" i="2"/>
  <c r="AD408" i="2"/>
  <c r="B412" i="2"/>
  <c r="AD314" i="2"/>
  <c r="B353" i="2"/>
  <c r="AD347" i="2"/>
  <c r="B365" i="2"/>
  <c r="AD372" i="2"/>
  <c r="AD354" i="2"/>
  <c r="AD369" i="2"/>
  <c r="AD465" i="2"/>
  <c r="AD430" i="2"/>
  <c r="AD418" i="2"/>
  <c r="AD442" i="2"/>
  <c r="B467" i="2"/>
  <c r="AD226" i="2"/>
  <c r="B72" i="2"/>
  <c r="AD462" i="2"/>
  <c r="B423" i="2"/>
  <c r="AD384" i="2"/>
  <c r="B401" i="2"/>
  <c r="AD331" i="2"/>
  <c r="B329" i="2"/>
  <c r="AD371" i="2"/>
  <c r="AD419" i="2"/>
  <c r="AD334" i="2"/>
  <c r="AD370" i="2"/>
  <c r="AD360" i="2"/>
  <c r="B464" i="2"/>
  <c r="B455" i="2"/>
  <c r="B337" i="2"/>
  <c r="B454" i="2"/>
  <c r="B334" i="2"/>
  <c r="B376" i="2"/>
  <c r="B50" i="2"/>
  <c r="AD159" i="2"/>
  <c r="B321" i="2"/>
  <c r="AD474" i="2"/>
  <c r="AD454" i="2"/>
  <c r="AD479" i="2"/>
  <c r="AD357" i="2"/>
  <c r="AD443" i="2"/>
  <c r="AD395" i="2"/>
  <c r="B388" i="2"/>
  <c r="AD455" i="2"/>
  <c r="AD223" i="2"/>
  <c r="AD60" i="2"/>
  <c r="B328" i="2"/>
  <c r="AD367" i="2"/>
  <c r="AD343" i="2"/>
  <c r="AD431" i="2"/>
  <c r="B122" i="2"/>
  <c r="AD54" i="2"/>
  <c r="B135" i="2"/>
  <c r="B276" i="2"/>
  <c r="B242" i="2"/>
  <c r="AD237" i="2"/>
  <c r="AD99" i="2"/>
  <c r="B306" i="2"/>
  <c r="B60" i="2"/>
  <c r="B251" i="2"/>
  <c r="AD143" i="2"/>
  <c r="B70" i="2"/>
  <c r="AD103" i="2"/>
  <c r="B83" i="2"/>
  <c r="AD262" i="2"/>
  <c r="AD78" i="2"/>
  <c r="B58" i="2"/>
  <c r="AD300" i="2"/>
  <c r="AD173" i="2"/>
  <c r="B119" i="2"/>
  <c r="AD304" i="2"/>
  <c r="B118" i="2"/>
  <c r="AD192" i="2"/>
  <c r="B150" i="2"/>
  <c r="B233" i="2"/>
  <c r="AD234" i="2"/>
  <c r="B236" i="2"/>
  <c r="AD149" i="2"/>
  <c r="AD77" i="2"/>
  <c r="AD188" i="2"/>
  <c r="B138" i="2"/>
  <c r="AD172" i="2"/>
  <c r="AD217" i="2"/>
  <c r="AD258" i="2"/>
  <c r="AD178" i="2"/>
  <c r="AD302" i="2"/>
  <c r="AD113" i="2"/>
  <c r="AD255" i="2"/>
  <c r="AD121" i="2"/>
  <c r="B42" i="2"/>
  <c r="AD169" i="2"/>
  <c r="B290" i="2"/>
  <c r="AD299" i="2"/>
  <c r="B228" i="2"/>
  <c r="AD312" i="2"/>
  <c r="AD288" i="2"/>
  <c r="B129" i="2"/>
  <c r="AD66" i="2"/>
  <c r="B245" i="2"/>
  <c r="B305" i="2"/>
  <c r="AD96" i="2"/>
  <c r="AD101" i="2"/>
  <c r="B101" i="2"/>
  <c r="AD166" i="2"/>
  <c r="B239" i="2"/>
  <c r="AD215" i="2"/>
  <c r="AD132" i="2"/>
  <c r="AD246" i="2"/>
  <c r="B275" i="2"/>
  <c r="B94" i="2"/>
  <c r="AD241" i="2"/>
  <c r="AD161" i="2"/>
  <c r="AD131" i="2"/>
  <c r="B146" i="2"/>
  <c r="B211" i="2"/>
  <c r="AD193" i="2"/>
  <c r="B261" i="2"/>
  <c r="AD277" i="2"/>
  <c r="AD158" i="2"/>
  <c r="AD88" i="2"/>
  <c r="AD106" i="2"/>
  <c r="AD290" i="2"/>
  <c r="AD196" i="2"/>
  <c r="B265" i="2"/>
  <c r="B168" i="2"/>
  <c r="AD129" i="2"/>
  <c r="B49" i="2"/>
  <c r="AD235" i="2"/>
  <c r="AD203" i="2"/>
  <c r="AD242" i="2"/>
  <c r="B61" i="2"/>
  <c r="AD97" i="2"/>
  <c r="B134" i="2"/>
  <c r="AD134" i="2"/>
  <c r="B89" i="2"/>
  <c r="AD89" i="2"/>
  <c r="B90" i="2"/>
  <c r="AD90" i="2"/>
  <c r="B284" i="2"/>
  <c r="B189" i="2"/>
  <c r="AD76" i="2"/>
  <c r="B142" i="2"/>
  <c r="B44" i="2"/>
  <c r="B41" i="2"/>
  <c r="B314" i="2"/>
  <c r="AD98" i="2"/>
  <c r="B308" i="2"/>
  <c r="B285" i="2"/>
  <c r="AD115" i="2"/>
  <c r="B300" i="2"/>
  <c r="AD265" i="2"/>
  <c r="AD197" i="2"/>
  <c r="AD52" i="2"/>
  <c r="AD297" i="2"/>
  <c r="B313" i="2"/>
  <c r="AD221" i="2"/>
  <c r="AD181" i="2"/>
  <c r="AD174" i="2"/>
  <c r="B137" i="2"/>
  <c r="AD160" i="2"/>
  <c r="AD75" i="2"/>
  <c r="B263" i="2"/>
  <c r="B194" i="2"/>
  <c r="B269" i="2"/>
  <c r="B301" i="2"/>
  <c r="B73" i="2"/>
  <c r="B277" i="2"/>
  <c r="B107" i="2"/>
  <c r="B40" i="2"/>
  <c r="AD147" i="2"/>
  <c r="B110" i="2"/>
  <c r="B130" i="2"/>
  <c r="AD229" i="2"/>
  <c r="AD177" i="2"/>
  <c r="B81" i="2"/>
  <c r="AD275" i="2"/>
  <c r="B133" i="2"/>
  <c r="AD108" i="2"/>
  <c r="AD260" i="2"/>
  <c r="AD67" i="2"/>
  <c r="AD87" i="2"/>
  <c r="B80" i="2"/>
  <c r="AD311" i="2"/>
  <c r="AD201" i="2"/>
  <c r="AD111" i="2"/>
  <c r="B92" i="2"/>
  <c r="B69" i="2"/>
  <c r="AD148" i="2"/>
  <c r="AD144" i="2"/>
  <c r="B302" i="2"/>
  <c r="B253" i="2"/>
  <c r="AD253" i="2"/>
  <c r="B205" i="2"/>
  <c r="AD205" i="2"/>
  <c r="B71" i="2"/>
  <c r="AD71" i="2"/>
  <c r="AD102" i="2"/>
  <c r="B102" i="2"/>
  <c r="B74" i="2"/>
  <c r="AD74" i="2"/>
  <c r="AD95" i="2"/>
  <c r="AD109" i="2"/>
  <c r="B143" i="2"/>
  <c r="B108" i="2"/>
  <c r="AD85" i="2"/>
  <c r="AD259" i="2"/>
  <c r="AD41" i="2"/>
  <c r="B160" i="2"/>
  <c r="B196" i="2"/>
  <c r="B299" i="2"/>
  <c r="AD240" i="2"/>
  <c r="AD280" i="2"/>
  <c r="B287" i="2"/>
  <c r="B309" i="2"/>
  <c r="AD162" i="2"/>
  <c r="B121" i="2"/>
  <c r="AD316" i="2"/>
  <c r="B312" i="2"/>
  <c r="AD224" i="2"/>
  <c r="B148" i="2"/>
  <c r="AD105" i="2"/>
  <c r="B96" i="2"/>
  <c r="AD80" i="2"/>
  <c r="B57" i="2"/>
  <c r="AD94" i="2"/>
  <c r="AD126" i="2"/>
  <c r="B278" i="2"/>
  <c r="AD142" i="2"/>
  <c r="B45" i="2"/>
  <c r="AD154" i="2"/>
  <c r="AD49" i="2"/>
  <c r="AD84" i="2"/>
  <c r="AD55" i="2"/>
  <c r="B288" i="2"/>
  <c r="B195" i="2"/>
  <c r="B298" i="2"/>
  <c r="B297" i="2"/>
  <c r="AD133" i="2"/>
  <c r="B106" i="2"/>
  <c r="B145" i="2"/>
  <c r="AD145" i="2"/>
  <c r="B82" i="2"/>
  <c r="AD82" i="2"/>
  <c r="AD163" i="2"/>
  <c r="B212" i="2"/>
  <c r="B105" i="2"/>
  <c r="AD301" i="2"/>
  <c r="AD298" i="2"/>
  <c r="AD248" i="2"/>
  <c r="B318" i="2"/>
  <c r="B144" i="2"/>
  <c r="AD50" i="2"/>
  <c r="AD58" i="2"/>
  <c r="B289" i="2"/>
  <c r="AD230" i="2"/>
  <c r="B116" i="2"/>
  <c r="AD296" i="2"/>
  <c r="B311" i="2"/>
  <c r="AD72" i="2"/>
  <c r="AD209" i="2"/>
  <c r="AD213" i="2"/>
  <c r="AD151" i="2"/>
  <c r="AD83" i="2"/>
  <c r="AD61" i="2"/>
  <c r="AD125" i="2"/>
  <c r="AD264" i="2"/>
  <c r="B120" i="2"/>
  <c r="B172" i="2"/>
  <c r="B310" i="2"/>
  <c r="B266" i="2"/>
  <c r="AD199" i="2"/>
  <c r="AD200" i="2"/>
  <c r="AD73" i="2"/>
  <c r="AD180" i="2"/>
  <c r="AD207" i="2"/>
  <c r="AD249" i="2"/>
  <c r="AD157" i="2"/>
  <c r="B257" i="2"/>
  <c r="AD70" i="2"/>
  <c r="AD112" i="2"/>
  <c r="B131" i="2"/>
  <c r="B243" i="2"/>
  <c r="B97" i="2"/>
  <c r="AD198" i="2"/>
  <c r="AD156" i="2"/>
  <c r="AD225" i="2"/>
  <c r="B216" i="2"/>
  <c r="AD118" i="2"/>
  <c r="AD247" i="2"/>
  <c r="AD210" i="2"/>
  <c r="AD222" i="2"/>
  <c r="AD130" i="2"/>
  <c r="AD69" i="2"/>
  <c r="B153" i="2"/>
  <c r="AD268" i="2"/>
  <c r="AD283" i="2"/>
  <c r="AD116" i="2"/>
  <c r="AD267" i="2"/>
  <c r="AD315" i="2"/>
  <c r="AD319" i="2"/>
  <c r="AD285" i="2"/>
  <c r="AD81" i="2"/>
  <c r="AD44" i="2"/>
  <c r="AD305" i="2"/>
  <c r="AD120" i="2"/>
  <c r="AD216" i="2"/>
  <c r="AD57" i="2"/>
  <c r="AD136" i="2"/>
  <c r="AD292" i="2"/>
  <c r="AD279" i="2"/>
  <c r="B273" i="2"/>
  <c r="B274" i="2"/>
  <c r="AD293" i="2"/>
  <c r="AD281" i="2"/>
  <c r="B271" i="2"/>
  <c r="AD167" i="2"/>
  <c r="AD195" i="2"/>
  <c r="AD219" i="2"/>
  <c r="B270" i="2"/>
  <c r="AD274" i="2"/>
  <c r="AD273" i="2"/>
  <c r="AD208" i="2"/>
  <c r="AD104" i="2"/>
  <c r="AD231" i="2"/>
  <c r="AD92" i="2"/>
  <c r="AD291" i="2"/>
  <c r="B296" i="2"/>
  <c r="B317" i="2"/>
  <c r="AD256" i="2"/>
  <c r="B187" i="2"/>
  <c r="AD176" i="2"/>
  <c r="AD245" i="2"/>
  <c r="AD269" i="2"/>
  <c r="AD310" i="2"/>
  <c r="AD119" i="2"/>
  <c r="AD152" i="2"/>
  <c r="AD45" i="2"/>
  <c r="AD303" i="2"/>
  <c r="B286" i="2"/>
  <c r="B140" i="2"/>
  <c r="AD140" i="2"/>
  <c r="AD252" i="2"/>
  <c r="B252" i="2"/>
  <c r="B53" i="2"/>
  <c r="AD53" i="2"/>
  <c r="B127" i="2"/>
  <c r="AD127" i="2"/>
  <c r="B139" i="2"/>
  <c r="AD139" i="2"/>
  <c r="B183" i="2"/>
  <c r="AD183" i="2"/>
  <c r="B244" i="2"/>
  <c r="AD244" i="2"/>
  <c r="B100" i="2"/>
  <c r="AD100" i="2"/>
  <c r="B68" i="2"/>
  <c r="AD68" i="2"/>
  <c r="B56" i="2"/>
  <c r="AD56" i="2"/>
  <c r="B91" i="2"/>
  <c r="AD91" i="2"/>
  <c r="B124" i="2"/>
  <c r="AD124" i="2"/>
  <c r="AD284" i="2"/>
  <c r="B264" i="2"/>
  <c r="B186" i="2"/>
  <c r="AD220" i="2"/>
  <c r="AD271" i="2"/>
  <c r="B204" i="2"/>
  <c r="B175" i="2"/>
  <c r="B319" i="2"/>
  <c r="B112" i="2"/>
  <c r="B109" i="2"/>
  <c r="AD295" i="2"/>
  <c r="B281" i="2"/>
  <c r="AD164" i="2"/>
  <c r="AD294" i="2"/>
  <c r="AD228" i="2"/>
  <c r="B283" i="2"/>
  <c r="B272" i="2"/>
  <c r="AD318" i="2"/>
  <c r="AD272" i="2"/>
  <c r="AD306" i="2"/>
  <c r="B232" i="2"/>
  <c r="AD270" i="2"/>
  <c r="B151" i="2"/>
  <c r="AD307" i="2"/>
  <c r="B307" i="2"/>
  <c r="AD128" i="2"/>
  <c r="AD282" i="2"/>
  <c r="B219" i="2"/>
  <c r="AD308" i="2"/>
  <c r="AD153" i="2"/>
  <c r="AD117" i="2"/>
  <c r="AD93" i="2"/>
  <c r="B165" i="2"/>
  <c r="AD141" i="2"/>
  <c r="B29" i="2"/>
  <c r="AD29" i="2"/>
  <c r="AD9" i="2"/>
  <c r="B450" i="2" l="1"/>
  <c r="B415" i="2"/>
  <c r="B369" i="2"/>
  <c r="B372" i="2"/>
  <c r="B451" i="2"/>
  <c r="B330" i="2"/>
  <c r="B394" i="2"/>
  <c r="B427" i="2"/>
  <c r="B417" i="2"/>
  <c r="B355" i="2"/>
  <c r="B475" i="2"/>
  <c r="B358" i="2"/>
  <c r="B357" i="2"/>
  <c r="B390" i="2"/>
  <c r="B402" i="2"/>
  <c r="B391" i="2"/>
  <c r="B345" i="2"/>
  <c r="B354" i="2"/>
  <c r="B478" i="2"/>
  <c r="B383" i="2"/>
  <c r="B480" i="2"/>
  <c r="B335" i="2"/>
  <c r="B333" i="2"/>
  <c r="B420" i="2"/>
  <c r="B406" i="2"/>
  <c r="B359" i="2"/>
  <c r="B466" i="2"/>
  <c r="B407" i="2"/>
  <c r="B336" i="2"/>
  <c r="B382" i="2"/>
  <c r="B463" i="2"/>
  <c r="B346" i="2"/>
  <c r="B396" i="2"/>
  <c r="B408" i="2"/>
  <c r="B403" i="2"/>
  <c r="B477" i="2"/>
  <c r="B295" i="2"/>
  <c r="B320" i="2"/>
  <c r="B304" i="2"/>
  <c r="B267" i="2"/>
  <c r="B279" i="2"/>
  <c r="B282" i="2"/>
  <c r="B268" i="2"/>
  <c r="B303" i="2"/>
  <c r="B291" i="2"/>
  <c r="B280" i="2"/>
  <c r="B294" i="2"/>
  <c r="B292" i="2"/>
  <c r="B315" i="2"/>
  <c r="B316" i="2"/>
  <c r="C4" i="1"/>
  <c r="C5" i="1"/>
  <c r="C6" i="1"/>
  <c r="C7" i="1"/>
  <c r="C8" i="1"/>
  <c r="C10" i="1"/>
  <c r="C11" i="1"/>
  <c r="C12" i="1"/>
  <c r="C13" i="1"/>
  <c r="C14" i="1"/>
  <c r="C15" i="1"/>
  <c r="C16" i="1"/>
  <c r="G4" i="1"/>
  <c r="G5" i="1"/>
  <c r="G6" i="1"/>
  <c r="G7" i="1"/>
  <c r="G8" i="1"/>
  <c r="G9" i="1"/>
  <c r="G10" i="1"/>
  <c r="G11" i="1"/>
  <c r="G12" i="1"/>
  <c r="G13" i="1"/>
  <c r="G14" i="1"/>
  <c r="G15" i="1"/>
  <c r="G16" i="1"/>
  <c r="H4" i="1"/>
  <c r="H5" i="1"/>
  <c r="H6" i="1"/>
  <c r="H7" i="1"/>
  <c r="H8" i="1"/>
  <c r="H9" i="1"/>
  <c r="H10" i="1"/>
  <c r="H11" i="1"/>
  <c r="H12" i="1"/>
  <c r="H13" i="1"/>
  <c r="H14" i="1"/>
  <c r="H15" i="1"/>
  <c r="H16" i="1"/>
  <c r="I4" i="1"/>
  <c r="I5" i="1"/>
  <c r="I6" i="1"/>
  <c r="I7" i="1"/>
  <c r="I8" i="1"/>
  <c r="I9" i="1"/>
  <c r="I10" i="1"/>
  <c r="I11" i="1"/>
  <c r="I12" i="1"/>
  <c r="I13" i="1"/>
  <c r="I14" i="1"/>
  <c r="I15" i="1"/>
  <c r="I16" i="1"/>
  <c r="J4" i="1"/>
  <c r="J5" i="1"/>
  <c r="J6" i="1"/>
  <c r="J7" i="1"/>
  <c r="J8" i="1"/>
  <c r="J9" i="1"/>
  <c r="J10" i="1"/>
  <c r="J11" i="1"/>
  <c r="J12" i="1"/>
  <c r="J13" i="1"/>
  <c r="J14" i="1"/>
  <c r="J15" i="1"/>
  <c r="J16" i="1"/>
  <c r="C3" i="1"/>
  <c r="E2" i="2"/>
  <c r="AC2" i="2"/>
  <c r="F3" i="10"/>
  <c r="H3" i="10"/>
  <c r="D2" i="2"/>
  <c r="X2" i="2"/>
  <c r="Y2" i="2"/>
  <c r="G3" i="1"/>
  <c r="H3" i="1"/>
  <c r="I3" i="1"/>
  <c r="J3" i="1"/>
  <c r="E5" i="24"/>
  <c r="Z321" i="2" l="1"/>
  <c r="Z390" i="2"/>
  <c r="Z366" i="2"/>
  <c r="Z402" i="2"/>
  <c r="Z416" i="2"/>
  <c r="Z445" i="2"/>
  <c r="Z474" i="2"/>
  <c r="Z375" i="2"/>
  <c r="Z435" i="2"/>
  <c r="Z356" i="2"/>
  <c r="Z342" i="2"/>
  <c r="Z392" i="2"/>
  <c r="Z406" i="2"/>
  <c r="Z477" i="2"/>
  <c r="Z357" i="2"/>
  <c r="Z373" i="2"/>
  <c r="Z405" i="2"/>
  <c r="Z433" i="2"/>
  <c r="Z462" i="2"/>
  <c r="Z476" i="2"/>
  <c r="Z358" i="2"/>
  <c r="Z344" i="2"/>
  <c r="Z394" i="2"/>
  <c r="Z423" i="2"/>
  <c r="Z465" i="2"/>
  <c r="Z345" i="2"/>
  <c r="Z361" i="2"/>
  <c r="Z380" i="2"/>
  <c r="Z395" i="2"/>
  <c r="Z409" i="2"/>
  <c r="Z424" i="2"/>
  <c r="Z438" i="2"/>
  <c r="Z452" i="2"/>
  <c r="Z466" i="2"/>
  <c r="Z343" i="2"/>
  <c r="Z376" i="2"/>
  <c r="Z407" i="2"/>
  <c r="Z436" i="2"/>
  <c r="Z464" i="2"/>
  <c r="Z385" i="2"/>
  <c r="Z450" i="2"/>
  <c r="Z453" i="2"/>
  <c r="Z367" i="2"/>
  <c r="Z484" i="2"/>
  <c r="Z346" i="2"/>
  <c r="Z381" i="2"/>
  <c r="Z411" i="2"/>
  <c r="Z439" i="2"/>
  <c r="Z467" i="2"/>
  <c r="Z322" i="2"/>
  <c r="Z478" i="2"/>
  <c r="Z396" i="2"/>
  <c r="Z347" i="2"/>
  <c r="Z382" i="2"/>
  <c r="Z412" i="2"/>
  <c r="Z440" i="2"/>
  <c r="Z415" i="2"/>
  <c r="Z393" i="2"/>
  <c r="Z425" i="2"/>
  <c r="Z397" i="2"/>
  <c r="Z383" i="2"/>
  <c r="Z441" i="2"/>
  <c r="Z471" i="2"/>
  <c r="Z421" i="2"/>
  <c r="Z363" i="2"/>
  <c r="Z349" i="2"/>
  <c r="Z414" i="2"/>
  <c r="Z442" i="2"/>
  <c r="Z472" i="2"/>
  <c r="Z354" i="2"/>
  <c r="Z359" i="2"/>
  <c r="Z330" i="2"/>
  <c r="Z481" i="2"/>
  <c r="Z331" i="2"/>
  <c r="Z426" i="2"/>
  <c r="Z454" i="2"/>
  <c r="Z369" i="2"/>
  <c r="Z455" i="2"/>
  <c r="Z333" i="2"/>
  <c r="Z334" i="2"/>
  <c r="Z368" i="2"/>
  <c r="Z370" i="2"/>
  <c r="Z401" i="2"/>
  <c r="Z332" i="2"/>
  <c r="Z457" i="2"/>
  <c r="Z399" i="2"/>
  <c r="Z400" i="2"/>
  <c r="Z459" i="2"/>
  <c r="Z427" i="2"/>
  <c r="Z428" i="2"/>
  <c r="Z429" i="2"/>
  <c r="Z473" i="2"/>
  <c r="Z483" i="2"/>
  <c r="Z324" i="2"/>
  <c r="Z379" i="2"/>
  <c r="Z458" i="2"/>
  <c r="Z336" i="2"/>
  <c r="Z418" i="2"/>
  <c r="Z404" i="2"/>
  <c r="Z353" i="2"/>
  <c r="Z378" i="2"/>
  <c r="Z384" i="2"/>
  <c r="Z339" i="2"/>
  <c r="Z355" i="2"/>
  <c r="Z340" i="2"/>
  <c r="Z446" i="2"/>
  <c r="Z387" i="2"/>
  <c r="Z337" i="2"/>
  <c r="Z371" i="2"/>
  <c r="Z386" i="2"/>
  <c r="Z461" i="2"/>
  <c r="Z419" i="2"/>
  <c r="Z417" i="2"/>
  <c r="Z463" i="2"/>
  <c r="Z327" i="2"/>
  <c r="Z437" i="2"/>
  <c r="Z434" i="2"/>
  <c r="Z475" i="2"/>
  <c r="Z374" i="2"/>
  <c r="Z365" i="2"/>
  <c r="Z389" i="2"/>
  <c r="Z448" i="2"/>
  <c r="Z341" i="2"/>
  <c r="Z377" i="2"/>
  <c r="Z422" i="2"/>
  <c r="Z479" i="2"/>
  <c r="Z447" i="2"/>
  <c r="Z329" i="2"/>
  <c r="Z432" i="2"/>
  <c r="Z372" i="2"/>
  <c r="Z410" i="2"/>
  <c r="Z431" i="2"/>
  <c r="Z460" i="2"/>
  <c r="Z469" i="2"/>
  <c r="Z351" i="2"/>
  <c r="Z398" i="2"/>
  <c r="Z413" i="2"/>
  <c r="Z388" i="2"/>
  <c r="Z430" i="2"/>
  <c r="Z325" i="2"/>
  <c r="Z348" i="2"/>
  <c r="Z449" i="2"/>
  <c r="Z328" i="2"/>
  <c r="Z362" i="2"/>
  <c r="Z480" i="2"/>
  <c r="Z335" i="2"/>
  <c r="Z451" i="2"/>
  <c r="Z364" i="2"/>
  <c r="Z350" i="2"/>
  <c r="Z468" i="2"/>
  <c r="Z444" i="2"/>
  <c r="Z326" i="2"/>
  <c r="Z403" i="2"/>
  <c r="Z391" i="2"/>
  <c r="Z323" i="2"/>
  <c r="Z352" i="2"/>
  <c r="Z456" i="2"/>
  <c r="Z443" i="2"/>
  <c r="Z420" i="2"/>
  <c r="Z408" i="2"/>
  <c r="Z360" i="2"/>
  <c r="Z482" i="2"/>
  <c r="Z470" i="2"/>
  <c r="Z338" i="2"/>
  <c r="Z263" i="2"/>
  <c r="Z284" i="2"/>
  <c r="Z264" i="2"/>
  <c r="Z316" i="2"/>
  <c r="Z276" i="2"/>
  <c r="Z289" i="2"/>
  <c r="Z278" i="2"/>
  <c r="Z286" i="2"/>
  <c r="Z313" i="2"/>
  <c r="Z308" i="2"/>
  <c r="Z275" i="2"/>
  <c r="Z319" i="2"/>
  <c r="Z280" i="2"/>
  <c r="Z272" i="2"/>
  <c r="Z317" i="2"/>
  <c r="Z291" i="2"/>
  <c r="Z318" i="2"/>
  <c r="Z320" i="2"/>
  <c r="Z296" i="2"/>
  <c r="Z281" i="2"/>
  <c r="Z273" i="2"/>
  <c r="Z292" i="2"/>
  <c r="Z265" i="2"/>
  <c r="Z282" i="2"/>
  <c r="Z302" i="2"/>
  <c r="Z304" i="2"/>
  <c r="Z266" i="2"/>
  <c r="Z268" i="2"/>
  <c r="Z287" i="2"/>
  <c r="Z297" i="2"/>
  <c r="Z300" i="2"/>
  <c r="Z301" i="2"/>
  <c r="Z283" i="2"/>
  <c r="Z307" i="2"/>
  <c r="Z314" i="2"/>
  <c r="Z315" i="2"/>
  <c r="Z285" i="2"/>
  <c r="Z293" i="2"/>
  <c r="Z271" i="2"/>
  <c r="Z309" i="2"/>
  <c r="Z269" i="2"/>
  <c r="Z288" i="2"/>
  <c r="Z306" i="2"/>
  <c r="Z298" i="2"/>
  <c r="Z294" i="2"/>
  <c r="Z270" i="2"/>
  <c r="Z290" i="2"/>
  <c r="Z310" i="2"/>
  <c r="Z274" i="2"/>
  <c r="Z279" i="2"/>
  <c r="Z305" i="2"/>
  <c r="Z295" i="2"/>
  <c r="Z299" i="2"/>
  <c r="Z303" i="2"/>
  <c r="Z267" i="2"/>
  <c r="Z311" i="2"/>
  <c r="Z277" i="2"/>
  <c r="Z312" i="2"/>
  <c r="Z40" i="2"/>
  <c r="Z52" i="2"/>
  <c r="Z64" i="2"/>
  <c r="Z76" i="2"/>
  <c r="Z87" i="2"/>
  <c r="Z99" i="2"/>
  <c r="Z111" i="2"/>
  <c r="Z123" i="2"/>
  <c r="Z135" i="2"/>
  <c r="Z147" i="2"/>
  <c r="Z159" i="2"/>
  <c r="Z171" i="2"/>
  <c r="Z182" i="2"/>
  <c r="Z194" i="2"/>
  <c r="Z203" i="2"/>
  <c r="Z215" i="2"/>
  <c r="Z227" i="2"/>
  <c r="Z239" i="2"/>
  <c r="Z251" i="2"/>
  <c r="Z41" i="2"/>
  <c r="Z100" i="2"/>
  <c r="Z160" i="2"/>
  <c r="Z228" i="2"/>
  <c r="Z77" i="2"/>
  <c r="Z172" i="2"/>
  <c r="Z240" i="2"/>
  <c r="Z42" i="2"/>
  <c r="Z54" i="2"/>
  <c r="Z66" i="2"/>
  <c r="Z78" i="2"/>
  <c r="Z89" i="2"/>
  <c r="Z101" i="2"/>
  <c r="Z113" i="2"/>
  <c r="Z125" i="2"/>
  <c r="Z137" i="2"/>
  <c r="Z149" i="2"/>
  <c r="Z161" i="2"/>
  <c r="Z173" i="2"/>
  <c r="Z184" i="2"/>
  <c r="Z196" i="2"/>
  <c r="Z205" i="2"/>
  <c r="Z217" i="2"/>
  <c r="Z229" i="2"/>
  <c r="Z241" i="2"/>
  <c r="Z253" i="2"/>
  <c r="Z43" i="2"/>
  <c r="Z55" i="2"/>
  <c r="Z67" i="2"/>
  <c r="Z79" i="2"/>
  <c r="Z90" i="2"/>
  <c r="Z102" i="2"/>
  <c r="Z114" i="2"/>
  <c r="Z126" i="2"/>
  <c r="Z138" i="2"/>
  <c r="Z150" i="2"/>
  <c r="Z162" i="2"/>
  <c r="Z174" i="2"/>
  <c r="Z185" i="2"/>
  <c r="Z197" i="2"/>
  <c r="Z206" i="2"/>
  <c r="Z218" i="2"/>
  <c r="Z230" i="2"/>
  <c r="Z242" i="2"/>
  <c r="Z254" i="2"/>
  <c r="Z44" i="2"/>
  <c r="Z56" i="2"/>
  <c r="Z68" i="2"/>
  <c r="Z80" i="2"/>
  <c r="Z91" i="2"/>
  <c r="Z103" i="2"/>
  <c r="Z115" i="2"/>
  <c r="Z127" i="2"/>
  <c r="Z139" i="2"/>
  <c r="Z151" i="2"/>
  <c r="Z163" i="2"/>
  <c r="Z175" i="2"/>
  <c r="Z186" i="2"/>
  <c r="Z207" i="2"/>
  <c r="Z219" i="2"/>
  <c r="Z231" i="2"/>
  <c r="Z243" i="2"/>
  <c r="Z255" i="2"/>
  <c r="Z45" i="2"/>
  <c r="Z57" i="2"/>
  <c r="Z69" i="2"/>
  <c r="Z81" i="2"/>
  <c r="Z92" i="2"/>
  <c r="Z104" i="2"/>
  <c r="Z116" i="2"/>
  <c r="Z128" i="2"/>
  <c r="Z140" i="2"/>
  <c r="Z152" i="2"/>
  <c r="Z164" i="2"/>
  <c r="Z176" i="2"/>
  <c r="Z187" i="2"/>
  <c r="Z208" i="2"/>
  <c r="Z220" i="2"/>
  <c r="Z232" i="2"/>
  <c r="Z244" i="2"/>
  <c r="Z256" i="2"/>
  <c r="Z88" i="2"/>
  <c r="Z136" i="2"/>
  <c r="Z204" i="2"/>
  <c r="Z46" i="2"/>
  <c r="Z58" i="2"/>
  <c r="Z70" i="2"/>
  <c r="Z93" i="2"/>
  <c r="Z105" i="2"/>
  <c r="Z117" i="2"/>
  <c r="Z129" i="2"/>
  <c r="Z141" i="2"/>
  <c r="Z153" i="2"/>
  <c r="Z165" i="2"/>
  <c r="Z188" i="2"/>
  <c r="Z198" i="2"/>
  <c r="Z209" i="2"/>
  <c r="Z221" i="2"/>
  <c r="Z233" i="2"/>
  <c r="Z245" i="2"/>
  <c r="Z257" i="2"/>
  <c r="Z59" i="2"/>
  <c r="Z82" i="2"/>
  <c r="Z94" i="2"/>
  <c r="Z118" i="2"/>
  <c r="Z142" i="2"/>
  <c r="Z166" i="2"/>
  <c r="Z189" i="2"/>
  <c r="Z47" i="2"/>
  <c r="Z71" i="2"/>
  <c r="Z106" i="2"/>
  <c r="Z130" i="2"/>
  <c r="Z154" i="2"/>
  <c r="Z177" i="2"/>
  <c r="Z199" i="2"/>
  <c r="Z222" i="2"/>
  <c r="Z234" i="2"/>
  <c r="Z246" i="2"/>
  <c r="Z258" i="2"/>
  <c r="Z62" i="2"/>
  <c r="Z85" i="2"/>
  <c r="Z109" i="2"/>
  <c r="Z145" i="2"/>
  <c r="Z169" i="2"/>
  <c r="Z201" i="2"/>
  <c r="Z225" i="2"/>
  <c r="Z249" i="2"/>
  <c r="Z75" i="2"/>
  <c r="Z98" i="2"/>
  <c r="Z146" i="2"/>
  <c r="Z48" i="2"/>
  <c r="Z60" i="2"/>
  <c r="Z72" i="2"/>
  <c r="Z83" i="2"/>
  <c r="Z95" i="2"/>
  <c r="Z107" i="2"/>
  <c r="Z119" i="2"/>
  <c r="Z131" i="2"/>
  <c r="Z143" i="2"/>
  <c r="Z155" i="2"/>
  <c r="Z167" i="2"/>
  <c r="Z178" i="2"/>
  <c r="Z190" i="2"/>
  <c r="Z200" i="2"/>
  <c r="Z211" i="2"/>
  <c r="Z223" i="2"/>
  <c r="Z235" i="2"/>
  <c r="Z247" i="2"/>
  <c r="Z259" i="2"/>
  <c r="Z49" i="2"/>
  <c r="Z61" i="2"/>
  <c r="Z73" i="2"/>
  <c r="Z84" i="2"/>
  <c r="Z96" i="2"/>
  <c r="Z108" i="2"/>
  <c r="Z120" i="2"/>
  <c r="Z132" i="2"/>
  <c r="Z144" i="2"/>
  <c r="Z156" i="2"/>
  <c r="Z168" i="2"/>
  <c r="Z179" i="2"/>
  <c r="Z191" i="2"/>
  <c r="Z212" i="2"/>
  <c r="Z224" i="2"/>
  <c r="Z236" i="2"/>
  <c r="Z248" i="2"/>
  <c r="Z260" i="2"/>
  <c r="Z50" i="2"/>
  <c r="Z74" i="2"/>
  <c r="Z97" i="2"/>
  <c r="Z121" i="2"/>
  <c r="Z133" i="2"/>
  <c r="Z157" i="2"/>
  <c r="Z180" i="2"/>
  <c r="Z192" i="2"/>
  <c r="Z213" i="2"/>
  <c r="Z237" i="2"/>
  <c r="Z261" i="2"/>
  <c r="Z51" i="2"/>
  <c r="Z86" i="2"/>
  <c r="Z110" i="2"/>
  <c r="Z122" i="2"/>
  <c r="Z158" i="2"/>
  <c r="Z181" i="2"/>
  <c r="Z202" i="2"/>
  <c r="Z226" i="2"/>
  <c r="Z238" i="2"/>
  <c r="Z262" i="2"/>
  <c r="Z65" i="2"/>
  <c r="Z112" i="2"/>
  <c r="Z148" i="2"/>
  <c r="Z183" i="2"/>
  <c r="Z216" i="2"/>
  <c r="Z252" i="2"/>
  <c r="Z63" i="2"/>
  <c r="Z134" i="2"/>
  <c r="Z193" i="2"/>
  <c r="Z214" i="2"/>
  <c r="Z250" i="2"/>
  <c r="Z53" i="2"/>
  <c r="Z124" i="2"/>
  <c r="Z195" i="2"/>
  <c r="Z210" i="2"/>
  <c r="Z170" i="2"/>
  <c r="B22" i="2"/>
  <c r="AD22" i="2"/>
  <c r="Z38" i="2"/>
  <c r="Z39" i="2"/>
  <c r="Z37" i="2"/>
  <c r="Z36" i="2"/>
  <c r="Z34" i="2"/>
  <c r="Z35" i="2"/>
  <c r="Z32" i="2"/>
  <c r="Z33" i="2"/>
  <c r="Z31" i="2"/>
  <c r="Z30" i="2"/>
  <c r="Z28" i="2"/>
  <c r="Z29" i="2"/>
  <c r="Z26" i="2"/>
  <c r="Z27" i="2"/>
  <c r="Z24" i="2"/>
  <c r="Z25" i="2"/>
  <c r="Z23" i="2"/>
  <c r="Z21" i="2"/>
  <c r="Z22" i="2"/>
  <c r="Z19" i="2"/>
  <c r="Z20" i="2"/>
  <c r="Z17" i="2"/>
  <c r="Z18" i="2"/>
  <c r="Z16" i="2"/>
  <c r="Z15" i="2"/>
  <c r="Z14" i="2"/>
  <c r="Z13" i="2"/>
  <c r="Z12" i="2"/>
  <c r="Z11" i="2"/>
  <c r="Z10" i="2"/>
  <c r="Z8" i="2"/>
  <c r="Z9" i="2"/>
  <c r="Z7" i="2"/>
  <c r="Z6" i="2"/>
  <c r="Z4" i="2"/>
  <c r="Z5" i="2"/>
  <c r="Z3" i="2"/>
  <c r="H2" i="2"/>
  <c r="R2" i="2"/>
  <c r="Z2" i="2"/>
  <c r="AD25" i="2" l="1"/>
  <c r="B25" i="2"/>
  <c r="AD5" i="2"/>
  <c r="B5" i="2"/>
  <c r="B13" i="2"/>
  <c r="AD13" i="2"/>
  <c r="AD10" i="2"/>
  <c r="B10" i="2"/>
  <c r="AD18" i="2"/>
  <c r="B18" i="2"/>
  <c r="B28" i="2"/>
  <c r="AD28" i="2"/>
  <c r="AD8" i="2"/>
  <c r="B8" i="2"/>
  <c r="AD14" i="2"/>
  <c r="B14" i="2"/>
  <c r="AD34" i="2"/>
  <c r="B34" i="2"/>
  <c r="AD15" i="2"/>
  <c r="B15" i="2"/>
  <c r="B16" i="2"/>
  <c r="AD16" i="2"/>
  <c r="AD32" i="2"/>
  <c r="B32" i="2"/>
  <c r="B21" i="2"/>
  <c r="AD21" i="2"/>
  <c r="AD19" i="2"/>
  <c r="B19" i="2"/>
  <c r="B6" i="2"/>
  <c r="AD6" i="2"/>
  <c r="AD31" i="2"/>
  <c r="B31" i="2"/>
  <c r="AD20" i="2"/>
  <c r="B20" i="2"/>
  <c r="B36" i="2"/>
  <c r="AD36" i="2"/>
  <c r="B30" i="2"/>
  <c r="AD30" i="2"/>
  <c r="AD38" i="2"/>
  <c r="B38" i="2"/>
  <c r="B35" i="2"/>
  <c r="AD35" i="2"/>
  <c r="AD4" i="2"/>
  <c r="B4" i="2"/>
  <c r="AD11" i="2"/>
  <c r="B11" i="2"/>
  <c r="AD7" i="2"/>
  <c r="B7" i="2"/>
  <c r="B27" i="2"/>
  <c r="AD27" i="2"/>
  <c r="B33" i="2"/>
  <c r="AD33" i="2"/>
  <c r="B39" i="2"/>
  <c r="AD39" i="2"/>
  <c r="AD26" i="2"/>
  <c r="B26" i="2"/>
  <c r="B37" i="2"/>
  <c r="AD37" i="2"/>
  <c r="AD12" i="2"/>
  <c r="B12" i="2"/>
  <c r="B24" i="2"/>
  <c r="AD24" i="2"/>
  <c r="AD17" i="2"/>
  <c r="B17" i="2"/>
  <c r="AD23" i="2"/>
  <c r="B23" i="2"/>
  <c r="B3" i="2"/>
  <c r="AD3" i="2"/>
  <c r="K13" i="1"/>
  <c r="K16" i="1"/>
  <c r="K10" i="1"/>
  <c r="K12" i="1"/>
  <c r="K4" i="1"/>
  <c r="K5" i="1"/>
  <c r="K11" i="1"/>
  <c r="K14" i="1"/>
  <c r="K15" i="1"/>
  <c r="K6" i="1"/>
  <c r="K7" i="1"/>
  <c r="K8" i="1"/>
  <c r="K9" i="1"/>
  <c r="AD2" i="2"/>
  <c r="K3" i="1"/>
  <c r="C9" i="7" l="1"/>
  <c r="C10" i="7"/>
  <c r="AE321" i="2" l="1"/>
  <c r="AE452" i="2"/>
  <c r="AE325" i="2"/>
  <c r="AE471" i="2"/>
  <c r="AE481" i="2"/>
  <c r="AE340" i="2"/>
  <c r="AE472" i="2"/>
  <c r="AE398" i="2"/>
  <c r="AE400" i="2"/>
  <c r="AE434" i="2"/>
  <c r="AE421" i="2"/>
  <c r="AE435" i="2"/>
  <c r="AE436" i="2"/>
  <c r="AE397" i="2"/>
  <c r="AE441" i="2"/>
  <c r="AE381" i="2"/>
  <c r="AE361" i="2"/>
  <c r="AE362" i="2"/>
  <c r="AE470" i="2"/>
  <c r="AE424" i="2"/>
  <c r="AE447" i="2"/>
  <c r="AE448" i="2"/>
  <c r="AE385" i="2"/>
  <c r="AE386" i="2"/>
  <c r="AE469" i="2"/>
  <c r="AE446" i="2"/>
  <c r="AE364" i="2"/>
  <c r="AE404" i="2"/>
  <c r="AE473" i="2"/>
  <c r="AE380" i="2"/>
  <c r="AE350" i="2"/>
  <c r="AE378" i="2"/>
  <c r="AE437" i="2"/>
  <c r="AE429" i="2"/>
  <c r="AE483" i="2"/>
  <c r="AE482" i="2"/>
  <c r="AE433" i="2"/>
  <c r="AE368" i="2"/>
  <c r="AE449" i="2"/>
  <c r="AE414" i="2"/>
  <c r="AE461" i="2"/>
  <c r="AE425" i="2"/>
  <c r="AE411" i="2"/>
  <c r="AE341" i="2"/>
  <c r="AE366" i="2"/>
  <c r="AE389" i="2"/>
  <c r="AE484" i="2"/>
  <c r="AE457" i="2"/>
  <c r="AE453" i="2"/>
  <c r="AE377" i="2"/>
  <c r="AE459" i="2"/>
  <c r="AE413" i="2"/>
  <c r="AE422" i="2"/>
  <c r="AE374" i="2"/>
  <c r="AE438" i="2"/>
  <c r="AE356" i="2"/>
  <c r="AE428" i="2"/>
  <c r="AE322" i="2"/>
  <c r="AE416" i="2"/>
  <c r="AE460" i="2"/>
  <c r="AE339" i="2"/>
  <c r="AE352" i="2"/>
  <c r="AE392" i="2"/>
  <c r="AE342" i="2"/>
  <c r="AE458" i="2"/>
  <c r="AE476" i="2"/>
  <c r="AE430" i="2"/>
  <c r="AE419" i="2"/>
  <c r="AE479" i="2"/>
  <c r="AE365" i="2"/>
  <c r="AE323" i="2"/>
  <c r="AE349" i="2"/>
  <c r="AE338" i="2"/>
  <c r="AE370" i="2"/>
  <c r="AE376" i="2"/>
  <c r="AE456" i="2"/>
  <c r="AE324" i="2"/>
  <c r="AE384" i="2"/>
  <c r="AE331" i="2"/>
  <c r="AE444" i="2"/>
  <c r="AE343" i="2"/>
  <c r="AE344" i="2"/>
  <c r="AE348" i="2"/>
  <c r="AE367" i="2"/>
  <c r="AE395" i="2"/>
  <c r="AE373" i="2"/>
  <c r="AE329" i="2"/>
  <c r="AE326" i="2"/>
  <c r="AE464" i="2"/>
  <c r="AE327" i="2"/>
  <c r="AE455" i="2"/>
  <c r="AE347" i="2"/>
  <c r="AE388" i="2"/>
  <c r="AE375" i="2"/>
  <c r="AE399" i="2"/>
  <c r="AE405" i="2"/>
  <c r="AE418" i="2"/>
  <c r="AE445" i="2"/>
  <c r="AE353" i="2"/>
  <c r="AE467" i="2"/>
  <c r="AE442" i="2"/>
  <c r="AE440" i="2"/>
  <c r="AE379" i="2"/>
  <c r="AE401" i="2"/>
  <c r="AE360" i="2"/>
  <c r="AE337" i="2"/>
  <c r="AE412" i="2"/>
  <c r="AE426" i="2"/>
  <c r="AE465" i="2"/>
  <c r="AE334" i="2"/>
  <c r="AE439" i="2"/>
  <c r="AE387" i="2"/>
  <c r="AE431" i="2"/>
  <c r="AE474" i="2"/>
  <c r="AE332" i="2"/>
  <c r="AE443" i="2"/>
  <c r="AE468" i="2"/>
  <c r="AE328" i="2"/>
  <c r="AE409" i="2"/>
  <c r="AE462" i="2"/>
  <c r="AE454" i="2"/>
  <c r="AE393" i="2"/>
  <c r="AE410" i="2"/>
  <c r="AE423" i="2"/>
  <c r="AE351" i="2"/>
  <c r="AE371" i="2"/>
  <c r="AE432" i="2"/>
  <c r="AE363" i="2"/>
  <c r="AE394" i="2"/>
  <c r="AE478" i="2"/>
  <c r="AE406" i="2"/>
  <c r="AE372" i="2"/>
  <c r="AE408" i="2"/>
  <c r="AE451" i="2"/>
  <c r="AE354" i="2"/>
  <c r="AE450" i="2"/>
  <c r="AE357" i="2"/>
  <c r="AE463" i="2"/>
  <c r="AE415" i="2"/>
  <c r="AE390" i="2"/>
  <c r="AE359" i="2"/>
  <c r="AE396" i="2"/>
  <c r="AE355" i="2"/>
  <c r="AE475" i="2"/>
  <c r="AE345" i="2"/>
  <c r="AE336" i="2"/>
  <c r="AE330" i="2"/>
  <c r="AE382" i="2"/>
  <c r="AE427" i="2"/>
  <c r="AE346" i="2"/>
  <c r="AE383" i="2"/>
  <c r="AE391" i="2"/>
  <c r="AE407" i="2"/>
  <c r="AE333" i="2"/>
  <c r="AE420" i="2"/>
  <c r="AE369" i="2"/>
  <c r="AE417" i="2"/>
  <c r="AE402" i="2"/>
  <c r="AE480" i="2"/>
  <c r="AE466" i="2"/>
  <c r="AE335" i="2"/>
  <c r="AE403" i="2"/>
  <c r="AE358" i="2"/>
  <c r="AE477" i="2"/>
  <c r="AE263" i="2"/>
  <c r="AE266" i="2"/>
  <c r="AE302" i="2"/>
  <c r="AE286" i="2"/>
  <c r="AE275" i="2"/>
  <c r="AE297" i="2"/>
  <c r="AE290" i="2"/>
  <c r="AE287" i="2"/>
  <c r="AE278" i="2"/>
  <c r="AE273" i="2"/>
  <c r="AE310" i="2"/>
  <c r="AE296" i="2"/>
  <c r="AE299" i="2"/>
  <c r="AE298" i="2"/>
  <c r="AE293" i="2"/>
  <c r="AE311" i="2"/>
  <c r="AE309" i="2"/>
  <c r="AE274" i="2"/>
  <c r="AE285" i="2"/>
  <c r="AE288" i="2"/>
  <c r="AE319" i="2"/>
  <c r="AE308" i="2"/>
  <c r="AE314" i="2"/>
  <c r="AE270" i="2"/>
  <c r="AE265" i="2"/>
  <c r="AE276" i="2"/>
  <c r="AE317" i="2"/>
  <c r="AE312" i="2"/>
  <c r="AE300" i="2"/>
  <c r="AE264" i="2"/>
  <c r="AE301" i="2"/>
  <c r="AE272" i="2"/>
  <c r="AE281" i="2"/>
  <c r="AE271" i="2"/>
  <c r="AE318" i="2"/>
  <c r="AE277" i="2"/>
  <c r="AE306" i="2"/>
  <c r="AE305" i="2"/>
  <c r="AE313" i="2"/>
  <c r="AE284" i="2"/>
  <c r="AE269" i="2"/>
  <c r="AE289" i="2"/>
  <c r="AE307" i="2"/>
  <c r="AE283" i="2"/>
  <c r="AE268" i="2"/>
  <c r="AE304" i="2"/>
  <c r="AE280" i="2"/>
  <c r="AE282" i="2"/>
  <c r="AE295" i="2"/>
  <c r="AE315" i="2"/>
  <c r="AE291" i="2"/>
  <c r="AE294" i="2"/>
  <c r="AE320" i="2"/>
  <c r="AE303" i="2"/>
  <c r="AE316" i="2"/>
  <c r="AE267" i="2"/>
  <c r="AE279" i="2"/>
  <c r="AE292" i="2"/>
  <c r="AE100" i="2"/>
  <c r="AE240" i="2"/>
  <c r="AE112" i="2"/>
  <c r="AE252" i="2"/>
  <c r="AE124" i="2"/>
  <c r="AE172" i="2"/>
  <c r="AE183" i="2"/>
  <c r="AE136" i="2"/>
  <c r="AE41" i="2"/>
  <c r="AE88" i="2"/>
  <c r="AE148" i="2"/>
  <c r="AE160" i="2"/>
  <c r="AE216" i="2"/>
  <c r="AE53" i="2"/>
  <c r="AE195" i="2"/>
  <c r="AE65" i="2"/>
  <c r="AE204" i="2"/>
  <c r="AE77" i="2"/>
  <c r="AE228" i="2"/>
  <c r="AE231" i="2"/>
  <c r="AE230" i="2"/>
  <c r="AE150" i="2"/>
  <c r="AE79" i="2"/>
  <c r="AE229" i="2"/>
  <c r="AE161" i="2"/>
  <c r="AE89" i="2"/>
  <c r="AE207" i="2"/>
  <c r="AE203" i="2"/>
  <c r="AE52" i="2"/>
  <c r="AE133" i="2"/>
  <c r="AE98" i="2"/>
  <c r="AE262" i="2"/>
  <c r="AE220" i="2"/>
  <c r="AE175" i="2"/>
  <c r="AE129" i="2"/>
  <c r="AE140" i="2"/>
  <c r="AE180" i="2"/>
  <c r="AE192" i="2"/>
  <c r="AE82" i="2"/>
  <c r="AE156" i="2"/>
  <c r="AE43" i="2"/>
  <c r="AE181" i="2"/>
  <c r="AE157" i="2"/>
  <c r="AE56" i="2"/>
  <c r="AE60" i="2"/>
  <c r="AE165" i="2"/>
  <c r="AE185" i="2"/>
  <c r="AE42" i="2"/>
  <c r="AE122" i="2"/>
  <c r="AE61" i="2"/>
  <c r="AE131" i="2"/>
  <c r="AE199" i="2"/>
  <c r="AE173" i="2"/>
  <c r="AE227" i="2"/>
  <c r="AE120" i="2"/>
  <c r="AE119" i="2"/>
  <c r="AE258" i="2"/>
  <c r="AE152" i="2"/>
  <c r="AE121" i="2"/>
  <c r="AE260" i="2"/>
  <c r="AE191" i="2"/>
  <c r="AE108" i="2"/>
  <c r="AE219" i="2"/>
  <c r="AE194" i="2"/>
  <c r="AE40" i="2"/>
  <c r="AE200" i="2"/>
  <c r="AE95" i="2"/>
  <c r="AE237" i="2"/>
  <c r="AE235" i="2"/>
  <c r="AE246" i="2"/>
  <c r="AE177" i="2"/>
  <c r="AE106" i="2"/>
  <c r="AE198" i="2"/>
  <c r="AE58" i="2"/>
  <c r="AE57" i="2"/>
  <c r="AE75" i="2"/>
  <c r="AE84" i="2"/>
  <c r="AE155" i="2"/>
  <c r="AE154" i="2"/>
  <c r="AE196" i="2"/>
  <c r="AE97" i="2"/>
  <c r="AE158" i="2"/>
  <c r="AE85" i="2"/>
  <c r="AE68" i="2"/>
  <c r="AE71" i="2"/>
  <c r="AE184" i="2"/>
  <c r="AE111" i="2"/>
  <c r="AE62" i="2"/>
  <c r="AE239" i="2"/>
  <c r="AE130" i="2"/>
  <c r="AE164" i="2"/>
  <c r="AE241" i="2"/>
  <c r="AE76" i="2"/>
  <c r="AE223" i="2"/>
  <c r="AE189" i="2"/>
  <c r="AE141" i="2"/>
  <c r="AE186" i="2"/>
  <c r="AE218" i="2"/>
  <c r="AE138" i="2"/>
  <c r="AE67" i="2"/>
  <c r="AE217" i="2"/>
  <c r="AE149" i="2"/>
  <c r="AE78" i="2"/>
  <c r="AE151" i="2"/>
  <c r="AE182" i="2"/>
  <c r="AE250" i="2"/>
  <c r="AE225" i="2"/>
  <c r="AE238" i="2"/>
  <c r="AE86" i="2"/>
  <c r="AE226" i="2"/>
  <c r="AE213" i="2"/>
  <c r="AE208" i="2"/>
  <c r="AE234" i="2"/>
  <c r="AE94" i="2"/>
  <c r="AE188" i="2"/>
  <c r="AE117" i="2"/>
  <c r="AE128" i="2"/>
  <c r="AE126" i="2"/>
  <c r="AE137" i="2"/>
  <c r="AE103" i="2"/>
  <c r="AE214" i="2"/>
  <c r="AE109" i="2"/>
  <c r="AE168" i="2"/>
  <c r="AE147" i="2"/>
  <c r="AE91" i="2"/>
  <c r="AE222" i="2"/>
  <c r="AE116" i="2"/>
  <c r="AE80" i="2"/>
  <c r="AE125" i="2"/>
  <c r="AE54" i="2"/>
  <c r="AE170" i="2"/>
  <c r="AE104" i="2"/>
  <c r="AE224" i="2"/>
  <c r="AE123" i="2"/>
  <c r="AE210" i="2"/>
  <c r="AE142" i="2"/>
  <c r="AE254" i="2"/>
  <c r="AE113" i="2"/>
  <c r="AE174" i="2"/>
  <c r="AE134" i="2"/>
  <c r="AE92" i="2"/>
  <c r="AE63" i="2"/>
  <c r="AE251" i="2"/>
  <c r="AE247" i="2"/>
  <c r="AE74" i="2"/>
  <c r="AE221" i="2"/>
  <c r="AE242" i="2"/>
  <c r="AE101" i="2"/>
  <c r="AE110" i="2"/>
  <c r="AE81" i="2"/>
  <c r="AE50" i="2"/>
  <c r="AE215" i="2"/>
  <c r="AE243" i="2"/>
  <c r="AE259" i="2"/>
  <c r="AE118" i="2"/>
  <c r="AE70" i="2"/>
  <c r="AE248" i="2"/>
  <c r="AE179" i="2"/>
  <c r="AE96" i="2"/>
  <c r="AE163" i="2"/>
  <c r="AE171" i="2"/>
  <c r="AE178" i="2"/>
  <c r="AE83" i="2"/>
  <c r="AE139" i="2"/>
  <c r="AE211" i="2"/>
  <c r="AE166" i="2"/>
  <c r="AE257" i="2"/>
  <c r="AE46" i="2"/>
  <c r="AE45" i="2"/>
  <c r="AE205" i="2"/>
  <c r="AE159" i="2"/>
  <c r="AE202" i="2"/>
  <c r="AE236" i="2"/>
  <c r="AE72" i="2"/>
  <c r="AE245" i="2"/>
  <c r="AE114" i="2"/>
  <c r="AE135" i="2"/>
  <c r="AE256" i="2"/>
  <c r="AE144" i="2"/>
  <c r="AE143" i="2"/>
  <c r="AE233" i="2"/>
  <c r="AE102" i="2"/>
  <c r="AE169" i="2"/>
  <c r="AE244" i="2"/>
  <c r="AE132" i="2"/>
  <c r="AE48" i="2"/>
  <c r="AE59" i="2"/>
  <c r="AE162" i="2"/>
  <c r="AE255" i="2"/>
  <c r="AE232" i="2"/>
  <c r="AE49" i="2"/>
  <c r="AE99" i="2"/>
  <c r="AE47" i="2"/>
  <c r="AE69" i="2"/>
  <c r="AE127" i="2"/>
  <c r="AE206" i="2"/>
  <c r="AE55" i="2"/>
  <c r="AE66" i="2"/>
  <c r="AE201" i="2"/>
  <c r="AE193" i="2"/>
  <c r="AE115" i="2"/>
  <c r="AE190" i="2"/>
  <c r="AE105" i="2"/>
  <c r="AE197" i="2"/>
  <c r="AE44" i="2"/>
  <c r="AE51" i="2"/>
  <c r="AE187" i="2"/>
  <c r="AE73" i="2"/>
  <c r="AE167" i="2"/>
  <c r="AE93" i="2"/>
  <c r="AE253" i="2"/>
  <c r="AE146" i="2"/>
  <c r="AE176" i="2"/>
  <c r="AE212" i="2"/>
  <c r="AE87" i="2"/>
  <c r="AE107" i="2"/>
  <c r="AE153" i="2"/>
  <c r="AE90" i="2"/>
  <c r="AE145" i="2"/>
  <c r="AE249" i="2"/>
  <c r="AE64" i="2"/>
  <c r="AE261" i="2"/>
  <c r="AE209" i="2"/>
  <c r="AE38" i="2"/>
  <c r="AE39" i="2"/>
  <c r="AE36" i="2"/>
  <c r="AE37" i="2"/>
  <c r="AE34" i="2"/>
  <c r="AE35" i="2"/>
  <c r="AE32" i="2"/>
  <c r="AE33" i="2"/>
  <c r="AE31" i="2"/>
  <c r="AE30" i="2"/>
  <c r="AE28" i="2"/>
  <c r="AE29" i="2"/>
  <c r="AE26" i="2"/>
  <c r="AE27" i="2"/>
  <c r="AE24" i="2"/>
  <c r="AE25" i="2"/>
  <c r="AE23" i="2"/>
  <c r="AE22" i="2"/>
  <c r="AE20" i="2"/>
  <c r="AE21" i="2"/>
  <c r="AE18" i="2"/>
  <c r="AE19" i="2"/>
  <c r="AE16" i="2"/>
  <c r="AE17" i="2"/>
  <c r="AE15" i="2"/>
  <c r="AE14" i="2"/>
  <c r="AE13" i="2"/>
  <c r="AE12" i="2"/>
  <c r="AE11" i="2"/>
  <c r="AE10" i="2"/>
  <c r="AE8" i="2"/>
  <c r="AE9" i="2"/>
  <c r="AE6" i="2"/>
  <c r="AE7" i="2"/>
  <c r="AE4" i="2"/>
  <c r="AE5" i="2"/>
  <c r="AE3" i="2"/>
  <c r="B2" i="2"/>
  <c r="AE2" i="2"/>
  <c r="C8" i="7"/>
  <c r="C7" i="7"/>
  <c r="C5" i="7"/>
  <c r="C6" i="7" l="1"/>
  <c r="C13" i="7"/>
  <c r="C11" i="7"/>
  <c r="C1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0E6159-8F58-4868-8077-1546940B7246}" keepAlive="1" name="Query - desktop" description="Connessione alla query 'desktop' nella cartella di lavoro." type="5" refreshedVersion="0" background="1" saveData="1">
    <dbPr connection="Provider=Microsoft.Mashup.OleDb.1;Data Source=$Workbook$;Location=desktop;Extended Properties=&quot;&quot;" command="SELECT * FROM [desktop]"/>
  </connection>
  <connection id="2" xr16:uid="{C85A19C1-7C05-4E6B-8CA0-FFBE88E32F12}" keepAlive="1" name="Query - E" description="Connessione alla query 'E' nella cartella di lavoro." type="5" refreshedVersion="8" background="1" saveData="1">
    <dbPr connection="Provider=Microsoft.Mashup.OleDb.1;Data Source=$Workbook$;Location=E;Extended Properties=&quot;&quot;" command="SELECT * FROM [E]"/>
  </connection>
  <connection id="3" xr16:uid="{AE0CCBE1-7605-44A7-A07D-8010E6120D0B}" keepAlive="1" name="Query - Export Auto+Manuali" description="Connection to the 'Export Auto+Manuali' query in the workbook." type="5" refreshedVersion="8" background="1" saveData="1">
    <dbPr connection="Provider=Microsoft.Mashup.OleDb.1;Data Source=$Workbook$;Location=&quot;Export Auto+Manuali&quot;;Extended Properties=&quot;&quot;" command="SELECT * FROM [Export Auto+Manuali]"/>
  </connection>
  <connection id="4" xr16:uid="{D1765C70-F6F8-4F40-8C0E-4019941ECE53}" keepAlive="1" name="Query - Export Auto+Manuali (2)" description="Connection to the 'Export Auto+Manuali (2)' query in the workbook." type="5" refreshedVersion="0" background="1" saveData="1">
    <dbPr connection="Provider=Microsoft.Mashup.OleDb.1;Data Source=$Workbook$;Location=&quot;Export Auto+Manuali (2)&quot;;Extended Properties=&quot;&quot;" command="SELECT * FROM [Export Auto+Manuali (2)]"/>
  </connection>
  <connection id="5" xr16:uid="{38EB4A7C-1837-4ACD-A0FD-385E8B73F609}" keepAlive="1" name="Query - File di esempio" description="Connessione alla query 'File di esempio' nella cartella di lavoro." type="5" refreshedVersion="0" background="1">
    <dbPr connection="Provider=Microsoft.Mashup.OleDb.1;Data Source=$Workbook$;Location=&quot;File di esempio&quot;;Extended Properties=&quot;&quot;" command="SELECT * FROM [File di esempio]"/>
  </connection>
  <connection id="6" xr16:uid="{42AE8805-79B0-431F-BC7E-7A3CAF1277C9}" keepAlive="1" name="Query - File di esempio (2)" description="Connessione alla query 'File di esempio (2)' nella cartella di lavoro." type="5" refreshedVersion="0" background="1">
    <dbPr connection="Provider=Microsoft.Mashup.OleDb.1;Data Source=$Workbook$;Location=&quot;File di esempio (2)&quot;;Extended Properties=&quot;&quot;" command="SELECT * FROM [File di esempio (2)]"/>
  </connection>
  <connection id="7" xr16:uid="{5121BE0A-4B87-4F46-A9CA-B686E6FD59C6}" keepAlive="1" name="Query - File di esempio (3)" description="Connessione alla query 'File di esempio (3)' nella cartella di lavoro." type="5" refreshedVersion="0" background="1">
    <dbPr connection="Provider=Microsoft.Mashup.OleDb.1;Data Source=$Workbook$;Location=&quot;File di esempio (3)&quot;;Extended Properties=&quot;&quot;" command="SELECT * FROM [File di esempio (3)]"/>
  </connection>
  <connection id="8" xr16:uid="{A2B22573-63E8-40ED-AAAC-136AAD3F632E}" keepAlive="1" name="Query - File di esempio (4)" description="Connessione alla query 'File di esempio (4)' nella cartella di lavoro." type="5" refreshedVersion="0" background="1">
    <dbPr connection="Provider=Microsoft.Mashup.OleDb.1;Data Source=$Workbook$;Location=&quot;File di esempio (4)&quot;;Extended Properties=&quot;&quot;" command="SELECT * FROM [File di esempio (4)]"/>
  </connection>
  <connection id="9" xr16:uid="{F10771D5-BCC6-4B7C-BDAA-BBA2E66505E3}" keepAlive="1" name="Query - File di esempio (5)" description="Connessione alla query 'File di esempio (5)' nella cartella di lavoro." type="5" refreshedVersion="0" background="1">
    <dbPr connection="Provider=Microsoft.Mashup.OleDb.1;Data Source=$Workbook$;Location=&quot;File di esempio (5)&quot;;Extended Properties=&quot;&quot;" command="SELECT * FROM [File di esempio (5)]"/>
  </connection>
  <connection id="10" xr16:uid="{A74D37C0-6951-4A5C-A2FA-C442C64DC269}" keepAlive="1" name="Query - Grouped Violations" description="Connection to the 'Grouped Violations' query in the workbook." type="5" refreshedVersion="8" background="1" saveData="1">
    <dbPr connection="Provider=Microsoft.Mashup.OleDb.1;Data Source=$Workbook$;Location=&quot;Grouped Violations&quot;;Extended Properties=&quot;&quot;" command="SELECT * FROM [Grouped Violations]"/>
  </connection>
  <connection id="11" xr16:uid="{7AF79FAD-7EAC-4C7F-8BFB-91E94E859E94}" keepAlive="1" name="Query - Manuale" description="Connessione alla query 'Manuale' nella cartella di lavoro." type="5" refreshedVersion="8" background="1" saveData="1">
    <dbPr connection="Provider=Microsoft.Mashup.OleDb.1;Data Source=$Workbook$;Location=Manuale;Extended Properties=&quot;&quot;" command="SELECT * FROM [Manuale]"/>
  </connection>
  <connection id="12" xr16:uid="{ABBCAEED-9D47-4538-B663-AEBE0458D4C8}" keepAlive="1" name="Query - Mauve++" description="Connection to the 'Mauve++' query in the workbook." type="5" refreshedVersion="8" background="1" saveData="1">
    <dbPr connection="Provider=Microsoft.Mashup.OleDb.1;Data Source=$Workbook$;Location=Mauve++;Extended Properties=&quot;&quot;" command="SELECT * FROM [Mauve++]"/>
  </connection>
  <connection id="13" xr16:uid="{05A93843-AB3C-4662-840D-DD24668CF0EE}" keepAlive="1" name="Query - mobile" description="Connessione alla query 'mobile' nella cartella di lavoro." type="5" refreshedVersion="0" background="1" saveData="1">
    <dbPr connection="Provider=Microsoft.Mashup.OleDb.1;Data Source=$Workbook$;Location=mobile;Extended Properties=&quot;&quot;" command="SELECT * FROM [mobile]"/>
  </connection>
  <connection id="14" xr16:uid="{CBA6F786-A2C5-4161-939D-1561D1EB9FA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5" xr16:uid="{74DEDC66-8C97-4F5F-BB58-04DC7BE19715}"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16" xr16:uid="{9570B443-4423-4CC0-A778-74D18150BE1D}"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17" xr16:uid="{4DAB5E0C-DC8B-4CF6-9608-8D6A329637C0}" keepAlive="1" name="Query - Parameter4" description="Connection to the 'Parameter4' query in the workbook." type="5" refreshedVersion="0" background="1">
    <dbPr connection="Provider=Microsoft.Mashup.OleDb.1;Data Source=$Workbook$;Location=Parameter4;Extended Properties=&quot;&quot;" command="SELECT * FROM [Parameter4]"/>
  </connection>
  <connection id="18" xr16:uid="{EC459316-9C99-4E8E-A711-E30252C1909A}" keepAlive="1" name="Query - Parameter5" description="Connection to the 'Parameter5' query in the workbook." type="5" refreshedVersion="0" background="1">
    <dbPr connection="Provider=Microsoft.Mashup.OleDb.1;Data Source=$Workbook$;Location=Parameter5;Extended Properties=&quot;&quot;" command="SELECT * FROM [Parameter5]"/>
  </connection>
  <connection id="19" xr16:uid="{8C7294BF-1D0E-4E92-8B12-224C525191DC}" keepAlive="1" name="Query - Parameter6" description="Connection to the 'Parameter6' query in the workbook." type="5" refreshedVersion="0" background="1">
    <dbPr connection="Provider=Microsoft.Mashup.OleDb.1;Data Source=$Workbook$;Location=Parameter6;Extended Properties=&quot;&quot;" command="SELECT * FROM [Parameter6]"/>
  </connection>
  <connection id="20" xr16:uid="{0DDAB942-5449-4EDC-8346-3EA1545D1D7C}" keepAlive="1" name="Query - Parametro1" description="Connessione alla query 'Parametro1' nella cartella di lavoro." type="5" refreshedVersion="0" background="1">
    <dbPr connection="Provider=Microsoft.Mashup.OleDb.1;Data Source=$Workbook$;Location=Parametro1;Extended Properties=&quot;&quot;" command="SELECT * FROM [Parametro1]"/>
  </connection>
  <connection id="21" xr16:uid="{4DA7EB61-D4E9-4458-B327-F2DE0F934E28}" keepAlive="1" name="Query - Parametro2" description="Connessione alla query 'Parametro2' nella cartella di lavoro." type="5" refreshedVersion="0" background="1">
    <dbPr connection="Provider=Microsoft.Mashup.OleDb.1;Data Source=$Workbook$;Location=Parametro2;Extended Properties=&quot;&quot;" command="SELECT * FROM [Parametro2]"/>
  </connection>
  <connection id="22" xr16:uid="{44E274D9-2525-4246-A6F5-4D6C9879ED3C}" keepAlive="1" name="Query - Parametro3" description="Connessione alla query 'Parametro3' nella cartella di lavoro." type="5" refreshedVersion="0" background="1">
    <dbPr connection="Provider=Microsoft.Mashup.OleDb.1;Data Source=$Workbook$;Location=Parametro3;Extended Properties=&quot;&quot;" command="SELECT * FROM [Parametro3]"/>
  </connection>
  <connection id="23" xr16:uid="{ACC2D5E6-C9B7-4552-A443-77C06666D898}" keepAlive="1" name="Query - Parametro4" description="Connessione alla query 'Parametro4' nella cartella di lavoro." type="5" refreshedVersion="0" background="1">
    <dbPr connection="Provider=Microsoft.Mashup.OleDb.1;Data Source=$Workbook$;Location=Parametro4;Extended Properties=&quot;&quot;" command="SELECT * FROM [Parametro4]"/>
  </connection>
  <connection id="24" xr16:uid="{513A824A-D355-4AA9-A77A-880705302AC0}" keepAlive="1" name="Query - Parametro5" description="Connessione alla query 'Parametro5' nella cartella di lavoro." type="5" refreshedVersion="0" background="1">
    <dbPr connection="Provider=Microsoft.Mashup.OleDb.1;Data Source=$Workbook$;Location=Parametro5;Extended Properties=&quot;&quot;" command="SELECT * FROM [Parametro5]"/>
  </connection>
  <connection id="25" xr16:uid="{1BAC2D16-E321-4AD1-9C75-D084E8F5C14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26" xr16:uid="{D8D3CFF5-642B-4EAA-8BBD-ED0B96E2D49F}"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27" xr16:uid="{F8CFDC38-018C-4D89-8FE0-F5C8B3B3ACB9}"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28" xr16:uid="{0CA9665D-79A2-4E60-A0DC-FEA4B3406458}" keepAlive="1" name="Query - Sample File (4)" description="Connection to the 'Sample File (4)' query in the workbook." type="5" refreshedVersion="0" background="1">
    <dbPr connection="Provider=Microsoft.Mashup.OleDb.1;Data Source=$Workbook$;Location=&quot;Sample File (4)&quot;;Extended Properties=&quot;&quot;" command="SELECT * FROM [Sample File (4)]"/>
  </connection>
  <connection id="29" xr16:uid="{91FFC5AE-6C16-4381-93EE-5F0AD0F8CB70}" keepAlive="1" name="Query - Sample File (5)" description="Connection to the 'Sample File (5)' query in the workbook." type="5" refreshedVersion="0" background="1">
    <dbPr connection="Provider=Microsoft.Mashup.OleDb.1;Data Source=$Workbook$;Location=&quot;Sample File (5)&quot;;Extended Properties=&quot;&quot;" command="SELECT * FROM [Sample File (5)]"/>
  </connection>
  <connection id="30" xr16:uid="{A60A0C98-50AF-49EA-9BE5-B02D88250071}" keepAlive="1" name="Query - Sample File (6)" description="Connection to the 'Sample File (6)' query in the workbook." type="5" refreshedVersion="0" background="1">
    <dbPr connection="Provider=Microsoft.Mashup.OleDb.1;Data Source=$Workbook$;Location=&quot;Sample File (6)&quot;;Extended Properties=&quot;&quot;" command="SELECT * FROM [Sample File (6)]"/>
  </connection>
  <connection id="31" xr16:uid="{0E8815E7-055A-4A98-8DD6-124304DE7827}" keepAlive="1" name="Query - TEST_MANUALI" description="Connessione alla query 'TEST_MANUALI' nella cartella di lavoro." type="5" refreshedVersion="8" background="1" saveData="1">
    <dbPr connection="Provider=Microsoft.Mashup.OleDb.1;Data Source=$Workbook$;Location=TEST_MANUALI;Extended Properties=&quot;&quot;" command="SELECT * FROM [TEST_MANUALI]"/>
  </connection>
  <connection id="32" xr16:uid="{2F59EFF9-1F4E-4EF2-87A7-9A6ECB350F9D}"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33" xr16:uid="{48CB8715-8D89-4B9F-92D2-2D418CFED3CD}"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34" xr16:uid="{637CA5A9-9CAD-450D-AEEC-B252C2CA000A}"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35" xr16:uid="{3D55CAB5-79D0-45B7-A7B2-1B25DB733237}" keepAlive="1" name="Query - Transform File (4)" description="Connection to the 'Transform File (4)' query in the workbook." type="5" refreshedVersion="0" background="1">
    <dbPr connection="Provider=Microsoft.Mashup.OleDb.1;Data Source=$Workbook$;Location=&quot;Transform File (4)&quot;;Extended Properties=&quot;&quot;" command="SELECT * FROM [Transform File (4)]"/>
  </connection>
  <connection id="36" xr16:uid="{578C8C56-B090-49B4-9898-4E4DF4C89380}" keepAlive="1" name="Query - Transform File (5)" description="Connection to the 'Transform File (5)' query in the workbook." type="5" refreshedVersion="0" background="1">
    <dbPr connection="Provider=Microsoft.Mashup.OleDb.1;Data Source=$Workbook$;Location=&quot;Transform File (5)&quot;;Extended Properties=&quot;&quot;" command="SELECT * FROM [Transform File (5)]"/>
  </connection>
  <connection id="37" xr16:uid="{2541D544-F428-4358-AA62-2C8ACF2E6443}" keepAlive="1" name="Query - Transform File (6)" description="Connection to the 'Transform File (6)' query in the workbook." type="5" refreshedVersion="0" background="1">
    <dbPr connection="Provider=Microsoft.Mashup.OleDb.1;Data Source=$Workbook$;Location=&quot;Transform File (6)&quot;;Extended Properties=&quot;&quot;" command="SELECT * FROM [Transform File (6)]"/>
  </connection>
  <connection id="38" xr16:uid="{41742879-1E35-4FCD-89A2-D17C4C2F68B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39" xr16:uid="{C13F0816-D009-4326-8458-68C9A8400C11}"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40" xr16:uid="{83FEB5D4-F789-461B-A2A3-C9639DB3FD44}"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41" xr16:uid="{1D1CBBEE-335E-4CB3-81A4-781BA0BCDEFC}" keepAlive="1" name="Query - Transform Sample File (4)" description="Connection to the 'Transform Sample File (4)' query in the workbook." type="5" refreshedVersion="0" background="1">
    <dbPr connection="Provider=Microsoft.Mashup.OleDb.1;Data Source=$Workbook$;Location=&quot;Transform Sample File (4)&quot;;Extended Properties=&quot;&quot;" command="SELECT * FROM [Transform Sample File (4)]"/>
  </connection>
  <connection id="42" xr16:uid="{F3C1D382-999D-4670-B950-CC4CA6301DBA}" keepAlive="1" name="Query - Transform Sample File (5)" description="Connection to the 'Transform Sample File (5)' query in the workbook." type="5" refreshedVersion="0" background="1">
    <dbPr connection="Provider=Microsoft.Mashup.OleDb.1;Data Source=$Workbook$;Location=&quot;Transform Sample File (5)&quot;;Extended Properties=&quot;&quot;" command="SELECT * FROM [Transform Sample File (5)]"/>
  </connection>
  <connection id="43" xr16:uid="{8D875310-2BEF-4EC9-B485-D2C6E4FF711E}" keepAlive="1" name="Query - Transform Sample File (6)" description="Connection to the 'Transform Sample File (6)' query in the workbook." type="5" refreshedVersion="0" background="1">
    <dbPr connection="Provider=Microsoft.Mashup.OleDb.1;Data Source=$Workbook$;Location=&quot;Transform Sample File (6)&quot;;Extended Properties=&quot;&quot;" command="SELECT * FROM [Transform Sample File (6)]"/>
  </connection>
  <connection id="44" xr16:uid="{41186078-990E-4111-AAF1-3BE226300A21}" keepAlive="1" name="Query - Trasforma file" description="Connessione alla query 'Trasforma file' nella cartella di lavoro." type="5" refreshedVersion="0" background="1">
    <dbPr connection="Provider=Microsoft.Mashup.OleDb.1;Data Source=$Workbook$;Location=&quot;Trasforma file&quot;;Extended Properties=&quot;&quot;" command="SELECT * FROM [Trasforma file]"/>
  </connection>
  <connection id="45" xr16:uid="{118FE475-B840-4D6E-B0CC-6ADD213B511F}" keepAlive="1" name="Query - Trasforma file (2)" description="Connessione alla query 'Trasforma file (2)' nella cartella di lavoro." type="5" refreshedVersion="0" background="1">
    <dbPr connection="Provider=Microsoft.Mashup.OleDb.1;Data Source=$Workbook$;Location=&quot;Trasforma file (2)&quot;;Extended Properties=&quot;&quot;" command="SELECT * FROM [Trasforma file (2)]"/>
  </connection>
  <connection id="46" xr16:uid="{C351D4CA-63E3-4BAD-81D8-90660059770A}" keepAlive="1" name="Query - Trasforma file (3)" description="Connessione alla query 'Trasforma file (3)' nella cartella di lavoro." type="5" refreshedVersion="0" background="1">
    <dbPr connection="Provider=Microsoft.Mashup.OleDb.1;Data Source=$Workbook$;Location=&quot;Trasforma file (3)&quot;;Extended Properties=&quot;&quot;" command="SELECT * FROM [Trasforma file (3)]"/>
  </connection>
  <connection id="47" xr16:uid="{2549A3DE-41E2-4C34-99D8-7602C36D2BDF}" keepAlive="1" name="Query - Trasforma file (4)" description="Connessione alla query 'Trasforma file (4)' nella cartella di lavoro." type="5" refreshedVersion="0" background="1">
    <dbPr connection="Provider=Microsoft.Mashup.OleDb.1;Data Source=$Workbook$;Location=&quot;Trasforma file (4)&quot;;Extended Properties=&quot;&quot;" command="SELECT * FROM [Trasforma file (4)]"/>
  </connection>
  <connection id="48" xr16:uid="{891934CB-155E-4B3B-8DF2-50D3911AF04A}" keepAlive="1" name="Query - Trasforma file (5)" description="Connessione alla query 'Trasforma file (5)' nella cartella di lavoro." type="5" refreshedVersion="0" background="1">
    <dbPr connection="Provider=Microsoft.Mashup.OleDb.1;Data Source=$Workbook$;Location=&quot;Trasforma file (5)&quot;;Extended Properties=&quot;&quot;" command="SELECT * FROM [Trasforma file (5)]"/>
  </connection>
  <connection id="49" xr16:uid="{C9D0226B-AF76-45D5-ACE9-5B8869DF9AA3}" keepAlive="1" name="Query - Trasforma file di esempio" description="Connessione alla query 'Trasforma file di esempio' nella cartella di lavoro." type="5" refreshedVersion="0" background="1">
    <dbPr connection="Provider=Microsoft.Mashup.OleDb.1;Data Source=$Workbook$;Location=&quot;Trasforma file di esempio&quot;;Extended Properties=&quot;&quot;" command="SELECT * FROM [Trasforma file di esempio]"/>
  </connection>
  <connection id="50" xr16:uid="{D8630CDF-7434-401F-A7B5-1622D41DD74F}" keepAlive="1" name="Query - Trasforma file di esempio (2)" description="Connessione alla query 'Trasforma file di esempio (2)' nella cartella di lavoro." type="5" refreshedVersion="0" background="1">
    <dbPr connection="Provider=Microsoft.Mashup.OleDb.1;Data Source=$Workbook$;Location=&quot;Trasforma file di esempio (2)&quot;;Extended Properties=&quot;&quot;" command="SELECT * FROM [Trasforma file di esempio (2)]"/>
  </connection>
  <connection id="51" xr16:uid="{E37A89B5-13A1-404B-9059-5AB8E327B8B1}" keepAlive="1" name="Query - Trasforma file di esempio (3)" description="Connessione alla query 'Trasforma file di esempio (3)' nella cartella di lavoro." type="5" refreshedVersion="0" background="1">
    <dbPr connection="Provider=Microsoft.Mashup.OleDb.1;Data Source=$Workbook$;Location=&quot;Trasforma file di esempio (3)&quot;;Extended Properties=&quot;&quot;" command="SELECT * FROM [Trasforma file di esempio (3)]"/>
  </connection>
  <connection id="52" xr16:uid="{0074BD08-1F43-40CA-B976-DDB2EF771EA9}" keepAlive="1" name="Query - Trasforma file di esempio (4)" description="Connessione alla query 'Trasforma file di esempio (4)' nella cartella di lavoro." type="5" refreshedVersion="0" background="1">
    <dbPr connection="Provider=Microsoft.Mashup.OleDb.1;Data Source=$Workbook$;Location=&quot;Trasforma file di esempio (4)&quot;;Extended Properties=&quot;&quot;" command="SELECT * FROM [Trasforma file di esempio (4)]"/>
  </connection>
  <connection id="53" xr16:uid="{19F5634F-6E01-453A-940C-72E1BA2CF9C1}" keepAlive="1" name="Query - Trasforma file di esempio (5)" description="Connessione alla query 'Trasforma file di esempio (5)' nella cartella di lavoro." type="5" refreshedVersion="0" background="1">
    <dbPr connection="Provider=Microsoft.Mashup.OleDb.1;Data Source=$Workbook$;Location=&quot;Trasforma file di esempio (5)&quot;;Extended Properties=&quot;&quot;" command="SELECT * FROM [Trasforma file di esempio (5)]"/>
  </connection>
  <connection id="54" xr16:uid="{CA16467A-9D79-44F9-9AD2-D30D57E036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5" xr16:uid="{69F020D9-7622-4435-81DF-BA2F3138BB2B}" name="WorksheetConnection_001 - PortaleImmigrazione - TB_VTA.xlsx!Grouped_Violations" type="102" refreshedVersion="8" minRefreshableVersion="5">
    <extLst>
      <ext xmlns:x15="http://schemas.microsoft.com/office/spreadsheetml/2010/11/main" uri="{DE250136-89BD-433C-8126-D09CA5730AF9}">
        <x15:connection id="Grouped_Violations">
          <x15:rangePr sourceName="_xlcn.WorksheetConnection_001PortaleImmigrazioneTB_VTA.xlsxGrouped_Violations1"/>
        </x15:connection>
      </ext>
    </extLst>
  </connection>
</connections>
</file>

<file path=xl/sharedStrings.xml><?xml version="1.0" encoding="utf-8"?>
<sst xmlns="http://schemas.openxmlformats.org/spreadsheetml/2006/main" count="9207" uniqueCount="2080">
  <si>
    <t>Nome Servizio/Applicativo</t>
  </si>
  <si>
    <t>URL Sito</t>
  </si>
  <si>
    <t>URL Log</t>
  </si>
  <si>
    <t>Pagine analizzate con tool automatici</t>
  </si>
  <si>
    <t>Failure rilevate</t>
  </si>
  <si>
    <t>Desktop</t>
  </si>
  <si>
    <t>Mobile</t>
  </si>
  <si>
    <t>Page ID</t>
  </si>
  <si>
    <t>URL</t>
  </si>
  <si>
    <t>Funzionalità</t>
  </si>
  <si>
    <t>Servizio</t>
  </si>
  <si>
    <t>Campione</t>
  </si>
  <si>
    <t>Nome del file</t>
  </si>
  <si>
    <t>Score</t>
  </si>
  <si>
    <t>Passed</t>
  </si>
  <si>
    <t>Not Passed</t>
  </si>
  <si>
    <t>Not Applicable</t>
  </si>
  <si>
    <t>Issue</t>
  </si>
  <si>
    <t>Desktop Score</t>
  </si>
  <si>
    <t>D-Passed</t>
  </si>
  <si>
    <t>D-Not Passed</t>
  </si>
  <si>
    <t>D-Not Applicable</t>
  </si>
  <si>
    <t>Mobile Score</t>
  </si>
  <si>
    <t>M-Passed</t>
  </si>
  <si>
    <t>M-Not Passed</t>
  </si>
  <si>
    <t>M-Not Applicable</t>
  </si>
  <si>
    <t>#1</t>
  </si>
  <si>
    <t>Servizio Digitale</t>
  </si>
  <si>
    <t>Count of ID Silk</t>
  </si>
  <si>
    <t>10.1.1.1</t>
  </si>
  <si>
    <t>10.1.3.1</t>
  </si>
  <si>
    <t>10.1.4.1</t>
  </si>
  <si>
    <t>10.1.4.3</t>
  </si>
  <si>
    <t>10.2.4.2</t>
  </si>
  <si>
    <t>\</t>
  </si>
  <si>
    <t>10.3.1.1</t>
  </si>
  <si>
    <t>10.4.1.1</t>
  </si>
  <si>
    <t>12.2.2</t>
  </si>
  <si>
    <t>12.2.3</t>
  </si>
  <si>
    <t>9.1.1.1</t>
  </si>
  <si>
    <t>9.1.2.1</t>
  </si>
  <si>
    <t>9.1.2.2</t>
  </si>
  <si>
    <t>9.1.3.1</t>
  </si>
  <si>
    <t>9.1.3.2</t>
  </si>
  <si>
    <t>9.1.4.1</t>
  </si>
  <si>
    <t>9.1.4.3</t>
  </si>
  <si>
    <t>9.1.4.5</t>
  </si>
  <si>
    <t>9.2.1.1</t>
  </si>
  <si>
    <t>9.2.4.2</t>
  </si>
  <si>
    <t>9.2.4.3</t>
  </si>
  <si>
    <t>9.2.4.4</t>
  </si>
  <si>
    <t>9.3.1.1</t>
  </si>
  <si>
    <t>9.3.3.2</t>
  </si>
  <si>
    <t>9.4.1.1</t>
  </si>
  <si>
    <t>9.4.1.2</t>
  </si>
  <si>
    <t>Totali</t>
  </si>
  <si>
    <t>ID Silk</t>
  </si>
  <si>
    <t>subID</t>
  </si>
  <si>
    <t>#ID</t>
  </si>
  <si>
    <t>ID defectXsilk</t>
  </si>
  <si>
    <t>Componente</t>
  </si>
  <si>
    <t>Livello</t>
  </si>
  <si>
    <t>Criterio</t>
  </si>
  <si>
    <t>UNI CEI EN 301549</t>
  </si>
  <si>
    <t>User Impact</t>
  </si>
  <si>
    <t>Disabilities</t>
  </si>
  <si>
    <t>Title</t>
  </si>
  <si>
    <t>Titolo</t>
  </si>
  <si>
    <t>Descrizione</t>
  </si>
  <si>
    <t>Rejected Element</t>
  </si>
  <si>
    <t>Detail</t>
  </si>
  <si>
    <t>Tool</t>
  </si>
  <si>
    <t>ID</t>
  </si>
  <si>
    <t>ItemsNodeLabel</t>
  </si>
  <si>
    <t>ItemsExplanation</t>
  </si>
  <si>
    <t>Soluzione note aggiuntive</t>
  </si>
  <si>
    <t>Detail univoco</t>
  </si>
  <si>
    <t>Rejected Element Univoco</t>
  </si>
  <si>
    <t>Diffusione</t>
  </si>
  <si>
    <t>Share URL</t>
  </si>
  <si>
    <t>Severity</t>
  </si>
  <si>
    <t>Titolo Defect</t>
  </si>
  <si>
    <t>Description Defect</t>
  </si>
  <si>
    <t>Caricato su Silk</t>
  </si>
  <si>
    <t>Fail</t>
  </si>
  <si>
    <t>Fix summary</t>
  </si>
  <si>
    <t>PDF001</t>
  </si>
  <si>
    <t>PDF002</t>
  </si>
  <si>
    <t>Use tags to specify PDF's logical structure framework</t>
  </si>
  <si>
    <t>PDF003</t>
  </si>
  <si>
    <t>Providing headings by marking content with heading tags in PDF documents</t>
  </si>
  <si>
    <t>Document is not marked as tagged</t>
  </si>
  <si>
    <t>MAUVE++</t>
  </si>
  <si>
    <t>PAC</t>
  </si>
  <si>
    <t>PDF ID</t>
  </si>
  <si>
    <t>Funzionalita</t>
  </si>
  <si>
    <t>M - Score</t>
  </si>
  <si>
    <t>M - Passed</t>
  </si>
  <si>
    <t>M - Not Passed</t>
  </si>
  <si>
    <t>P - Passed</t>
  </si>
  <si>
    <t>P - Warned</t>
  </si>
  <si>
    <t>P - Failed</t>
  </si>
  <si>
    <t>Issues</t>
  </si>
  <si>
    <t>#P01</t>
  </si>
  <si>
    <t>Test ID</t>
  </si>
  <si>
    <t>Test Description</t>
  </si>
  <si>
    <t>Result</t>
  </si>
  <si>
    <t>1</t>
  </si>
  <si>
    <t>Controllo della Struttura del Documento</t>
  </si>
  <si>
    <t>Controllo dei Tag</t>
  </si>
  <si>
    <t>Verifica delle Immagini</t>
  </si>
  <si>
    <t>Controllo dei Colori e del Contrasto</t>
  </si>
  <si>
    <t>Verifica dei Link e delle Azioni</t>
  </si>
  <si>
    <t>Navigazione e Ordine di Lettura</t>
  </si>
  <si>
    <t>Controllo delle Tabelle</t>
  </si>
  <si>
    <t>Annotazioni e Commenti</t>
  </si>
  <si>
    <t>Salto di blocchi</t>
  </si>
  <si>
    <t>Area funzionale</t>
  </si>
  <si>
    <t>Criterio di successo</t>
  </si>
  <si>
    <t>REQUISITO</t>
  </si>
  <si>
    <t>NOME DOCUMENTO E LINK</t>
  </si>
  <si>
    <t>LINK ESTESO</t>
  </si>
  <si>
    <t>S001 Homepage</t>
  </si>
  <si>
    <t>F0001 Elenco offerte e servizi</t>
  </si>
  <si>
    <t>1.1.1</t>
  </si>
  <si>
    <t>Contenuti non testuali</t>
  </si>
  <si>
    <t>10.1.3.1 Informazioni e correlazioni.docx</t>
  </si>
  <si>
    <t>https://posteitaliane.sharepoint.com/:w:/r/teams/ACCESSIBILITRISULTATIVERIFICHETECNICHE/Shared%20Documents/Generale/SCHEDE_REQUISITI/10.1.3.1%20Informazioni%20e%20correlazioni.docx?d=w16f7613ad3554851b2c89a5ca010a7a2&amp;csf=1&amp;web=1&amp;e=AFWDmi</t>
  </si>
  <si>
    <t>S002 Poste Guidare Sicuri</t>
  </si>
  <si>
    <t>1.2.1</t>
  </si>
  <si>
    <t>Solo audio e solo video (preregistrati)</t>
  </si>
  <si>
    <t>10.1.3.2</t>
  </si>
  <si>
    <t>10.1.3.2 Sequenza significativa.docx</t>
  </si>
  <si>
    <t>https://posteitaliane.sharepoint.com/:w:/r/teams/ACCESSIBILITRISULTATIVERIFICHETECNICHE/Shared%20Documents/Generale/SCHEDE_REQUISITI/10.1.3.2%20Sequenza%20significativa.docx?d=wc358fe04604c46dcad4900207034af1e&amp;csf=1&amp;web=1&amp;e=Egn3Lg</t>
  </si>
  <si>
    <t>F0003 Quotazione</t>
  </si>
  <si>
    <t>1.2.2</t>
  </si>
  <si>
    <t>Sottotitoli (preregistrati)</t>
  </si>
  <si>
    <t>10.1.4.3 Contrasto (minimo).docx</t>
  </si>
  <si>
    <t>https://posteitaliane.sharepoint.com/:w:/r/teams/ACCESSIBILITRISULTATIVERIFICHETECNICHE/Shared%20Documents/Generale/SCHEDE_REQUISITI/10.1.4.3%20Contrasto%20(minimo).docx?d=wb5da035a086249bca8fc7050a31c158c&amp;csf=1&amp;web=1&amp;e=SVKGXy</t>
  </si>
  <si>
    <t>S003 Assistenza</t>
  </si>
  <si>
    <t>F0004 Assistenza Clienti</t>
  </si>
  <si>
    <t>1.2.3</t>
  </si>
  <si>
    <t>Audiodescrizione o tipo di media alternativo (preregistrato)</t>
  </si>
  <si>
    <t>10.2.4.2 Titolazione del documento.docx</t>
  </si>
  <si>
    <t>https://posteitaliane.sharepoint.com/:w:/r/teams/ACCESSIBILITRISULTATIVERIFICHETECNICHE/Shared%20Documents/Generale/SCHEDE_REQUISITI/10.2.4.2%20Titolazione%20del%20documento.docx?d=wd1431799a8524b148514a35ac1863838&amp;csf=1&amp;web=1&amp;e=9MpdKG</t>
  </si>
  <si>
    <t>F0005 Reclami</t>
  </si>
  <si>
    <t>1.2.4</t>
  </si>
  <si>
    <t>Sottotitoli (in tempo reale)</t>
  </si>
  <si>
    <t>11.1.1.1.1</t>
  </si>
  <si>
    <t>11.1.1.1.1_Contenuti_non_testuali_(funzionalità_aperta).docx</t>
  </si>
  <si>
    <t>https://posteitaliane.sharepoint.com/:w:/r/teams/ACCESSIBILITRISULTATIVERIFICHETECNICHE/Shared%20Documents/Generale/SCHEDE_REQUISITI/11.1.1.1.1_Contenuti_non_testuali_(funzionalit%C3%A0_aperta).docx?d=w87e8fee9cda64daea0b797bbf7db8184&amp;csf=1&amp;web=1&amp;e=GdUue0</t>
  </si>
  <si>
    <t>F0006 Sinistri</t>
  </si>
  <si>
    <t>1.2.5</t>
  </si>
  <si>
    <t>Audiodescrizione (preregistrata)</t>
  </si>
  <si>
    <t>11.1.3.1.1</t>
  </si>
  <si>
    <t>11.1.3.1.1_Informazioni_e_correlazioni_(funzionalità_aperta).docx</t>
  </si>
  <si>
    <t>https://posteitaliane.sharepoint.com/:w:/r/teams/ACCESSIBILITRISULTATIVERIFICHETECNICHE/Shared%20Documents/Generale/SCHEDE_REQUISITI/11.1.3.1.1_Informazioni_e_correlazioni_(funzionalit%C3%A0_aperta).docx?d=w1723de3ac60b4c5f9c588e068a27725a&amp;csf=1&amp;web=1&amp;e=Gv7WM5</t>
  </si>
  <si>
    <t>F0007 FAQ</t>
  </si>
  <si>
    <t>1.2.6</t>
  </si>
  <si>
    <t>Lingua dei segni (preregistrato)</t>
  </si>
  <si>
    <t>11.1.4.3</t>
  </si>
  <si>
    <t>11.1.4.3_Contrasto_(minimo).docx</t>
  </si>
  <si>
    <t>https://posteitaliane.sharepoint.com/:w:/r/teams/ACCESSIBILITRISULTATIVERIFICHETECNICHE/Shared%20Documents/Generale/SCHEDE_REQUISITI/11.1.4.3_Contrasto_(minimo).docx?d=w61b20e8f7ec6428fbe679b262725c98f&amp;csf=1&amp;web=1&amp;e=Pnm4F4</t>
  </si>
  <si>
    <t>F0008 Archivio Documentazione Contrattuale</t>
  </si>
  <si>
    <t>1.2.7</t>
  </si>
  <si>
    <t>Audiodescrizione estesa (preregistrata)</t>
  </si>
  <si>
    <t>11.1.4.4.1</t>
  </si>
  <si>
    <t>11.1.4.4.1_Ridimensionamento_del_testo_(funzionalità_aperta).docx</t>
  </si>
  <si>
    <t>https://posteitaliane.sharepoint.com/:w:/r/teams/ACCESSIBILITRISULTATIVERIFICHETECNICHE/Shared%20Documents/Generale/SCHEDE_REQUISITI/11.1.4.4.1_Ridimensionamento_del_testo_(funzionalit%C3%A0_aperta).docx?d=w48964c94b2224c57bcf3e84b2beb00f2&amp;csf=1&amp;web=1&amp;e=gNF9AI</t>
  </si>
  <si>
    <t>F0009 Glossario assicurativo</t>
  </si>
  <si>
    <t>1.2.8</t>
  </si>
  <si>
    <t>Tipo di media alternativo (preregistrato)</t>
  </si>
  <si>
    <t>11.2.1.1.1</t>
  </si>
  <si>
    <t>11.2.1.1.1 Tastiera (funzionalità aperta).docx</t>
  </si>
  <si>
    <t>https://posteitaliane.sharepoint.com/:w:/r/teams/ACCESSIBILITRISULTATIVERIFICHETECNICHE/Shared%20Documents/Generale/SCHEDE_REQUISITI/11.2.1.1.1%20Tastiera%20(funzionalit%C3%A0%20aperta).docx?d=w62b4d3c4acf14dfd8425f81a2052d5fc&amp;csf=1&amp;web=1&amp;e=hOD3Af</t>
  </si>
  <si>
    <t>S004 Accessibilità</t>
  </si>
  <si>
    <t>F0010 Dichiarazione di Accessibilità</t>
  </si>
  <si>
    <t>1.2.9</t>
  </si>
  <si>
    <t>Solo audio (in tempo reale)</t>
  </si>
  <si>
    <t>11.2.4.3</t>
  </si>
  <si>
    <t>11.2.4.3_Ordine_del_focus.docx</t>
  </si>
  <si>
    <t>https://posteitaliane.sharepoint.com/:w:/r/teams/ACCESSIBILITRISULTATIVERIFICHETECNICHE/Shared%20Documents/Generale/SCHEDE_REQUISITI/11.2.4.3_Ordine_del_focus.docx?d=wcb056349c8564b71b5cf8e23274b72d3&amp;csf=1&amp;web=1&amp;e=XCZDB2</t>
  </si>
  <si>
    <t>S005 Privacy Policy</t>
  </si>
  <si>
    <t>F0011 Documentazione Privacy Policy</t>
  </si>
  <si>
    <t>1.3.1</t>
  </si>
  <si>
    <t>Informazioni e correlazioni</t>
  </si>
  <si>
    <t>11.2.4.6</t>
  </si>
  <si>
    <t>11.2.4.6_Intestazioni_ed_etichette.docx</t>
  </si>
  <si>
    <t>https://posteitaliane.sharepoint.com/:w:/r/teams/ACCESSIBILITRISULTATIVERIFICHETECNICHE/Shared%20Documents/Generale/SCHEDE_REQUISITI/11.2.4.6_Intestazioni_ed_etichette.docx?d=we6de86faee7f485db6c8ae30b4ef3d0f&amp;csf=1&amp;web=1&amp;e=izmYSc</t>
  </si>
  <si>
    <t>S006 L'azienda</t>
  </si>
  <si>
    <t>F0012 https://posteinsurancebroker.poste.it/segnalazioni-anomalie/</t>
  </si>
  <si>
    <t>1.3.2</t>
  </si>
  <si>
    <t>Sequenza significativa</t>
  </si>
  <si>
    <t>11.4.1.2.1</t>
  </si>
  <si>
    <t>11.4.1.2.1_Nome,ruolo,valore_(funzionalità_aperta).docx</t>
  </si>
  <si>
    <t>https://posteitaliane.sharepoint.com/:w:/r/teams/ACCESSIBILITRISULTATIVERIFICHETECNICHE/Shared%20Documents/Generale/SCHEDE_REQUISITI/11.4.1.2.1_Nome,ruolo,valore_(funzionalit%C3%A0_aperta).docx?d=wb96cf3f2554842538f60f52e05fa31f4&amp;csf=1&amp;web=1&amp;e=FzyCQ3</t>
  </si>
  <si>
    <t>D001 Modello CAI - LN (</t>
  </si>
  <si>
    <t>D001 Modello CAI - LN</t>
  </si>
  <si>
    <t>1.3.3</t>
  </si>
  <si>
    <t>Caratteristiche sensoriali</t>
  </si>
  <si>
    <t>9.1.1.1 Contenuti non testuali .docx</t>
  </si>
  <si>
    <t>https://posteitaliane.sharepoint.com/:w:/r/teams/ACCESSIBILITRISULTATIVERIFICHETECNICHE/Shared%20Documents/Generale/SCHEDE_REQUISITI/9.1.1.1%20Contenuti%20non%20testuali%20.docx?d=w096cbdf06fa14fbf9d8a34e20106b52f&amp;csf=1&amp;web=1&amp;e=GfrHzT</t>
  </si>
  <si>
    <t>D002 Modello CAI - GN</t>
  </si>
  <si>
    <t>1.3.4</t>
  </si>
  <si>
    <t>Orientamento</t>
  </si>
  <si>
    <t>9.1.3.1 Informazioni e correlazioni.docx</t>
  </si>
  <si>
    <t>https://posteitaliane.sharepoint.com/:w:/r/teams/ACCESSIBILITRISULTATIVERIFICHETECNICHE/Shared%20Documents/Generale/SCHEDE_REQUISITI/9.1.3.1%20Informazioni%20e%20correlazioni.docx?d=w7a79f28f1f0b4b86bd6f702204ff96de&amp;csf=1&amp;web=1&amp;e=l3sokQ</t>
  </si>
  <si>
    <t>D003 RCA Poste Guidare Sicuri Genertel</t>
  </si>
  <si>
    <t>1.3.5</t>
  </si>
  <si>
    <t>Identificare lo scopo degli input</t>
  </si>
  <si>
    <t>9.1.4.10</t>
  </si>
  <si>
    <t>9.1.4.10 Ricalcolo del flusso.docx</t>
  </si>
  <si>
    <t>https://posteitaliane.sharepoint.com/:w:/r/teams/ACCESSIBILITRISULTATIVERIFICHETECNICHE/Shared%20Documents/Generale/SCHEDE_REQUISITI/9.1.4.10%20Ricalcolo%20del%20flusso.docx?d=wcab1a4b7ac854b1896f011100ac19e1a&amp;csf=1&amp;web=1&amp;e=olvDEd</t>
  </si>
  <si>
    <t>D004 RCA Poste Guidare Sicuri Linear</t>
  </si>
  <si>
    <t>1.3.6</t>
  </si>
  <si>
    <t>Identificare lo scopo</t>
  </si>
  <si>
    <t>9.1.4.3 Contrasto (minimo).docx</t>
  </si>
  <si>
    <t>https://posteitaliane.sharepoint.com/:w:/r/teams/ACCESSIBILITRISULTATIVERIFICHETECNICHE/Shared%20Documents/Generale/SCHEDE_REQUISITI/9.1.4.3%20Contrasto%20(minimo).docx?d=w9f2bd23069d041949f3883a7dbad3f2c&amp;csf=1&amp;web=1&amp;e=tMcxqJ</t>
  </si>
  <si>
    <t>D005 Set informativo</t>
  </si>
  <si>
    <t>1.4.1</t>
  </si>
  <si>
    <t>Uso del colore</t>
  </si>
  <si>
    <t>9.1.4.4</t>
  </si>
  <si>
    <t>9.1.4.4 Ridimensionamento del testo.docx</t>
  </si>
  <si>
    <t>https://posteitaliane.sharepoint.com/:w:/r/teams/ACCESSIBILITRISULTATIVERIFICHETECNICHE/Shared%20Documents/Generale/SCHEDE_REQUISITI/9.1.4.4%20Ridimensionamento%20del%20testo.docx?d=wb29e3fb3b6f9461f9c272ad4ae5b9539&amp;csf=1&amp;web=1&amp;e=DsXnvH</t>
  </si>
  <si>
    <t>1.4.2</t>
  </si>
  <si>
    <t>Controllo del sonoro</t>
  </si>
  <si>
    <t>9.2.1.1 Tastiera.docx</t>
  </si>
  <si>
    <t>https://posteitaliane.sharepoint.com/:w:/r/teams/ACCESSIBILITRISULTATIVERIFICHETECNICHE/Shared%20Documents/Generale/SCHEDE_REQUISITI/9.2.1.1%20Tastiera.docx?d=w7e0af80dcc2f478eb0c964bfb973ea4e&amp;csf=1&amp;web=1&amp;e=1LDvvU</t>
  </si>
  <si>
    <t>1.4.3</t>
  </si>
  <si>
    <t>Contrasto (minimo)</t>
  </si>
  <si>
    <t>9.2.4.3 Ordine del focus.docx</t>
  </si>
  <si>
    <t>https://posteitaliane.sharepoint.com/:w:/r/teams/ACCESSIBILITRISULTATIVERIFICHETECNICHE/Shared%20Documents/Generale/SCHEDE_REQUISITI/9.2.4.3%20Ordine%20del%20focus.docx?d=w8cfd3853e81f4868a46cbdbabe5c4d99&amp;csf=1&amp;web=1&amp;e=ii42fw</t>
  </si>
  <si>
    <t>1.4.4</t>
  </si>
  <si>
    <t>Ridimensionamento del testo</t>
  </si>
  <si>
    <t>9.2.4.6</t>
  </si>
  <si>
    <t>9.2.4.6 Intestazioni ed etichette.docx</t>
  </si>
  <si>
    <t>https://posteitaliane.sharepoint.com/:w:/r/teams/ACCESSIBILITRISULTATIVERIFICHETECNICHE/Shared%20Documents/Generale/SCHEDE_REQUISITI/9.2.4.6%20Intestazioni%20ed%20etichette.docx?d=wf6c9c284bd7149b995df5c13ab23753c&amp;csf=1&amp;web=1&amp;e=ThNYfp</t>
  </si>
  <si>
    <t>1.4.5</t>
  </si>
  <si>
    <t>Immagini di testo</t>
  </si>
  <si>
    <t>9.2.4.7</t>
  </si>
  <si>
    <t>9.2.4.7 Focus visibile.docx</t>
  </si>
  <si>
    <t>https://posteitaliane.sharepoint.com/:w:/r/teams/ACCESSIBILITRISULTATIVERIFICHETECNICHE/Shared%20Documents/Generale/SCHEDE_REQUISITI/9.2.4.7%20Focus%20visibile.docx?d=w1fc5b839f5674a11b612c49a913c44e9&amp;csf=1&amp;web=1&amp;e=8oysv3</t>
  </si>
  <si>
    <t>1.4.6</t>
  </si>
  <si>
    <t>Contrasto (avanzato)</t>
  </si>
  <si>
    <t>9.2.5.3</t>
  </si>
  <si>
    <t>9.2.5.3 Etichetta nel nome.docx</t>
  </si>
  <si>
    <t>https://posteitaliane.sharepoint.com/:w:/r/teams/ACCESSIBILITRISULTATIVERIFICHETECNICHE/Shared%20Documents/Generale/SCHEDE_REQUISITI/9.2.5.3%20Etichetta%20nel%20nome.docx?d=w7044ef49b041441cb975967bc49a7316&amp;csf=1&amp;web=1&amp;e=20GbnH</t>
  </si>
  <si>
    <t>1.4.7</t>
  </si>
  <si>
    <t>Sottofondo sonoro basso o non presente</t>
  </si>
  <si>
    <t>9.3.3.1</t>
  </si>
  <si>
    <t>9.3.3.1 Identificazione degli errori.docx</t>
  </si>
  <si>
    <t>https://posteitaliane.sharepoint.com/:w:/r/teams/ACCESSIBILITRISULTATIVERIFICHETECNICHE/Shared%20Documents/Generale/SCHEDE_REQUISITI/9.3.3.1%20Identificazione%20degli%20errori.docx?d=w7557ede362e04860b5036f0d4737a4b8&amp;csf=1&amp;web=1&amp;e=17zl1d</t>
  </si>
  <si>
    <t>1.4.8</t>
  </si>
  <si>
    <t>Presentazione visiva</t>
  </si>
  <si>
    <t>9.3.3.3</t>
  </si>
  <si>
    <t>9.3.3.3 Suggerimenti per gli errori.docx</t>
  </si>
  <si>
    <t>https://posteitaliane.sharepoint.com/:w:/r/teams/ACCESSIBILITRISULTATIVERIFICHETECNICHE/Shared%20Documents/Generale/SCHEDE_REQUISITI/9.3.3.3%20Suggerimenti%20per%20gli%20errori.docx?d=wb025a58cdf8347f6866094fffc511a0b&amp;csf=1&amp;web=1&amp;e=caJkec</t>
  </si>
  <si>
    <t>1.4.9</t>
  </si>
  <si>
    <t>Immagini di testo (senza eccezioni)</t>
  </si>
  <si>
    <t>9.4.1.2 Nome, ruolo, valore.docx</t>
  </si>
  <si>
    <t>https://posteitaliane.sharepoint.com/:w:/r/teams/ACCESSIBILITRISULTATIVERIFICHETECNICHE/Shared%20Documents/Generale/SCHEDE_REQUISITI/9.4.1.2%20Nome,%20ruolo,%20valore.docx?d=wc532360c915c4d57b69c2d2be6d3c155&amp;csf=1&amp;web=1&amp;e=RZyIkK</t>
  </si>
  <si>
    <t>1.4.10</t>
  </si>
  <si>
    <t>Ricalcolo del flusso</t>
  </si>
  <si>
    <t>9.4.1.3</t>
  </si>
  <si>
    <t>9.4.1.3 Messaggi di stato.docx</t>
  </si>
  <si>
    <t>https://posteitaliane.sharepoint.com/:w:/r/teams/ACCESSIBILITRISULTATIVERIFICHETECNICHE/Shared%20Documents/Generale/SCHEDE_REQUISITI/9.4.1.3%20Messaggi%20di%20stato.docx?d=wcac2bab4ebfc469689210a383cc417e0&amp;csf=1&amp;web=1&amp;e=r7iq8O</t>
  </si>
  <si>
    <t>1.4.11</t>
  </si>
  <si>
    <t>Contrasto in contenuti non testuali</t>
  </si>
  <si>
    <t>9.2.5.8</t>
  </si>
  <si>
    <t>9.2.5.8 Dimensione dell'obiettivo (minimo)</t>
  </si>
  <si>
    <t>https://www.w3.org/WAI/WCAG22/Understanding/target-size-minimum.html</t>
  </si>
  <si>
    <t>1.4.12</t>
  </si>
  <si>
    <t>Spaziatura del testo</t>
  </si>
  <si>
    <t>1.4.13</t>
  </si>
  <si>
    <t>Contenuto con Hover o Focus</t>
  </si>
  <si>
    <t>2.1.1</t>
  </si>
  <si>
    <t>Tastiera</t>
  </si>
  <si>
    <t>2.1.2</t>
  </si>
  <si>
    <t>Nessun impedimento all'uso della tastiera</t>
  </si>
  <si>
    <t>2.1.3</t>
  </si>
  <si>
    <t>Tastiera (nessuna eccezione)</t>
  </si>
  <si>
    <t>2.1.4</t>
  </si>
  <si>
    <t>Tasti di scelta rapida</t>
  </si>
  <si>
    <t>2.2.1</t>
  </si>
  <si>
    <t>Regolazione tempi di esecuzione</t>
  </si>
  <si>
    <t>2.2.2</t>
  </si>
  <si>
    <t>Pausa, stop, nascondi</t>
  </si>
  <si>
    <t>2.2.3</t>
  </si>
  <si>
    <t>Nessun tempo di esecuzione</t>
  </si>
  <si>
    <t>2.2.4</t>
  </si>
  <si>
    <t>Interruzioni</t>
  </si>
  <si>
    <t>2.2.5</t>
  </si>
  <si>
    <t>Riautenticazione</t>
  </si>
  <si>
    <t>2.2.6</t>
  </si>
  <si>
    <t>Termine del tempo</t>
  </si>
  <si>
    <t>2.3.1</t>
  </si>
  <si>
    <t>Tre lampeggiamenti o inferiore alla soglia</t>
  </si>
  <si>
    <t>2.3.2</t>
  </si>
  <si>
    <t>Tre lampeggiamenti</t>
  </si>
  <si>
    <t>2.3.3</t>
  </si>
  <si>
    <t>Animazione da interazioni</t>
  </si>
  <si>
    <t>2.4.1</t>
  </si>
  <si>
    <t>2.4.2</t>
  </si>
  <si>
    <t>Titolazione della pagina</t>
  </si>
  <si>
    <t>2.4.3</t>
  </si>
  <si>
    <t>Ordine del focus</t>
  </si>
  <si>
    <t>2.4.4</t>
  </si>
  <si>
    <t>Scopo del collegamento (nel contesto)</t>
  </si>
  <si>
    <t>2.4.5</t>
  </si>
  <si>
    <t>Differenti modalità</t>
  </si>
  <si>
    <t>2.4.6</t>
  </si>
  <si>
    <t>Intestazioni ed etichette</t>
  </si>
  <si>
    <t>2.4.7</t>
  </si>
  <si>
    <t>Focus visibile</t>
  </si>
  <si>
    <t>2.4.8</t>
  </si>
  <si>
    <t>Posizione</t>
  </si>
  <si>
    <t>2.4.9</t>
  </si>
  <si>
    <t>Scopo del collegamento (solo collegamento)</t>
  </si>
  <si>
    <t>2.4.10</t>
  </si>
  <si>
    <t>Intestazioni di sezione</t>
  </si>
  <si>
    <t>2.5.1</t>
  </si>
  <si>
    <t>Movimenti del puntatore</t>
  </si>
  <si>
    <t>2.5.2</t>
  </si>
  <si>
    <t>Cancellazione delle azioni del puntatore</t>
  </si>
  <si>
    <t>2.5.3</t>
  </si>
  <si>
    <t>Etichetta nel nome</t>
  </si>
  <si>
    <t>2.5.4</t>
  </si>
  <si>
    <t>Azionamento da movimento</t>
  </si>
  <si>
    <t>2.5.5</t>
  </si>
  <si>
    <t>Dimensione dell'obiettivo</t>
  </si>
  <si>
    <t>2.5.6</t>
  </si>
  <si>
    <t>Meccanismi di input simultanei</t>
  </si>
  <si>
    <t>3.1.1</t>
  </si>
  <si>
    <t>Lingua della pagina</t>
  </si>
  <si>
    <t>3.1.2</t>
  </si>
  <si>
    <t>Parti in lingua</t>
  </si>
  <si>
    <t>3.1.3</t>
  </si>
  <si>
    <t>Parole inusuali</t>
  </si>
  <si>
    <t>3.1.4</t>
  </si>
  <si>
    <t>Abbreviazioni</t>
  </si>
  <si>
    <t>3.1.5</t>
  </si>
  <si>
    <t>Livello di lettura</t>
  </si>
  <si>
    <t>3.1.6</t>
  </si>
  <si>
    <t>Pronuncia</t>
  </si>
  <si>
    <t>3.2.1</t>
  </si>
  <si>
    <t>Al focus</t>
  </si>
  <si>
    <t>3.2.2</t>
  </si>
  <si>
    <t>All'input</t>
  </si>
  <si>
    <t>3.2.3</t>
  </si>
  <si>
    <t>Navigazione coerente</t>
  </si>
  <si>
    <t>3.2.4</t>
  </si>
  <si>
    <t>Identificazione coerente</t>
  </si>
  <si>
    <t>3.2.5</t>
  </si>
  <si>
    <t>Cambiamenti su richiesta</t>
  </si>
  <si>
    <t>3.3.1</t>
  </si>
  <si>
    <t>Identificazione di errori</t>
  </si>
  <si>
    <t>3.3.2</t>
  </si>
  <si>
    <t>Etichette o istruzioni</t>
  </si>
  <si>
    <t>3.3.3</t>
  </si>
  <si>
    <t>Suggerimenti per gli errori</t>
  </si>
  <si>
    <t>3.3.4</t>
  </si>
  <si>
    <t>Prevenzione degli errori (legali, finanziari, dati)</t>
  </si>
  <si>
    <t>3.3.5</t>
  </si>
  <si>
    <t>Aiuto</t>
  </si>
  <si>
    <t>3.3.6</t>
  </si>
  <si>
    <t>Prevenzione degli errori (tutti)</t>
  </si>
  <si>
    <t>4.1.1</t>
  </si>
  <si>
    <t>Analisi sintattica (parsing)</t>
  </si>
  <si>
    <t>4.1.2</t>
  </si>
  <si>
    <t>Nome, ruolo, valore</t>
  </si>
  <si>
    <t>4.1.3</t>
  </si>
  <si>
    <t>Messaggi di stato</t>
  </si>
  <si>
    <t>2.5.8</t>
  </si>
  <si>
    <t>Dimensione dell'obiettivo (minimo)</t>
  </si>
  <si>
    <t>12.1.1</t>
  </si>
  <si>
    <t>Caratteristiche di accessibilità e compatibilità</t>
  </si>
  <si>
    <t>12.1.2</t>
  </si>
  <si>
    <t>Documentazione accessibile</t>
  </si>
  <si>
    <t>Informazioni sulle caratteristiche di accessibilità e compatibilità</t>
  </si>
  <si>
    <t>Comunicazione effettiva</t>
  </si>
  <si>
    <t>12.2.4</t>
  </si>
  <si>
    <t>https://posteinsurancebroker.poste.it/segnalazioni-anomalie/</t>
  </si>
  <si>
    <t>https://posteinsurancebroker.poste.it/</t>
  </si>
  <si>
    <t>https://posteinsurancebroker.poste.it/archivio/</t>
  </si>
  <si>
    <t>https://posteinsurancebroker.poste.it/assistenza</t>
  </si>
  <si>
    <t>https://posteinsurancebroker.poste.it/chiamaci/</t>
  </si>
  <si>
    <t>https://posteinsurancebroker.poste.it/cookie-policy</t>
  </si>
  <si>
    <t>https://posteinsurancebroker.poste.it/dichiarazione-accessibilita/</t>
  </si>
  <si>
    <t>https://posteinsurancebroker.poste.it/faq-poste-guidare-sicuri/</t>
  </si>
  <si>
    <t>https://posteinsurancebroker.poste.it/fastquote/index.html</t>
  </si>
  <si>
    <t>https://posteinsurancebroker.poste.it/glossario-assicurativo/</t>
  </si>
  <si>
    <t>https://posteinsurancebroker.poste.it/poste-guidare-sicuri/</t>
  </si>
  <si>
    <t>https://posteinsurancebroker.poste.it/privacy-policy</t>
  </si>
  <si>
    <t>https://posteinsurancebroker.poste.it/reclami/</t>
  </si>
  <si>
    <t>https://posteinsurancebroker.poste.it/sinistri/</t>
  </si>
  <si>
    <t>#2</t>
  </si>
  <si>
    <t>#3</t>
  </si>
  <si>
    <t>#5</t>
  </si>
  <si>
    <t>#6</t>
  </si>
  <si>
    <t>#7</t>
  </si>
  <si>
    <t>#8</t>
  </si>
  <si>
    <t>#9</t>
  </si>
  <si>
    <t>#10</t>
  </si>
  <si>
    <t>#11</t>
  </si>
  <si>
    <t>#12</t>
  </si>
  <si>
    <t>#13</t>
  </si>
  <si>
    <t>#14</t>
  </si>
  <si>
    <t>#15</t>
  </si>
  <si>
    <t>F0002 Descrizione Polizza</t>
  </si>
  <si>
    <t>N/A</t>
  </si>
  <si>
    <t>D0001</t>
  </si>
  <si>
    <t>duplicate-id-aria</t>
  </si>
  <si>
    <t>image-alt</t>
  </si>
  <si>
    <t>meta-viewport</t>
  </si>
  <si>
    <t>aria-allowed-attr</t>
  </si>
  <si>
    <t>D0002</t>
  </si>
  <si>
    <t>D0003</t>
  </si>
  <si>
    <t>D0004</t>
  </si>
  <si>
    <t>D0005</t>
  </si>
  <si>
    <t>D0006</t>
  </si>
  <si>
    <t>D0007</t>
  </si>
  <si>
    <t>D0008</t>
  </si>
  <si>
    <t>D0009</t>
  </si>
  <si>
    <t>D0010</t>
  </si>
  <si>
    <t>D0011</t>
  </si>
  <si>
    <t>D0012</t>
  </si>
  <si>
    <t>D0013</t>
  </si>
  <si>
    <t>D0014</t>
  </si>
  <si>
    <t>D0015</t>
  </si>
  <si>
    <t>D0016</t>
  </si>
  <si>
    <t>D0017</t>
  </si>
  <si>
    <t>D0018</t>
  </si>
  <si>
    <t>D0019</t>
  </si>
  <si>
    <t>D0020</t>
  </si>
  <si>
    <t>lighthouse</t>
  </si>
  <si>
    <t>div.side-offcanvas-content-wrap &gt; div.row &gt; div.col-sm-12 &gt; p#offcanvas-panel-desc-00_sites</t>
  </si>
  <si>
    <t>&lt;p id=\"offcanvas-panel-desc-00_sites\" class=\"sr-only\"&gt;</t>
  </si>
  <si>
    <t>div.abstract-heading &gt; a.btn &gt; span.icon &gt; img</t>
  </si>
  <si>
    <t>&lt;img src=\"/risorse_dt_ext/icone/business-account.svg\" srcset=\"/risorse_dt_ext/icone/business-account.svg\"&gt;</t>
  </si>
  <si>
    <t>div.col-sm-12 &gt; div.box-editable-area &gt; p.text-center &gt; img.mt-4</t>
  </si>
  <si>
    <t>&lt;img src=\"/risorse_dt_ext/icone/p@1x.png\" srcset=\"/risorse_dt_ext/icone/p@2x.png 2x\" class=\"mt-4 mb-4 me-2 center-inline\"&gt;</t>
  </si>
  <si>
    <t>&lt;img src=\"/assets-da/app/login/img/pp@1x.png\" srcset=\"/assets-da/app/login/img/pp@2x.png 2x\" class=\"mt-4 mb-4 center-inline\"&gt;</t>
  </si>
  <si>
    <t>head &gt; meta</t>
  </si>
  <si>
    <t>&lt;meta name=\"viewport\" content=\"width=device-width, initial-scale=1, user-scalable=no, user-scalable=0\"&gt;</t>
  </si>
  <si>
    <t>Fix any of the following:\n  Document has multiple elements referenced with ARIA with the same id attribute: offcanvas-panel-desc-00_sites</t>
  </si>
  <si>
    <t>Fix any of the following:\n  Element does not have an alt attribute\n  aria-label attribute does not exist or is empty\n  aria-labelledby attribute does not exist, references elements that do not exist or references elements that are empty\n  Element has no title attribute\n  Element's default semantics were not overridden with role=\"none\" or role=\"presentation\"</t>
  </si>
  <si>
    <t>Fix any of the following:\n  user-scalable on &lt;meta&gt; tag disables zooming on mobile devices</t>
  </si>
  <si>
    <t>M0001</t>
  </si>
  <si>
    <t>\n                            Primo livello del menÃ¹ di navigazione siti\n       â€¦</t>
  </si>
  <si>
    <t>M0002</t>
  </si>
  <si>
    <t>M0003</t>
  </si>
  <si>
    <t>M0004</t>
  </si>
  <si>
    <t>M0005</t>
  </si>
  <si>
    <t>M0006</t>
  </si>
  <si>
    <t>M0007</t>
  </si>
  <si>
    <t>M0008</t>
  </si>
  <si>
    <t>M0009</t>
  </si>
  <si>
    <t>M0010</t>
  </si>
  <si>
    <t>M0011</t>
  </si>
  <si>
    <t>M0012</t>
  </si>
  <si>
    <t>M0013</t>
  </si>
  <si>
    <t>M0014</t>
  </si>
  <si>
    <t>M0015</t>
  </si>
  <si>
    <t>M0016</t>
  </si>
  <si>
    <t>M0017</t>
  </si>
  <si>
    <t>M0018</t>
  </si>
  <si>
    <t>Ok</t>
  </si>
  <si>
    <t>https://www.media.poste.it/2a1202c7-487a-4c8b-b3c6-c540d41af3ca/file/posteguidaresicuri-gn</t>
  </si>
  <si>
    <t>https://www.media.poste.it/66b83bec-c447-4992-ad0e-308ce8a6a2fa/file/PosteGuidareSicuri_LN_DIP</t>
  </si>
  <si>
    <t>posteguidaresicuri-gn.pdf</t>
  </si>
  <si>
    <t>PosteGuidareSicuri_LN_DIP.pdf</t>
  </si>
  <si>
    <t>modello-cai-ln.pdf</t>
  </si>
  <si>
    <t>https://www.media.poste.it/1723b746-4914-4076-ba5f-26946e1806ed/web/modello-cai-ln</t>
  </si>
  <si>
    <t>https://www.media.poste.it/6a7ffb23-48ca-4da0-8809-5d99d243adb4/web/modello-cai-gtel</t>
  </si>
  <si>
    <t>modello-cai-gtel.pdf</t>
  </si>
  <si>
    <t>https://www.media.poste.it/b782ad12-6195-4c88-be87-22554c8efa39/file/PosteGuidareSicuri_LN</t>
  </si>
  <si>
    <t>PosteGuidareSicuri_LN.pdf</t>
  </si>
  <si>
    <t>#P02</t>
  </si>
  <si>
    <t>#P03</t>
  </si>
  <si>
    <t>#P04</t>
  </si>
  <si>
    <t>#P05</t>
  </si>
  <si>
    <t>label-content-name-mismatch</t>
  </si>
  <si>
    <t/>
  </si>
  <si>
    <t>["#business-button-open"]</t>
  </si>
  <si>
    <t>Fix any of the following:
  Il testo all'interno dell'elemento non è incluso nel nome accessibile</t>
  </si>
  <si>
    <t>&lt;button id="business-button-open" class="offcanvas-toggle pi-targetarea" aria-label="Business" type="button" aria-haspopup="true" aria-controls="menu-siti" aria-expanded="false"&gt;</t>
  </si>
  <si>
    <t>["#assistenza-cta"]</t>
  </si>
  <si>
    <t>&lt;button id="assistenza-cta" class="fedbar-object offcanvas-toggle" aria-label="assistenza" aria-controls="assistenza-side" aria-expanded="false" data-menu-pnl="assistenza-default-panel" aria-haspopup="true" title="Assistenza" data-activity-linkid="header-assistenza-btn"&gt;</t>
  </si>
  <si>
    <t>["#mn-ctrl"]</t>
  </si>
  <si>
    <t>&lt;button class="navbar-object offcanvas-toggle" id="mn-ctrl" type="button" aria-haspopup="true" aria-controls="menu-navigazione" aria-expanded="false" aria-label="Apre il menu di navigazione" data-activity-linkid="Btn Menu Mobile"&gt;</t>
  </si>
  <si>
    <t>nested-interactive</t>
  </si>
  <si>
    <t>["#heading-rcaposteguidaresicurilinear-item-0"]</t>
  </si>
  <si>
    <t>Fix any of the following:
  L'elemento ha discendenti che possono ricevere focus</t>
  </si>
  <si>
    <t>&lt;div class="panel-heading" role="tab" tabindex="0" id="heading-rcaposteguidaresicurilinear-item-0"&gt;</t>
  </si>
  <si>
    <t>["#heading-rcaposteguidaresicurilinear-item-1"]</t>
  </si>
  <si>
    <t>&lt;div class="panel-heading" role="tab" tabindex="0" id="heading-rcaposteguidaresicurilinear-item-1"&gt;</t>
  </si>
  <si>
    <t>["#heading-rcaposteguidaresicurilinear-item-2"]</t>
  </si>
  <si>
    <t>&lt;div class="panel-heading" role="tab" tabindex="0" id="heading-rcaposteguidaresicurilinear-item-2"&gt;</t>
  </si>
  <si>
    <t>["#heading-rcaposteguidaresicurilinear-item-3"]</t>
  </si>
  <si>
    <t>&lt;div class="panel-heading" role="tab" tabindex="0" id="heading-rcaposteguidaresicurilinear-item-3"&gt;</t>
  </si>
  <si>
    <t>["#heading-rcaposteguidaresicurilinear-item-4"]</t>
  </si>
  <si>
    <t>&lt;div class="panel-heading" role="tab" tabindex="0" id="heading-rcaposteguidaresicurilinear-item-4"&gt;</t>
  </si>
  <si>
    <t>["#heading-rcaposteguidaresicurilinear-item-5"]</t>
  </si>
  <si>
    <t>&lt;div class="panel-heading" role="tab" tabindex="0" id="heading-rcaposteguidaresicurilinear-item-5"&gt;</t>
  </si>
  <si>
    <t>["#heading-rcaposteguidaresicurilinear-item-6"]</t>
  </si>
  <si>
    <t>&lt;div class="panel-heading" role="tab" tabindex="0" id="heading-rcaposteguidaresicurilinear-item-6"&gt;</t>
  </si>
  <si>
    <t>["#heading-rcaposteguidaresicurilinear-item-7"]</t>
  </si>
  <si>
    <t>&lt;div class="panel-heading" role="tab" tabindex="0" id="heading-rcaposteguidaresicurilinear-item-7"&gt;</t>
  </si>
  <si>
    <t>["#heading-rcaposteguidaresicurilinear-item-8"]</t>
  </si>
  <si>
    <t>&lt;div class="panel-heading" role="tab" tabindex="0" id="heading-rcaposteguidaresicurilinear-item-8"&gt;</t>
  </si>
  <si>
    <t>["#heading-rcaposteguidaresicurilinear-item-9"]</t>
  </si>
  <si>
    <t>&lt;div class="panel-heading" role="tab" tabindex="0" id="heading-rcaposteguidaresicurilinear-item-9"&gt;</t>
  </si>
  <si>
    <t>["#heading-rcaposteguidaresicurilinear-item-10"]</t>
  </si>
  <si>
    <t>&lt;div class="panel-heading" role="tab" tabindex="0" id="heading-rcaposteguidaresicurilinear-item-10"&gt;</t>
  </si>
  <si>
    <t>["#heading-rcaposteguidaresicurilinear-item-11"]</t>
  </si>
  <si>
    <t>&lt;div class="panel-heading" role="tab" tabindex="0" id="heading-rcaposteguidaresicurilinear-item-11"&gt;</t>
  </si>
  <si>
    <t>["#heading-rcaposteguidaresicurilinear-item-12"]</t>
  </si>
  <si>
    <t>&lt;div class="panel-heading" role="tab" tabindex="0" id="heading-rcaposteguidaresicurilinear-item-12"&gt;</t>
  </si>
  <si>
    <t>target-size</t>
  </si>
  <si>
    <t>Fix any of the following:
  L'elemento ha dimensioni insufficienti perché è parzialmente oscurato (lo spazio più piccolo è 1138px per 14px, dovrebbe essere almeno 24px per 24px)
  L'elemento non ha spazio sufficiente rispetto ai suoi vicini più prossimi. Lo spazio sicuro e cliccabile ha un diametro di 0px, che è inferiore rispetto al requisito di 24px.</t>
  </si>
  <si>
    <t>["#heading-rcaposteguidaresicurilinear-item-0 &gt; .panel-title &gt; .accordion-toggle[title=\"Dal 02/07/2025\"][role=\"button\"]"]</t>
  </si>
  <si>
    <t>Fix any of the following:
  L'elemento ha dimensioni insufficienti (1138px per 20px, dovrebbe essere almeno 24px per 24px)
  L'elemento non ha spazio sufficiente rispetto ai suoi vicini più prossimi. Lo spazio sicuro e cliccabile ha un diametro di 0px, che è inferiore rispetto al requisito di 24px.</t>
  </si>
  <si>
    <t>&lt;a class="accordion-toggle collapsed" role="button" data-toggle="collapse" data-parent="accordion-rcaposteguidaresicurilinear" href="#rcaposteguidaresicurilinear-item-0" aria-expanded="false" aria-controls="rcaposteguidaresicurilinear-item-0" title="Dal 02/07/2025"&gt;Dal 02/07/2025&lt;/a&gt;</t>
  </si>
  <si>
    <t>["#heading-rcaposteguidaresicurilinear-item-1 &gt; .panel-title &gt; .accordion-toggle[title=\"Dal 23/10/2024 al 01/07/2025\"][role=\"button\"]"]</t>
  </si>
  <si>
    <t>&lt;a class="accordion-toggle collapsed" role="button" data-toggle="collapse" data-parent="accordion-rcaposteguidaresicurilinear" href="#rcaposteguidaresicurilinear-item-1" aria-expanded="false" aria-controls="rcaposteguidaresicurilinear-item-1" title="Dal 23/10/2024 al 01/07/2025"&gt;</t>
  </si>
  <si>
    <t>["#heading-rcaposteguidaresicurilinear-item-2 &gt; .panel-title &gt; .accordion-toggle[title=\"Dal 23/10/2024 al 03/02/2025\"][role=\"button\"]"]</t>
  </si>
  <si>
    <t>&lt;a class="accordion-toggle collapsed" role="button" data-toggle="collapse" data-parent="accordion-rcaposteguidaresicurilinear" href="#rcaposteguidaresicurilinear-item-2" aria-expanded="false" aria-controls="rcaposteguidaresicurilinear-item-2" title="Dal 23/10/2024 al 03/02/2025"&gt;</t>
  </si>
  <si>
    <t>["#heading-rcaposteguidaresicurilinear-item-3 &gt; .panel-title &gt; .accordion-toggle[title=\"Dal 15/11/2023 al 22/10/2024\"][role=\"button\"]"]</t>
  </si>
  <si>
    <t>&lt;a class="accordion-toggle collapsed" role="button" data-toggle="collapse" data-parent="accordion-rcaposteguidaresicurilinear" href="#rcaposteguidaresicurilinear-item-3" aria-expanded="false" aria-controls="rcaposteguidaresicurilinear-item-3" title="Dal 15/11/2023 al 22/10/2024"&gt;</t>
  </si>
  <si>
    <t>["#heading-rcaposteguidaresicurilinear-item-4 &gt; .panel-title &gt; .accordion-toggle[title=\"Dal 27/09/2023 al 14/11/2023\"][role=\"button\"]"]</t>
  </si>
  <si>
    <t>&lt;a class="accordion-toggle collapsed" role="button" data-toggle="collapse" data-parent="accordion-rcaposteguidaresicurilinear" href="#rcaposteguidaresicurilinear-item-4" aria-expanded="false" aria-controls="rcaposteguidaresicurilinear-item-4" title="Dal 27/09/2023 al 14/11/2023"&gt;</t>
  </si>
  <si>
    <t>["#heading-rcaposteguidaresicurilinear-item-5 &gt; .panel-title &gt; .accordion-toggle[title=\"Dal 01/07/2023 al 26/09/2023\"][role=\"button\"]"]</t>
  </si>
  <si>
    <t>&lt;a class="accordion-toggle collapsed" role="button" data-toggle="collapse" data-parent="accordion-rcaposteguidaresicurilinear" href="#rcaposteguidaresicurilinear-item-5" aria-expanded="false" aria-controls="rcaposteguidaresicurilinear-item-5" title="Dal 01/07/2023 al 26/09/2023"&gt;</t>
  </si>
  <si>
    <t>["#heading-rcaposteguidaresicurilinear-item-6 &gt; .panel-title &gt; .accordion-toggle[title=\"Dal 16/04/2023 al 30/06/2023\"][role=\"button\"]"]</t>
  </si>
  <si>
    <t>&lt;a class="accordion-toggle collapsed" role="button" data-toggle="collapse" data-parent="accordion-rcaposteguidaresicurilinear" href="#rcaposteguidaresicurilinear-item-6" aria-expanded="false" aria-controls="rcaposteguidaresicurilinear-item-6" title="Dal 16/04/2023 al 30/06/2023"&gt;</t>
  </si>
  <si>
    <t>["#heading-rcaposteguidaresicurilinear-item-7 &gt; .panel-title &gt; .accordion-toggle[title=\"Dal 05/07/2022 al 15/04/2023\"][role=\"button\"]"]</t>
  </si>
  <si>
    <t>&lt;a class="accordion-toggle collapsed" role="button" data-toggle="collapse" data-parent="accordion-rcaposteguidaresicurilinear" href="#rcaposteguidaresicurilinear-item-7" aria-expanded="false" aria-controls="rcaposteguidaresicurilinear-item-7" title="Dal 05/07/2022 al 15/04/2023"&gt;</t>
  </si>
  <si>
    <t>["#heading-rcaposteguidaresicurilinear-item-8 &gt; .panel-title &gt; .accordion-toggle[title=\"Dal 01/07/2021 al 04/07/2022\"][role=\"button\"]"]</t>
  </si>
  <si>
    <t>&lt;a class="accordion-toggle collapsed" role="button" data-toggle="collapse" data-parent="accordion-rcaposteguidaresicurilinear" href="#rcaposteguidaresicurilinear-item-8" aria-expanded="false" aria-controls="rcaposteguidaresicurilinear-item-8" title="Dal 01/07/2021 al 04/07/2022"&gt;</t>
  </si>
  <si>
    <t>["#heading-rcaposteguidaresicurilinear-item-9 &gt; .panel-title &gt; .accordion-toggle[title=\"Dal 22/02/2021 al 30/06/2021\"][role=\"button\"]"]</t>
  </si>
  <si>
    <t>&lt;a class="accordion-toggle collapsed" role="button" data-toggle="collapse" data-parent="accordion-rcaposteguidaresicurilinear" href="#rcaposteguidaresicurilinear-item-9" aria-expanded="false" aria-controls="rcaposteguidaresicurilinear-item-9" title="Dal 22/02/2021 al 30/06/2021"&gt;</t>
  </si>
  <si>
    <t>["#heading-rcaposteguidaresicurilinear-item-10 &gt; .panel-title &gt; .accordion-toggle[title=\"Servizi Telematici\"][role=\"button\"]"]</t>
  </si>
  <si>
    <t>&lt;a class="accordion-toggle collapsed" role="button" data-toggle="collapse" data-parent="accordion-rcaposteguidaresicurilinear" href="#rcaposteguidaresicurilinear-item-10" aria-expanded="false" aria-controls="rcaposteguidaresicurilinear-item-10" title="Servizi Telematici"&gt;Servizi Telematici&lt;/a&gt;</t>
  </si>
  <si>
    <t>["#heading-rcaposteguidaresicurilinear-item-11 &gt; .panel-title &gt; .accordion-toggle[title=\"Dal 19/10/2020 al 21/02/2021\"][role=\"button\"]"]</t>
  </si>
  <si>
    <t>&lt;a class="accordion-toggle collapsed" role="button" data-toggle="collapse" data-parent="accordion-rcaposteguidaresicurilinear" href="#rcaposteguidaresicurilinear-item-11" aria-expanded="false" aria-controls="rcaposteguidaresicurilinear-item-11" title="Dal 19/10/2020 al 21/02/2021"&gt;</t>
  </si>
  <si>
    <t>["#heading-rcaposteguidaresicurilinear-item-12 &gt; .panel-title &gt; .accordion-toggle[title=\"Dal 20/07/2020 al 18/19/2020\"][role=\"button\"]"]</t>
  </si>
  <si>
    <t>&lt;a class="accordion-toggle collapsed" role="button" data-toggle="collapse" data-parent="accordion-rcaposteguidaresicurilinear" href="#rcaposteguidaresicurilinear-item-12" aria-expanded="false" aria-controls="rcaposteguidaresicurilinear-item-12" title="Dal 20/07/2020 al 18/19/2020"&gt;</t>
  </si>
  <si>
    <t>contrast-link-infocus-4.5-1</t>
  </si>
  <si>
    <t>The contrast ratio between a control's text and its background is not at least 4.5:1 on hover and/or on focus</t>
  </si>
  <si>
    <t>Control text lacks 4.5:1 contrast ratio on hover or focus</t>
  </si>
  <si>
    <t>["body#page &gt; nav#skiplink:nth-of-type(1) &gt; ul:nth-of-type(1) &gt; li:nth-of-type(1) &gt; a.skip-link.sr-only-focusable-abs:nth-of-type(1)"]</t>
  </si>
  <si>
    <t>&lt;a tabindex="0" class="skip-link sr-only-focusable-abs" href="#accessibility-anchor"&gt;Passa al contenuto principale&lt;/a&gt;</t>
  </si>
  <si>
    <t>["body#page &gt; nav#skiplink:nth-of-type(1) &gt; ul:nth-of-type(1) &gt; li:nth-of-type(3) &gt; a.skip-link.sr-only-focusable-abs:nth-of-type(1)"]</t>
  </si>
  <si>
    <t>&lt;a class="skip-link sr-only-focusable-abs" href="#footer"&gt;Passa al footer di pagina&lt;/a&gt;</t>
  </si>
  <si>
    <t>["body#page &gt; main#accessibility-anchor:nth-of-type(1) &gt; div.content.display-pop:nth-of-type(2) &gt; div.content-wrap:nth-of-type(1) &gt; div.container:nth-of-type(1) &gt; div.row:nth-of-type(1) &gt; div.col-xs-12.col-structure:nth-of-type(1) &gt; div#main:nth-of-type(1) &gt; div.row:nth-of-type(1) &gt; div#tabSection.col-xs-12.mt-sm-5:nth-of-type(2) &gt; div.default-nav-tabs-container.scroll-content-x.mode-center:nth-of-type(1) &gt; ul#myUL.nav.nav-tabs.default-nav-tabs:nth-of-type(1) &gt; li#label_tab_0:nth-of-type(1) &gt; a:nth-of-type(1)"]</t>
  </si>
  <si>
    <t>&lt;a href="#tab_0" aria-controls="tab_0" role="tab" data-toggle="tab" title="RCA Poste Guidare Sicuri Genertel " rel="#tab_0" aria-expanded="false"&gt;RCA Poste Guidare Sicuri Genertel &lt;/a&gt;</t>
  </si>
  <si>
    <t>semantic-list-used-for-presentation</t>
  </si>
  <si>
    <t>Content is not a list but it is marked as such.</t>
  </si>
  <si>
    <t>Content is not a list but is marked as such</t>
  </si>
  <si>
    <t>["body#page &gt; nav#skiplink:nth-of-type(1) &gt; ul:nth-of-type(1)"]</t>
  </si>
  <si>
    <t>&lt;ul&gt;</t>
  </si>
  <si>
    <t>focus-window-launches</t>
  </si>
  <si>
    <t>New window launched when a component receives focus.</t>
  </si>
  <si>
    <t>New window launched when component receives focus</t>
  </si>
  <si>
    <t>["body#page &gt; main#accessibility-anchor:nth-of-type(1) &gt; div#content-main.content.display-pop:nth-of-type(2) &gt; div.content-wrap:nth-of-type(1) &gt; div.container:nth-of-type(1) &gt; div.row:nth-of-type(1) &gt; div.col-xs-12.col-structure:nth-of-type(1) &gt; div#posteinsurancebroker-moduli-sportello-clienti-chiamaci.row.row-fix:nth-of-type(1) &gt; div.col-xs-12.col-structure:nth-of-type(1) &gt; div#main:nth-of-type(1) &gt; div.row.row-space:nth-of-type(2) &gt; div.col-xs-12:nth-of-type(1) &gt; div.panel.panel-cards.panel-cards-default.panel-cards-default-call:nth-of-type(1) &gt; div.cards-wrap.panel-wrap:nth-of-type(1) &gt; div.row.d-flex:nth-of-type(1) &gt; div.col-md-9:nth-of-type(1) &gt; div.cards-content.obj-wrap:nth-of-type(1) &gt; div.panel-body:nth-of-type(2) &gt; div.row.row-space:nth-of-type(1) &gt; div.col-sm-4.col-lg-4.border-sm-left:nth-of-type(2) &gt; div.cards-content.py-2.ps-0.ps-sm-0:nth-of-type(1) &gt; a.fs-large.fw-semibold.text-break:nth-of-type(1)"]</t>
  </si>
  <si>
    <t>["body#page.Nessuno &gt; nav#skiplink:nth-of-type(1) &gt; ul:nth-of-type(1) &gt; li:nth-of-type(1) &gt; a.skip-link.sr-only-focusable-abs:nth-of-type(1)"]</t>
  </si>
  <si>
    <t>["body#page.Nessuno &gt; nav#skiplink:nth-of-type(1) &gt; ul:nth-of-type(1) &gt; li:nth-of-type(3) &gt; a.skip-link.sr-only-focusable-abs:nth-of-type(1)"]</t>
  </si>
  <si>
    <t>["body#page.Nessuno &gt; nav#skiplink:nth-of-type(1) &gt; ul:nth-of-type(1)"]</t>
  </si>
  <si>
    <t>["#heading-item-posteinsurancebrokerposteinsurancebroker-moduliprivacy-policy-accordionprivacy-policy-sito-internet-0-0"]</t>
  </si>
  <si>
    <t>&lt;div class="panel-heading" role="tab" tabindex="0" id="heading-item-posteinsurancebrokerposteinsurancebroker-moduliprivacy-policy-accordionprivacy-policy-sito-internet-0-0"&gt;</t>
  </si>
  <si>
    <t>["#heading-item-posteinsurancebrokerposteinsurancebroker-moduliprivacy-policy-accordioncookie-policy-1-1"]</t>
  </si>
  <si>
    <t>&lt;div class="panel-heading" role="tab" tabindex="0" id="heading-item-posteinsurancebrokerposteinsurancebroker-moduliprivacy-policy-accordioncookie-policy-1-1"&gt;</t>
  </si>
  <si>
    <t>["#heading-item-posteinsurancebrokerposteinsurancebroker-moduliprivacy-policy-accordioninformative-privacy-soggetti-destinatari-dati-2-2"]</t>
  </si>
  <si>
    <t>&lt;div class="panel-heading" role="tab" tabindex="0" id="heading-item-posteinsurancebrokerposteinsurancebroker-moduliprivacy-policy-accordioninformative-privacy-soggetti-destinatari-dati-2-2"&gt;</t>
  </si>
  <si>
    <t>["#heading-item-posteinsurancebrokerposteinsurancebroker-moduliprivacy-policy-accordiondpo-contatti-riferimento-3-3"]</t>
  </si>
  <si>
    <t>&lt;div class="panel-heading" role="tab" tabindex="0" id="heading-item-posteinsurancebrokerposteinsurancebroker-moduliprivacy-policy-accordiondpo-contatti-riferimento-3-3"&gt;</t>
  </si>
  <si>
    <t>["#heading-item-posteinsurancebrokerposteinsurancebroker-moduliprivacy-policy-accordionglossario-privacy-4-4"]</t>
  </si>
  <si>
    <t>&lt;div class="panel-heading" role="tab" tabindex="0" id="heading-item-posteinsurancebrokerposteinsurancebroker-moduliprivacy-policy-accordionglossario-privacy-4-4"&gt;</t>
  </si>
  <si>
    <t>Fix any of the following:
  L'elemento ha dimensioni insufficienti perché è parzialmente oscurato (lo spazio più piccolo è 894px per 14px, dovrebbe essere almeno 24px per 24px)
  L'elemento non ha spazio sufficiente rispetto ai suoi vicini più prossimi. Lo spazio sicuro e cliccabile ha un diametro di 0px, che è inferiore rispetto al requisito di 24px.</t>
  </si>
  <si>
    <t>["a[aria-label=\"Privacy policy sito internet\"]"]</t>
  </si>
  <si>
    <t>Fix any of the following:
  L'elemento ha dimensioni insufficienti (894px per 20px, dovrebbe essere almeno 24px per 24px)
  L'elemento non ha spazio sufficiente rispetto ai suoi vicini più prossimi. Lo spazio sicuro e cliccabile ha un diametro di 0px, che è inferiore rispetto al requisito di 24px.</t>
  </si>
  <si>
    <t>&lt;a class="accordion-toggle collapsed" role="button" data-toggle="collapse" data-parent="#accordion-posteinsurancebrokerposteinsurancebroker-moduliprivacy-policy-accordionapprofondisci" href="#item-posteinsurancebrokerposteinsurancebroker-moduliprivacy-policy-accordionprivacy-policy-sito-internet-0" aria-expanded="false" aria-controls="item-posteinsurancebrokerposteinsurancebroker-moduliprivacy-policy-accordionprivacy-policy-sito-internet-0" aria-label="Privacy policy sito internet" title="Privacy policy sito internet"&gt;</t>
  </si>
  <si>
    <t>["a[aria-label=\"Cookie Policy\"]"]</t>
  </si>
  <si>
    <t>&lt;a class="accordion-toggle collapsed" role="button" data-toggle="collapse" data-parent="#accordion-posteinsurancebrokerposteinsurancebroker-moduliprivacy-policy-accordionapprofondisci" href="#item-posteinsurancebrokerposteinsurancebroker-moduliprivacy-policy-accordioncookie-policy-1" aria-expanded="false" aria-controls="item-posteinsurancebrokerposteinsurancebroker-moduliprivacy-policy-accordioncookie-policy-1" aria-label="Cookie Policy" title="Cookie Policy"&gt;</t>
  </si>
  <si>
    <t>["#heading-item-posteinsurancebrokerposteinsurancebroker-moduliprivacy-policy-accordioninformative-privacy-soggetti-destinatari-dati-2-2 &gt; .panel-title &gt; .accordion-toggle.collapsed[role=\"button\"]"]</t>
  </si>
  <si>
    <t>&lt;a class="accordion-toggle collapsed" role="button" data-toggle="collapse" data-parent="#accordion-posteinsurancebrokerposteinsurancebroker-moduliprivacy-policy-accordionapprofondisci" href="#item-posteinsurancebrokerposteinsurancebroker-moduliprivacy-policy-accordioninformative-privacy-soggetti-destinatari-dati-2" aria-expanded="false" aria-controls="item-posteinsurancebrokerposteinsurancebroker-moduliprivacy-policy-accordioninformative-privacy-soggetti-destinatari-dati-2" aria-label="Informative privacy e categorie di soggetti destinatari dei dati" title="Informative privacy e categorie di soggetti destinatari dei dati"&gt;</t>
  </si>
  <si>
    <t>["a[aria-label=\"DPO Contatti di Riferimento\"]"]</t>
  </si>
  <si>
    <t>&lt;a class="accordion-toggle collapsed" role="button" data-toggle="collapse" data-parent="#accordion-posteinsurancebrokerposteinsurancebroker-moduliprivacy-policy-accordionapprofondisci" href="#item-posteinsurancebrokerposteinsurancebroker-moduliprivacy-policy-accordiondpo-contatti-riferimento-3" aria-expanded="false" aria-controls="item-posteinsurancebrokerposteinsurancebroker-moduliprivacy-policy-accordiondpo-contatti-riferimento-3" aria-label="DPO Contatti di Riferimento" title="DPO Contatti di Riferimento"&gt;</t>
  </si>
  <si>
    <t>["a[aria-label=\"Glossario Privacy\"]"]</t>
  </si>
  <si>
    <t>&lt;a class="accordion-toggle collapsed" role="button" data-toggle="collapse" data-parent="#accordion-posteinsurancebrokerposteinsurancebroker-moduliprivacy-policy-accordionapprofondisci" href="#item-posteinsurancebrokerposteinsurancebroker-moduliprivacy-policy-accordionglossario-privacy-4" aria-expanded="false" aria-controls="item-posteinsurancebrokerposteinsurancebroker-moduliprivacy-policy-accordionglossario-privacy-4" aria-label="Glossario Privacy" title="Glossario Privacy"&gt;</t>
  </si>
  <si>
    <t>["body#page &gt; main#accessibility-anchor:nth-of-type(1) &gt; div.content.display-pop:nth-of-type(3) &gt; div.content-wrap:nth-of-type(1) &gt; div.container:nth-of-type(1) &gt; div.row:nth-of-type(1) &gt; div.col-md-10.col-md-push-1.col-structure:nth-of-type(1) &gt; div#moduli-postevita-condivisi-privacy-policy-link-utili.row.row-fix:nth-of-type(1) &gt; div.col-xs-12.pi-links:nth-of-type(1) &gt; div.main-pills:nth-of-type(1) &gt; div.main-pills-wrap:nth-of-type(1) &gt; div.row:nth-of-type(1) &gt; div.col-md-12:nth-of-type(2) &gt; ul.list-tailback.list-arrow.list-arrow-large.fw-semibold.mt-3:nth-of-type(1) &gt; li.col-sm-6.col-md-6:nth-of-type(1) &gt; a:nth-of-type(1)"]</t>
  </si>
  <si>
    <t>&lt;a title="Vai alla pagina dedicata ai Podcast - Cookie e privacy policy" href="https://www.posteitaliane.it/it/cookie-privacy-policy-podcast.html" target="_self" class="" data-activity-linkid="Podcast - Cookie e privacy policy-moduli-postevita-condivisi-privacy-policy-link-utili-podcast-cookieeprivacypolicy"&gt;</t>
  </si>
  <si>
    <t>["#content-abstract"]</t>
  </si>
  <si>
    <t>&lt;div class="content concept-b content-bg display-pop mode-dark  mb-2 mb-sm-5" id="content-abstract" style="background-image: url(https://www.media.poste.it/9436e52d-f659-4318-8742-50b60b289b54/bg/svg/conceptb-background-posteguidaresicuri@1x);" role="img" aria-label="Una mano che mette uno scudo sull'auto"&gt;</t>
  </si>
  <si>
    <t>["#heading-item-posteinsurancebrokerposteinsurancebroker-moduliposte-guidare-sicuri-accordion-gestione-polizzainstallazione-dispositivo-satellitare-0-0"]</t>
  </si>
  <si>
    <t>&lt;div class="panel-heading" role="tab" tabindex="0" id="heading-item-posteinsurancebrokerposteinsurancebroker-moduliposte-guidare-sicuri-accordion-gestione-polizzainstallazione-dispositivo-satellitare-0-0"&gt;</t>
  </si>
  <si>
    <t>["#heading-item-posteinsurancebrokerposteinsurancebroker-moduliposte-guidare-sicuri-accordion-gestione-polizzaassistenza-installazione-dispositivo-satellitare-1-1"]</t>
  </si>
  <si>
    <t>&lt;div class="panel-heading" role="tab" tabindex="0" id="heading-item-posteinsurancebrokerposteinsurancebroker-moduliposte-guidare-sicuri-accordion-gestione-polizzaassistenza-installazione-dispositivo-satellitare-1-1"&gt;</t>
  </si>
  <si>
    <t>["#heading-item-posteinsurancebrokerposteinsurancebroker-moduliposte-guidare-sicuri-accordion-gestione-polizzaapp-utilizzo-servizi-dispositivo-satellitare-2-2"]</t>
  </si>
  <si>
    <t>&lt;div class="panel-heading" role="tab" tabindex="0" id="heading-item-posteinsurancebrokerposteinsurancebroker-moduliposte-guidare-sicuri-accordion-gestione-polizzaapp-utilizzo-servizi-dispositivo-satellitare-2-2"&gt;</t>
  </si>
  <si>
    <t>["#heading-item-posteinsurancebrokerposteinsurancebroker-moduliposte-guidare-sicuri-accordion-gestione-polizzapagamento-seconda-rata-semestrale-3-3"]</t>
  </si>
  <si>
    <t>&lt;div class="panel-heading" role="tab" tabindex="0" id="heading-item-posteinsurancebrokerposteinsurancebroker-moduliposte-guidare-sicuri-accordion-gestione-polizzapagamento-seconda-rata-semestrale-3-3"&gt;</t>
  </si>
  <si>
    <t>["#heading-item-posteinsurancebrokerposteinsurancebroker-moduliposte-guidare-sicuri-accordion-gestione-polizzasinistri-4-4"]</t>
  </si>
  <si>
    <t>&lt;div class="panel-heading" role="tab" tabindex="0" id="heading-item-posteinsurancebrokerposteinsurancebroker-moduliposte-guidare-sicuri-accordion-gestione-polizzasinistri-4-4"&gt;</t>
  </si>
  <si>
    <t>["#heading-item-posteinsurancebrokerposteinsurancebroker-moduliposte-guidare-sicuri-accordion-gestione-polizzaassistenza-stradale-5-5"]</t>
  </si>
  <si>
    <t>&lt;div class="panel-heading" role="tab" tabindex="0" id="heading-item-posteinsurancebrokerposteinsurancebroker-moduliposte-guidare-sicuri-accordion-gestione-polizzaassistenza-stradale-5-5"&gt;</t>
  </si>
  <si>
    <t>["#heading-item-posteinsurancebrokerposteinsurancebroker-moduliposte-guidare-sicuri-accordion-gestione-polizzarinnovo-polizza-6-6"]</t>
  </si>
  <si>
    <t>&lt;div class="panel-heading" role="tab" tabindex="0" id="heading-item-posteinsurancebrokerposteinsurancebroker-moduliposte-guidare-sicuri-accordion-gestione-polizzarinnovo-polizza-6-6"&gt;</t>
  </si>
  <si>
    <t>["#heading-item-posteinsurancebrokerposteinsurancebroker-moduliposte-guidare-sicuri-accordion-gestione-polizzasospensione-riattivazione-contratto-7-7"]</t>
  </si>
  <si>
    <t>&lt;div class="panel-heading" role="tab" tabindex="0" id="heading-item-posteinsurancebrokerposteinsurancebroker-moduliposte-guidare-sicuri-accordion-gestione-polizzasospensione-riattivazione-contratto-7-7"&gt;</t>
  </si>
  <si>
    <t>["#heading-item-posteinsurancebrokerposteinsurancebroker-moduliposte-guidare-sicuri-accordion-gestione-polizzaaltre-attivita-post-vendita-8-8"]</t>
  </si>
  <si>
    <t>&lt;div class="panel-heading" role="tab" tabindex="0" id="heading-item-posteinsurancebrokerposteinsurancebroker-moduliposte-guidare-sicuri-accordion-gestione-polizzaaltre-attivita-post-vendita-8-8"&gt;</t>
  </si>
  <si>
    <t>["#heading-item-posteinsurancebrokerposteinsurancebroker-moduliposte-guidare-sicuri-approfondisci-accordionchisonolecompagnieassicurativepartner-0-0"]</t>
  </si>
  <si>
    <t>&lt;div class="panel-heading" role="tab" tabindex="0" id="heading-item-posteinsurancebrokerposteinsurancebroker-moduliposte-guidare-sicuri-approfondisci-accordionchisonolecompagnieassicurativepartner-0-0"&gt;</t>
  </si>
  <si>
    <t>["#heading-item-posteinsurancebrokerposteinsurancebroker-moduliposte-guidare-sicuri-approfondisci-accordioncomescegliamoilprodottoperte-1-1"]</t>
  </si>
  <si>
    <t>&lt;div class="panel-heading" role="tab" tabindex="0" id="heading-item-posteinsurancebrokerposteinsurancebroker-moduliposte-guidare-sicuri-approfondisci-accordioncomescegliamoilprodottoperte-1-1"&gt;</t>
  </si>
  <si>
    <t>["#heading-item-posteinsurancebrokerposteinsurancebroker-moduliposte-guidare-sicuri-set-informativo-accordionset-informativo-genertel-spa-0-0"]</t>
  </si>
  <si>
    <t>&lt;div class="panel-heading" role="tab" tabindex="0" id="heading-item-posteinsurancebrokerposteinsurancebroker-moduliposte-guidare-sicuri-set-informativo-accordionset-informativo-genertel-spa-0-0"&gt;</t>
  </si>
  <si>
    <t>["#heading-item-posteinsurancebrokerposteinsurancebroker-moduliposte-guidare-sicuri-set-informativo-accordionset-informativo-linear-assicurazioni-1-1"]</t>
  </si>
  <si>
    <t>&lt;div class="panel-heading" role="tab" tabindex="0" id="heading-item-posteinsurancebrokerposteinsurancebroker-moduliposte-guidare-sicuri-set-informativo-accordionset-informativo-linear-assicurazioni-1-1"&gt;</t>
  </si>
  <si>
    <t>["#heading-item-posteinsurancebrokerposteinsurancebroker-moduliposte-guidare-sicuri-accordion-gestione-polizzainstallazione-dispositivo-satellitare-0-0 &gt; .panel-title &gt; .accordion-toggle.collapsed[role=\"button\"]"]</t>
  </si>
  <si>
    <t>&lt;a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href="#item-posteinsurancebrokerposteinsurancebroker-moduliposte-guidare-sicuri-accordion-gestione-polizzainstallazione-dispositivo-satellitare-0" aria-expanded="false" aria-controls="item-posteinsurancebrokerposteinsurancebroker-moduliposte-guidare-sicuri-accordion-gestione-polizzainstallazione-dispositivo-satellitare-0" aria-label="Installazione dispositivo satellitare" title="Installazione dispositivo satellitare"&gt;</t>
  </si>
  <si>
    <t>["#heading-item-posteinsurancebrokerposteinsurancebroker-moduliposte-guidare-sicuri-accordion-gestione-polizzaassistenza-installazione-dispositivo-satellitare-1-1 &gt; .panel-title &gt; .accordion-toggle.collapsed[role=\"button\"]"]</t>
  </si>
  <si>
    <t>&lt;a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href="#item-posteinsurancebrokerposteinsurancebroker-moduliposte-guidare-sicuri-accordion-gestione-polizzaassistenza-installazione-dispositivo-satellitare-1" aria-expanded="false" aria-controls="item-posteinsurancebrokerposteinsurancebroker-moduliposte-guidare-sicuri-accordion-gestione-polizzaassistenza-installazione-dispositivo-satellitare-1" aria-label="Assistenza sull'installazione del dispositivo satellitare" title="Assistenza sull'installazione del dispositivo satellitare"&gt;</t>
  </si>
  <si>
    <t>["#heading-item-posteinsurancebrokerposteinsurancebroker-moduliposte-guidare-sicuri-accordion-gestione-polizzaapp-utilizzo-servizi-dispositivo-satellitare-2-2 &gt; .panel-title &gt; .accordion-toggle.collapsed[role=\"button\"]"]</t>
  </si>
  <si>
    <t>&lt;a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href="#item-posteinsurancebrokerposteinsurancebroker-moduliposte-guidare-sicuri-accordion-gestione-polizzaapp-utilizzo-servizi-dispositivo-satellitare-2" aria-expanded="false" aria-controls="item-posteinsurancebrokerposteinsurancebroker-moduliposte-guidare-sicuri-accordion-gestione-polizzaapp-utilizzo-servizi-dispositivo-satellitare-2" aria-label="App per utilizzo servizi del dispositivo satellitare" title="App per utilizzo servizi del dispositivo satellitare"&gt;</t>
  </si>
  <si>
    <t>["#heading-item-posteinsurancebrokerposteinsurancebroker-moduliposte-guidare-sicuri-accordion-gestione-polizzapagamento-seconda-rata-semestrale-3-3 &gt; .panel-title &gt; .accordion-toggle.collapsed[role=\"button\"]"]</t>
  </si>
  <si>
    <t>&lt;a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href="#item-posteinsurancebrokerposteinsurancebroker-moduliposte-guidare-sicuri-accordion-gestione-polizzapagamento-seconda-rata-semestrale-3" aria-expanded="false" aria-controls="item-posteinsurancebrokerposteinsurancebroker-moduliposte-guidare-sicuri-accordion-gestione-polizzapagamento-seconda-rata-semestrale-3" aria-label="Pagamento seconda rata semestrale" title="Pagamento seconda rata semestrale"&gt;</t>
  </si>
  <si>
    <t>["a[aria-label=\"Sinistri\"]"]</t>
  </si>
  <si>
    <t>&lt;a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href="#item-posteinsurancebrokerposteinsurancebroker-moduliposte-guidare-sicuri-accordion-gestione-polizzasinistri-4" aria-expanded="false" aria-controls="item-posteinsurancebrokerposteinsurancebroker-moduliposte-guidare-sicuri-accordion-gestione-polizzasinistri-4" aria-label="Sinistri" title="Sinistri"&gt;</t>
  </si>
  <si>
    <t>["a[aria-label=\"Assistenza stradale\"]"]</t>
  </si>
  <si>
    <t>&lt;a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href="#item-posteinsurancebrokerposteinsurancebroker-moduliposte-guidare-sicuri-accordion-gestione-polizzaassistenza-stradale-5" aria-expanded="false" aria-controls="item-posteinsurancebrokerposteinsurancebroker-moduliposte-guidare-sicuri-accordion-gestione-polizzaassistenza-stradale-5" aria-label="Assistenza stradale" title="Assistenza stradale"&gt;</t>
  </si>
  <si>
    <t>["a[aria-label=\"Rinnovo polizza\"]"]</t>
  </si>
  <si>
    <t>&lt;a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href="#item-posteinsurancebrokerposteinsurancebroker-moduliposte-guidare-sicuri-accordion-gestione-polizzarinnovo-polizza-6" aria-expanded="false" aria-controls="item-posteinsurancebrokerposteinsurancebroker-moduliposte-guidare-sicuri-accordion-gestione-polizzarinnovo-polizza-6" aria-label="Rinnovo polizza" title="Rinnovo polizza"&gt;</t>
  </si>
  <si>
    <t>["#heading-item-posteinsurancebrokerposteinsurancebroker-moduliposte-guidare-sicuri-accordion-gestione-polizzasospensione-riattivazione-contratto-7-7 &gt; .panel-title &gt; .accordion-toggle.collapsed[role=\"button\"]"]</t>
  </si>
  <si>
    <t>&lt;a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href="#item-posteinsurancebrokerposteinsurancebroker-moduliposte-guidare-sicuri-accordion-gestione-polizzasospensione-riattivazione-contratto-7" aria-expanded="false" aria-controls="item-posteinsurancebrokerposteinsurancebroker-moduliposte-guidare-sicuri-accordion-gestione-polizzasospensione-riattivazione-contratto-7" aria-label="Sospensione e riattivazione contratto" title="Sospensione e riattivazione contratto"&gt;</t>
  </si>
  <si>
    <t>["a[aria-label=\"Altre attività di post vendita\"]"]</t>
  </si>
  <si>
    <t>&lt;a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href="#item-posteinsurancebrokerposteinsurancebroker-moduliposte-guidare-sicuri-accordion-gestione-polizzaaltre-attivita-post-vendita-8" aria-expanded="false" aria-controls="item-posteinsurancebrokerposteinsurancebroker-moduliposte-guidare-sicuri-accordion-gestione-polizzaaltre-attivita-post-vendita-8" aria-label="Altre attività di post vendita" title="Altre attività di post vendita"&gt;</t>
  </si>
  <si>
    <t>["#heading-item-posteinsurancebrokerposteinsurancebroker-moduliposte-guidare-sicuri-approfondisci-accordionchisonolecompagnieassicurativepartner-0-0 &gt; .panel-title &gt; .accordion-toggle.collapsed[role=\"button\"]"]</t>
  </si>
  <si>
    <t>&lt;a class="accordion-toggle collapsed" role="button" data-toggle="collapse" data-parent="#accordion-posteinsurancebrokerposteinsurancebroker-moduliposte-guidare-sicuri-approfondisci-accordionapprofondisci" href="#item-posteinsurancebrokerposteinsurancebroker-moduliposte-guidare-sicuri-approfondisci-accordionchisonolecompagnieassicurativepartner-0" aria-expanded="false" aria-controls="item-posteinsurancebrokerposteinsurancebroker-moduliposte-guidare-sicuri-approfondisci-accordionchisonolecompagnieassicurativepartner-0" aria-label="Chi sono le compagnie assicurative partner" title="Chi sono le compagnie assicurative partner"&gt;</t>
  </si>
  <si>
    <t>["#heading-item-posteinsurancebrokerposteinsurancebroker-moduliposte-guidare-sicuri-approfondisci-accordioncomescegliamoilprodottoperte-1-1 &gt; .panel-title &gt; .accordion-toggle.collapsed[role=\"button\"]"]</t>
  </si>
  <si>
    <t>&lt;a class="accordion-toggle collapsed" role="button" data-toggle="collapse" data-parent="#accordion-posteinsurancebrokerposteinsurancebroker-moduliposte-guidare-sicuri-approfondisci-accordionapprofondisci" href="#item-posteinsurancebrokerposteinsurancebroker-moduliposte-guidare-sicuri-approfondisci-accordioncomescegliamoilprodottoperte-1" aria-expanded="false" aria-controls="item-posteinsurancebrokerposteinsurancebroker-moduliposte-guidare-sicuri-approfondisci-accordioncomescegliamoilprodottoperte-1" aria-label="Come scegliamo il prodotto per te" title="Come scegliamo il prodotto per te"&gt;</t>
  </si>
  <si>
    <t>["#heading-item-posteinsurancebrokerposteinsurancebroker-moduliposte-guidare-sicuri-set-informativo-accordionset-informativo-genertel-spa-0-0 &gt; .panel-title &gt; .accordion-toggle.collapsed[role=\"button\"]"]</t>
  </si>
  <si>
    <t>&lt;a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href="#item-posteinsurancebrokerposteinsurancebroker-moduliposte-guidare-sicuri-set-informativo-accordionset-informativo-genertel-spa-0" aria-expanded="false" aria-controls="item-posteinsurancebrokerposteinsurancebroker-moduliposte-guidare-sicuri-set-informativo-accordionset-informativo-genertel-spa-0" aria-label="Set informativo Poste Guidare Sicuri by GENERTEL S.P.A." title="Set informativo Poste Guidare Sicuri by GENERTEL S.P.A."&gt;</t>
  </si>
  <si>
    <t>["#heading-item-posteinsurancebrokerposteinsurancebroker-moduliposte-guidare-sicuri-set-informativo-accordionset-informativo-linear-assicurazioni-1-1 &gt; .panel-title &gt; .accordion-toggle.collapsed[role=\"button\"]"]</t>
  </si>
  <si>
    <t>&lt;a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href="#item-posteinsurancebrokerposteinsurancebroker-moduliposte-guidare-sicuri-set-informativo-accordionset-informativo-linear-assicurazioni-1" aria-expanded="false" aria-controls="item-posteinsurancebrokerposteinsurancebroker-moduliposte-guidare-sicuri-set-informativo-accordionset-informativo-linear-assicurazioni-1" aria-label="Set informativo Poste Guidare Sicuri by Linear Assicurazioni" title="Set informativo Poste Guidare Sicuri by Linear Assicurazioni"&gt;</t>
  </si>
  <si>
    <t>["body#page.conceptB-con-fasciacolorata-in-alto &gt; nav#skiplink:nth-of-type(1) &gt; ul:nth-of-type(1) &gt; li:nth-of-type(1) &gt; a.skip-link.sr-only-focusable-abs:nth-of-type(1)"]</t>
  </si>
  <si>
    <t>["body#page.conceptB-con-fasciacolorata-in-alto &gt; nav#skiplink:nth-of-type(1) &gt; ul:nth-of-type(1) &gt; li:nth-of-type(3) &gt; a.skip-link.sr-only-focusable-abs:nth-of-type(1)"]</t>
  </si>
  <si>
    <t>["body#page.conceptB-con-fasciacolorata-in-alto &gt; main#accessibility-anchor:nth-of-type(1) &gt; div.content.display-pop:nth-of-type(7) &gt; div.content-wrap:nth-of-type(1) &gt; div.container:nth-of-type(1) &gt; div.row:nth-of-type(1) &gt; div.col-md-10.col-md-push-1.col-structure:nth-of-type(1) &gt; div#posteinsurancebroker-moduli-standard-poste-insurance-broker-modulo-come-fare.row.row-fix:nth-of-type(1) &gt; div.col-xs-12.pi-wizard:nth-of-type(1) &gt; div.main-pills:nth-of-type(1) &gt; div.main-pills-wrap:nth-of-type(1) &gt; div.row.mt-4:nth-of-type(2) &gt; div.col-sm-9:nth-of-type(2) &gt; div.box-editable-area.text-center.text-sm-left.pt-2.pt-sm-0:nth-of-type(1) &gt; div.btn-container.clearfix:nth-of-type(1) &gt; a.btn.btn-icon.btn-xs.btn-primary.mt-2:nth-of-type(1)"]</t>
  </si>
  <si>
    <t>&lt;a title="Vai alla pagina Prenota" href="https://www.poste.it/gestore-attese/index.html#/servizi?canale=SCO" target="_self" class="btn btn-icon btn-xs btn-primary mt-2" data-activity-linkid="Prenota-posteinsurancebroker-moduli-standard-poste-insurance-broker-modulo-come-fare-btn-primary-0"&gt;</t>
  </si>
  <si>
    <t>["body#page.conceptB-con-fasciacolorata-in-alto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t>
  </si>
  <si>
    <t>&lt;a title="Chiama il numero 800 211 290" href="tel:800211290" data-activity-linkid="link-800 211 290"&gt;800 211 290&lt;/a&gt;</t>
  </si>
  <si>
    <t>["body#page.conceptB-con-fasciacolorata-in-alto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t>
  </si>
  <si>
    <t>&lt;a title="Vai alla pagina dedicata e rispondi" href="https://aiutaciamigliorare.poste.it/sondaggi/prodotti-postevita-privati?pagina=poste-guidare-sicuri,famiglia_prodotto=Protezione" target="_self" class="btn btn-xs btn-primary me-1" data-activity-linkid="Rispondi-posteinsurancebroker-moduli-posteguidare-sicuri-aiutaci-a-migliorare-right-card-btn-secondary"&gt;</t>
  </si>
  <si>
    <t>keyboard-inaccessible</t>
  </si>
  <si>
    <t>There is no way to perform the function using only the keyboard on the same screen or on a qualifying conforming alternate version.</t>
  </si>
  <si>
    <t>Function cannot be performed by keyboard alone</t>
  </si>
  <si>
    <t>["body#page.conceptB-con-fasciacolorata-in-alto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t>
  </si>
  <si>
    <t>["body#page.conceptB-con-fasciacolorata-in-alto &gt; nav#skiplink:nth-of-type(1) &gt; ul:nth-of-type(1)"]</t>
  </si>
  <si>
    <t>["body#page.pattern-circle-01 &gt; nav#skiplink:nth-of-type(1) &gt; ul:nth-of-type(1) &gt; li:nth-of-type(1) &gt; a.skip-link.sr-only-focusable-abs:nth-of-type(1)"]</t>
  </si>
  <si>
    <t>["body#page.pattern-circle-01 &gt; nav#skiplink:nth-of-type(1) &gt; ul:nth-of-type(1) &gt; li:nth-of-type(3) &gt; a.skip-link.sr-only-focusable-abs:nth-of-type(1)"]</t>
  </si>
  <si>
    <t>["body#page.pattern-circle-01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t>
  </si>
  <si>
    <t>["body#page.pattern-circle-01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t>
  </si>
  <si>
    <t>&lt;a title="Vai alla pagina dedicata e rispondi" href="https://aiutaciamigliorare.poste.it/sondaggi/prodotti-postevita-privati?pagina=posteinsurance-broker,famiglia_prodotto=Protezione" target="_self" class="btn btn-xs btn-primary me-1" data-activity-linkid="Rispondi-posteinsurancebroker-moduli-posteinsurance-broker-brand-aiutaci-a-migliorare-right-card-btn-secondary"&gt;</t>
  </si>
  <si>
    <t>["body#page.pattern-circle-01 &gt; footer:nth-of-type(1) &gt; div.content.content-footer.content-footer-extra:nth-of-type(2) &gt; div.content-wrap:nth-of-type(1) &gt; div.container:nth-of-type(1) &gt; div.row:nth-of-type(1) &gt; div.col-sm-12:nth-of-type(1) &gt; div.row.my-4:nth-of-type(1) &gt; div.col-sm-8:nth-of-type(2) &gt; div.clearfix:nth-of-type(1) &gt; div.base-footer.mt-3.mt-sm-0:nth-of-type(1) &gt; div.clearfix:nth-of-type(1) &gt; ul.list-unstyled.pull-sm-right:nth-of-type(1) &gt; li:nth-of-type(2) &gt; div.content.content-alert-browser.mb-0:nth-of-type(1) &gt; div#content-alert-cookie.content.content-alert-cookie.mb-0:nth-of-type(1) &gt; div.container:nth-of-type(1) &gt; div.row:nth-of-type(1) &gt; div.col-md-12:nth-of-type(1) &gt; div#alertCookie.innerspacer-xs-top-30.innerspacer-xs-bottom-20:nth-of-type(1) &gt; div#alertCookie-inner:nth-of-type(1) &gt; div.text-center.text-sm-left:nth-of-type(1) &gt; p:nth-of-type(1) &gt; a:nth-of-type(1)"]</t>
  </si>
  <si>
    <t>&lt;a title="Vai alla pagina dedicata alla privacy " href="https://posteinsurancebroker.poste.it/privacy-policy" target="_self" data-collection="comunications" data-slug="privacy-policy-1699871679326" data-os-id="66a9a128-a9ee-48ea-9b94-c84805388ee4" data-activity-linkid="link-approfondisci"&gt;</t>
  </si>
  <si>
    <t>["body#page.pattern-circle-01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t>
  </si>
  <si>
    <t>aria-name-missing-incorrect</t>
  </si>
  <si>
    <t>The element's accessible name is missing or is not appropriate for the element's purpose.</t>
  </si>
  <si>
    <t>Name: The element's name is missing or incorrect</t>
  </si>
  <si>
    <t>["body#page.pattern-circle-01 &gt; main#accessibility-anchor:nth-of-type(1) &gt; div#posteinsurancebroker-moduli-posteinsurancebroker-catalogo-prodotti.content.display-pop:nth-of-type(5) &gt; div.content-wrap:nth-of-type(1) &gt; div.container:nth-of-type(1) &gt; div.row.row-fix.mx-auto:nth-of-type(1) &gt; div.col-xs-12.px-0:nth-of-type(1) &gt; div.row.row-space:nth-of-type(2) &gt; div.col-sm-12:nth-of-type(1) &gt; div.panel.panel-cards.panel-cards-detailed-bg.mode-img-middle:nth-of-type(1) &gt; div.panel-wrap.cards-wrap.panel-wrap-right.ms-0:nth-of-type(2) &gt; div.panel-body:nth-of-type(1) &gt; div.cards-content:nth-of-type(1) &gt; div.row:nth-of-type(2) &gt; div.col-sm-7.col-sm-push-5.col-md-8.col-md-push-4.col-lg-9.col-lg-push-3:nth-of-type(4) &gt; div.btn-container.mt-2.clearfix:nth-of-type(1) &gt; a.btn.btn-xs.btn-default:nth-of-type(1)"]</t>
  </si>
  <si>
    <t>&lt;a title="Vai alla pagina dedicata a Poste Guidare Sicuri" href="https://posteinsurancebroker.poste.it/poste-guidare-sicuri/" target="_self" class="btn btn-xs btn-default" rel="noopener noreferrer" data-activity-linkid="Scopri di pi&amp;amp;ugrave;-posteinsurancebroker-moduli-posteinsurancebroker-catalogo-prodotti-product-card-1-btn-default-posteguidaresicuri"&gt;</t>
  </si>
  <si>
    <t>semantic-heading</t>
  </si>
  <si>
    <t>Text appears and functions like a section heading but is not marked up as such.</t>
  </si>
  <si>
    <t>Visual heading text is not marked as heading</t>
  </si>
  <si>
    <t>["body#page.pattern-circle-01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span.h6.block:nth-of-type(1)"]</t>
  </si>
  <si>
    <t>["body#page.pattern-circle-01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span.h6.block:nth-of-type(2)"]</t>
  </si>
  <si>
    <t>["body#page.pattern-circle-01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div.col-sm-4:nth-of-type(2) &gt; span.h6.block:nth-of-type(1)"]</t>
  </si>
  <si>
    <t>["body#page.pattern-circle-01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span.h6.block:nth-of-type(1)"]</t>
  </si>
  <si>
    <t>["body#page.pattern-circle-01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span.h6.block:nth-of-type(2)"]</t>
  </si>
  <si>
    <t>["body#page.pattern-circle-01 &gt; nav#skiplink:nth-of-type(1) &gt; ul:nth-of-type(1)"]</t>
  </si>
  <si>
    <t>button-name</t>
  </si>
  <si>
    <t>[".btn-default"]</t>
  </si>
  <si>
    <t>Fix any of the following:
  L'elemento non ha del testo interno che è visibile agli screen reader
  L'attributo aria-label non esiste o è vuoto
  L'attributo aria-labelledby non esiste, fa riferimento ad elementi che non esistono o fa riferimento ad elementi che sono vuoti
  L'elemento non ha un attributo title
  L'elemento del modulo non ha un'etichetta implicita (racchiusa) &lt;label&gt;
  L'elemento del modulo non ha un'etichetta esplicita &lt;label&gt;
  La semantica predefinita dell'elemento non è stata sostituita da role="none" o role="presentation"</t>
  </si>
  <si>
    <t>&lt;button _ngcontent-fkk-c2="" class="btn btn-default border-0" type="button"&gt;&lt;span _ngcontent-fkk-c2="" aria-hidden="true" class="poste poste-calendar"&gt;&lt;/span&gt;&lt;/button&gt;</t>
  </si>
  <si>
    <t>color-contrast</t>
  </si>
  <si>
    <t>[".col-md-6.form-group:nth-child(1) &gt; label[for=\"plate\"]"]</t>
  </si>
  <si>
    <t>Fix any of the following:
  L'elemento ha un contrasto di colore insufficiente di 4.41 (colore in primo piano: #787878, colore di sfondo: #ffffff, dimensione del font: 11.3pt (15px), peso del font: normal). Contrasto atteso di 4.5:1</t>
  </si>
  <si>
    <t>&lt;label _ngcontent-fkk-c2="" for="plate"&gt;Targa del veicolo&lt;/label&gt;</t>
  </si>
  <si>
    <t>["label[for=\"birthday\"]"]</t>
  </si>
  <si>
    <t>&lt;label _ngcontent-fkk-c2="" for="birthday"&gt;Data di nascita del proprietario&lt;/label&gt;</t>
  </si>
  <si>
    <t>["label[for=\"provinceCode\"]"]</t>
  </si>
  <si>
    <t>&lt;label _ngcontent-fkk-c2="" for="provinceCode"&gt;Provincia di residenza proprietario&lt;/label&gt;</t>
  </si>
  <si>
    <t>[".col-md-6.form-group:nth-child(4) &gt; label[for=\"plate\"]"]</t>
  </si>
  <si>
    <t>&lt;label _ngcontent-fkk-c2="" for="plate"&gt;Cellulare&lt;/label&gt;</t>
  </si>
  <si>
    <t>[".col-md-6.form-group:nth-child(5) &gt; label[for=\"plate\"]"]</t>
  </si>
  <si>
    <t>&lt;label _ngcontent-fkk-c2="" for="plate"&gt;Indirizzo email&lt;/label&gt;</t>
  </si>
  <si>
    <t>[".text-footer"]</t>
  </si>
  <si>
    <t>Fix any of the following:
  L'elemento ha un contrasto di colore insufficiente di 3.96 (colore in primo piano: #6c757d, colore di sfondo: #ececec, dimensione del font: 13.5pt (18px), peso del font: normal). Contrasto atteso di 4.5:1</t>
  </si>
  <si>
    <t>&lt;p _ngcontent-fkk-c0="" class="text-footer"&gt; POSTE INSURANCE BROKER S.r.l&lt;br _ngcontent-fkk-c0=""&gt; Sede legale in Roma, viale Beethoven n. 11&lt;br _ngcontent-fkk-c0=""&gt; C.F. e P.IVA n. 15246481004, iscritto al Registro Unico Intermediari assicurativi al n. B000643187 &lt;/p&gt;</t>
  </si>
  <si>
    <t>label</t>
  </si>
  <si>
    <t>["textarea"]</t>
  </si>
  <si>
    <t>Fix any of the following:
  L'elemento del modulo non ha un'etichetta implicita (racchiusa) &lt;label&gt;
  L'elemento del modulo non ha un'etichetta esplicita &lt;label&gt;
  L'attributo aria-label non esiste o è vuoto
  L'attributo aria-labelledby non esiste, fa riferimento ad elementi che non esistono o fa riferimento ad elementi che sono vuoti
  L'elemento non ha un attributo title
  L'elemento non ha un attributo placeholder
  La semantica predefinita dell'elemento non è stata sostituita da role="none" o role="presentation"</t>
  </si>
  <si>
    <t>&lt;textarea _ngcontent-fkk-c2="" class="form-control custom-control-textarea" readonly="" rows="3"&gt;</t>
  </si>
  <si>
    <t>["body &gt; app-root:nth-of-type(1) &gt; main#main:nth-of-type(1) &gt; ng-component:nth-of-type(1) &gt; div.container.mt-5:nth-of-type(2) &gt; div.row:nth-of-type(1) &gt; div.col-12.col-lg-3:nth-of-type(2) &gt; app-help-links:nth-of-type(1) &gt; div.sticky-top.container.p-0:nth-of-type(1) &gt; div.btn-container:nth-of-type(1)"]</t>
  </si>
  <si>
    <t>&lt;div _ngcontent-fkk-c3="" class="btn-container"&gt;&lt;a _ngcontent-fkk-c3="" class="col-12 btn btn-sm btn-warning btn-expand" title="Prenota un contatto telefonico"&gt; Ti richiamiamo noi &lt;/a&gt;&lt;/div&gt;</t>
  </si>
  <si>
    <t>["body &gt; app-root:nth-of-type(1) &gt; main#main:nth-of-type(1) &gt; ng-component:nth-of-type(1) &gt; div.container.mt-5:nth-of-type(2) &gt; div.row:nth-of-type(1) &gt; div.col-12.col-lg-3:nth-of-type(2) &gt; app-help-links:nth-of-type(1) &gt; div.sticky-top.container.p-0:nth-of-type(1) &gt; div.btn-container:nth-of-type(2)"]</t>
  </si>
  <si>
    <t>&lt;div _ngcontent-fkk-c3="" class="btn-container"&gt;&lt;a _ngcontent-fkk-c3="" class="col-12 btn btn-sm btn-warning btn-expand" title="Prenota un appuntamento"&gt; Prendi appuntamento &lt;/a&gt;&lt;/div&gt;</t>
  </si>
  <si>
    <t>focus-on-hidden-item</t>
  </si>
  <si>
    <t>Keyboard focus or touch screen swiping falls on an element that is hidden or empty.</t>
  </si>
  <si>
    <t>Hidden or empty element receives focus</t>
  </si>
  <si>
    <t>["body &gt; app-root:nth-of-type(1) &gt; main#main:nth-of-type(1) &gt; ng-component:nth-of-type(1) &gt; div.container.mt-5:nth-of-type(2) &gt; div.row:nth-of-type(1) &gt; div.col-12.col-lg-9:nth-of-type(1) &gt; form.ng-untouched.ng-pristine.ng-invalid:nth-of-type(1) &gt; div.card:nth-of-type(1) &gt; div.card-body:nth-of-type(1) &gt; div.form-group:nth-of-type(3) &gt; div.custom-control.custom-radio.custom-control-inline:nth-of-type(1) &gt; input#commercial_yes.custom-control-input.ng-untouched.ng-pristine.ng-invalid:nth-of-type(1)"]</t>
  </si>
  <si>
    <t>&lt;input _ngcontent-fkk-c2="" class="custom-control-input ng-untouched ng-pristine ng-invalid" formcontrolname="commercial" id="commercial_yes" name="commercial" type="radio"&gt;</t>
  </si>
  <si>
    <t>["body#page.Nessuno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li:nth-of-type(2) &gt; a:nth-of-type(1)"]</t>
  </si>
  <si>
    <t>&lt;a title="Scrivi al seguente indirizzo reclami@linear.it" href="mailto:reclami@linear.it" target="_self" data-activity-linkid="link-reclami@linear.it"&gt;reclami@linear.it&lt;/a&gt;</t>
  </si>
  <si>
    <t>["body#page.Nessuno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li:nth-of-type(3) &gt; a:nth-of-type(1)"]</t>
  </si>
  <si>
    <t>&lt;a title="Segui il link e visita il sito www.linear.it" href="https://www.linear.it/" target="_self" data-activity-linkid="link-www.linear.it (sito esterno)"&gt;www.linear.it (sito esterno)&lt;/a&gt;</t>
  </si>
  <si>
    <t>["body#page.Nessuno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li:nth-of-type(2) &gt; a:nth-of-type(1)"]</t>
  </si>
  <si>
    <t>&lt;a title="Segui il link e visita il sito www.genertel.it" href="https://www.genertel.it/" target="_self" data-activity-linkid="link-www.genertel.it (Sito esterno)"&gt;www.genertel.it (Sito esterno)&lt;/a&gt;</t>
  </si>
  <si>
    <t>["body#page.Nessuno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li:nth-of-type(3) &gt; a:nth-of-type(1)"]</t>
  </si>
  <si>
    <t>&lt;a title="Scrivi al seguente indirizzo quality@genertel.it." href="mailto:quality@genertel.it." target="_self" data-activity-linkid="link-quality@genertel.it"&gt;quality@genertel.it&lt;/a&gt;</t>
  </si>
  <si>
    <t>["body#page.Nessuno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ul.list-check:nth-of-type(3) &gt; li:nth-of-type(1) &gt; a:nth-of-type(1)"]</t>
  </si>
  <si>
    <t>&lt;a title="Scrivi al seguente indirizzo reclami@pec.posteinsurancebroker.it" href="mailto:reclami@pec.posteinsurancebroker.it" target="_self" data-activity-linkid="link-reclami@pec.posteinsurancebroker.it"&gt;reclami@pec.posteinsurancebroker.it&lt;/a&gt;</t>
  </si>
  <si>
    <t>["body#page.Nessuno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a:nth-of-type(1)"]</t>
  </si>
  <si>
    <t>&lt;a title="Chiama il numero 06 42 133 206" href="tel:0642133206" data-activity-linkid="link-06 42 133 206"&gt;06 42 133 206&lt;/a&gt;</t>
  </si>
  <si>
    <t>["body#page.Nessuno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a:nth-of-type(2)"]</t>
  </si>
  <si>
    <t>&lt;a title="Scrivi al seguente indirizzo ivass@pec.ivass.it" href="mailto:ivass@pec.ivass.it" target="_self" data-activity-linkid="link-ivass@pec.ivass.it"&gt;ivass@pec.ivass.it&lt;/a&gt;</t>
  </si>
  <si>
    <t>["#heading-item-posteinsurancebrokerposteinsurancebroker-modulisegnalazioni-anomalie-accordion-faqchi-puo-inviare-una-segnalazione-0-0"]</t>
  </si>
  <si>
    <t>&lt;div class="panel-heading" role="tab" tabindex="0" id="heading-item-posteinsurancebrokerposteinsurancebroker-modulisegnalazioni-anomalie-accordion-faqchi-puo-inviare-una-segnalazione-0-0"&gt;</t>
  </si>
  <si>
    <t>["#heading-item-posteinsurancebrokerposteinsurancebroker-modulisegnalazioni-anomalie-accordion-faqe-possibile-inviare-una-segnalazione-anonima-1-1"]</t>
  </si>
  <si>
    <t>&lt;div class="panel-heading" role="tab" tabindex="0" id="heading-item-posteinsurancebrokerposteinsurancebroker-modulisegnalazioni-anomalie-accordion-faqe-possibile-inviare-una-segnalazione-anonima-1-1"&gt;</t>
  </si>
  <si>
    <t>["#heading-item-posteinsurancebrokerposteinsurancebroker-modulisegnalazioni-anomalie-accordion-faqe-possibile-consultare-lo-stato-di-lavorazione-di-una-segnalazione-2-2"]</t>
  </si>
  <si>
    <t>&lt;div class="panel-heading" role="tab" tabindex="0" id="heading-item-posteinsurancebrokerposteinsurancebroker-modulisegnalazioni-anomalie-accordion-faqe-possibile-consultare-lo-stato-di-lavorazione-di-una-segnalazione-2-2"&gt;</t>
  </si>
  <si>
    <t>["#heading-item-posteinsurancebrokerposteinsurancebroker-modulisegnalazioni-anomalie-accordion-faqquali-sono-le-tutele-per-il-segnalante-3-3"]</t>
  </si>
  <si>
    <t>&lt;div class="panel-heading" role="tab" tabindex="0" id="heading-item-posteinsurancebrokerposteinsurancebroker-modulisegnalazioni-anomalie-accordion-faqquali-sono-le-tutele-per-il-segnalante-3-3"&gt;</t>
  </si>
  <si>
    <t>["#heading-item-posteinsurancebrokerposteinsurancebroker-modulisegnalazioni-anomalie-accordion-faqidentita-del-segnalante-puo-essere-rivelata-senza-il-suo-consenso-4-4"]</t>
  </si>
  <si>
    <t>&lt;div class="panel-heading" role="tab" tabindex="0" id="heading-item-posteinsurancebrokerposteinsurancebroker-modulisegnalazioni-anomalie-accordion-faqidentita-del-segnalante-puo-essere-rivelata-senza-il-suo-consenso-4-4"&gt;</t>
  </si>
  <si>
    <t>["#heading-item-posteinsurancebrokerposteinsurancebroker-modulisegnalazioni-anomalie-accordion-faqchi-esamina-le-segnalazioni-e-ne-cura-gli-approfondimenti-5-5"]</t>
  </si>
  <si>
    <t>&lt;div class="panel-heading" role="tab" tabindex="0" id="heading-item-posteinsurancebrokerposteinsurancebroker-modulisegnalazioni-anomalie-accordion-faqchi-esamina-le-segnalazioni-e-ne-cura-gli-approfondimenti-5-5"&gt;</t>
  </si>
  <si>
    <t>["#heading-item-posteinsurancebrokerposteinsurancebroker-modulisegnalazioni-anomalie-accordion-faqcome-e-composto-il-comitato-whistleblowing-di-una-societa-poste-italiane-6-6"]</t>
  </si>
  <si>
    <t>&lt;div class="panel-heading" role="tab" tabindex="0" id="heading-item-posteinsurancebrokerposteinsurancebroker-modulisegnalazioni-anomalie-accordion-faqcome-e-composto-il-comitato-whistleblowing-di-una-societa-poste-italiane-6-6"&gt;</t>
  </si>
  <si>
    <t>["#heading-item-posteinsurancebrokerposteinsurancebroker-modulisegnalazioni-anomalie-accordion-faqcome-composta-la-segreteria-del-comitato-whistleblowing-di-una-societa-poste-italiane-7-7"]</t>
  </si>
  <si>
    <t>&lt;div class="panel-heading" role="tab" tabindex="0" id="heading-item-posteinsurancebrokerposteinsurancebroker-modulisegnalazioni-anomalie-accordion-faqcome-composta-la-segreteria-del-comitato-whistleblowing-di-una-societa-poste-italiane-7-7"&gt;</t>
  </si>
  <si>
    <t>["#heading-item-posteinsurancebrokerposteinsurancebroker-modulisegnalazioni-anomalie-accordion-faqquali-sono-le-tempistiche-di-presa-in-carico-di-una-segnalazione-8-8"]</t>
  </si>
  <si>
    <t>&lt;div class="panel-heading" role="tab" tabindex="0" id="heading-item-posteinsurancebrokerposteinsurancebroker-modulisegnalazioni-anomalie-accordion-faqquali-sono-le-tempistiche-di-presa-in-carico-di-una-segnalazione-8-8"&gt;</t>
  </si>
  <si>
    <t>["#heading-item-posteinsurancebrokerposteinsurancebroker-modulisegnalazioni-anomalie-accordion-faqquali-sono-gli-stati-di-lavorazione-di-una-segnalazione-9-9"]</t>
  </si>
  <si>
    <t>&lt;div class="panel-heading" role="tab" tabindex="0" id="heading-item-posteinsurancebrokerposteinsurancebroker-modulisegnalazioni-anomalie-accordion-faqquali-sono-gli-stati-di-lavorazione-di-una-segnalazione-9-9"&gt;</t>
  </si>
  <si>
    <t>["#heading-item-posteinsurancebrokerposteinsurancebroker-modulisegnalazioni-anomalie-accordion-faqchi-puo-inviare-una-segnalazione-0-0 &gt; .panel-title &gt; .accordion-toggle.collapsed[role=\"button\"]"]</t>
  </si>
  <si>
    <t>&lt;a class="accordion-toggle collapsed" role="button" data-toggle="collapse" data-parent="#accordion-posteinsurancebrokerposteinsurancebroker-modulisegnalazioni-anomalie-accordion-faqfaq" href="#item-posteinsurancebrokerposteinsurancebroker-modulisegnalazioni-anomalie-accordion-faqchi-puo-inviare-una-segnalazione-0" aria-expanded="false" aria-controls="item-posteinsurancebrokerposteinsurancebroker-modulisegnalazioni-anomalie-accordion-faqchi-puo-inviare-una-segnalazione-0" aria-label="Chi può inviare una segnalazione" title="Chi può inviare una segnalazione"&gt;</t>
  </si>
  <si>
    <t>["#heading-item-posteinsurancebrokerposteinsurancebroker-modulisegnalazioni-anomalie-accordion-faqe-possibile-inviare-una-segnalazione-anonima-1-1 &gt; .panel-title &gt; .accordion-toggle.collapsed[role=\"button\"]"]</t>
  </si>
  <si>
    <t>&lt;a class="accordion-toggle collapsed" role="button" data-toggle="collapse" data-parent="#accordion-posteinsurancebrokerposteinsurancebroker-modulisegnalazioni-anomalie-accordion-faqfaq" href="#item-posteinsurancebrokerposteinsurancebroker-modulisegnalazioni-anomalie-accordion-faqe-possibile-inviare-una-segnalazione-anonima-1" aria-expanded="false" aria-controls="item-posteinsurancebrokerposteinsurancebroker-modulisegnalazioni-anomalie-accordion-faqe-possibile-inviare-una-segnalazione-anonima-1" aria-label="È possibile inviare una segnalazione anonima?" title="È possibile inviare una segnalazione anonima?"&gt;</t>
  </si>
  <si>
    <t>["#heading-item-posteinsurancebrokerposteinsurancebroker-modulisegnalazioni-anomalie-accordion-faqe-possibile-consultare-lo-stato-di-lavorazione-di-una-segnalazione-2-2 &gt; .panel-title &gt; .accordion-toggle.collapsed[role=\"button\"]"]</t>
  </si>
  <si>
    <t>&lt;a class="accordion-toggle collapsed" role="button" data-toggle="collapse" data-parent="#accordion-posteinsurancebrokerposteinsurancebroker-modulisegnalazioni-anomalie-accordion-faqfaq" href="#item-posteinsurancebrokerposteinsurancebroker-modulisegnalazioni-anomalie-accordion-faqe-possibile-consultare-lo-stato-di-lavorazione-di-una-segnalazione-2" aria-expanded="false" aria-controls="item-posteinsurancebrokerposteinsurancebroker-modulisegnalazioni-anomalie-accordion-faqe-possibile-consultare-lo-stato-di-lavorazione-di-una-segnalazione-2" aria-label="È possibile consultare lo stato di lavorazione di una segnalazione?" title="È possibile consultare lo stato di lavorazione di una segnalazione?"&gt;</t>
  </si>
  <si>
    <t>["#heading-item-posteinsurancebrokerposteinsurancebroker-modulisegnalazioni-anomalie-accordion-faqquali-sono-le-tutele-per-il-segnalante-3-3 &gt; .panel-title &gt; .accordion-toggle.collapsed[role=\"button\"]"]</t>
  </si>
  <si>
    <t>&lt;a class="accordion-toggle collapsed" role="button" data-toggle="collapse" data-parent="#accordion-posteinsurancebrokerposteinsurancebroker-modulisegnalazioni-anomalie-accordion-faqfaq" href="#item-posteinsurancebrokerposteinsurancebroker-modulisegnalazioni-anomalie-accordion-faqquali-sono-le-tutele-per-il-segnalante-3" aria-expanded="false" aria-controls="item-posteinsurancebrokerposteinsurancebroker-modulisegnalazioni-anomalie-accordion-faqquali-sono-le-tutele-per-il-segnalante-3" aria-label="Quali sono le tutele per il segnalante?" title="Quali sono le tutele per il segnalante?"&gt;</t>
  </si>
  <si>
    <t>["#heading-item-posteinsurancebrokerposteinsurancebroker-modulisegnalazioni-anomalie-accordion-faqidentita-del-segnalante-puo-essere-rivelata-senza-il-suo-consenso-4-4 &gt; .panel-title &gt; .accordion-toggle.collapsed[role=\"button\"]"]</t>
  </si>
  <si>
    <t>&lt;a class="accordion-toggle collapsed" role="button" data-toggle="collapse" data-parent="#accordion-posteinsurancebrokerposteinsurancebroker-modulisegnalazioni-anomalie-accordion-faqfaq" href="#item-posteinsurancebrokerposteinsurancebroker-modulisegnalazioni-anomalie-accordion-faqidentita-del-segnalante-puo-essere-rivelata-senza-il-suo-consenso-4" aria-expanded="false" aria-controls="item-posteinsurancebrokerposteinsurancebroker-modulisegnalazioni-anomalie-accordion-faqidentita-del-segnalante-puo-essere-rivelata-senza-il-suo-consenso-4" aria-label="L’identità del segnalante può essere rivelata senza il suo consenso?" title="L’identità del segnalante può essere rivelata senza il suo consenso?"&gt;</t>
  </si>
  <si>
    <t>["#heading-item-posteinsurancebrokerposteinsurancebroker-modulisegnalazioni-anomalie-accordion-faqchi-esamina-le-segnalazioni-e-ne-cura-gli-approfondimenti-5-5 &gt; .panel-title &gt; .accordion-toggle.collapsed[role=\"button\"]"]</t>
  </si>
  <si>
    <t>&lt;a class="accordion-toggle collapsed" role="button" data-toggle="collapse" data-parent="#accordion-posteinsurancebrokerposteinsurancebroker-modulisegnalazioni-anomalie-accordion-faqfaq" href="#item-posteinsurancebrokerposteinsurancebroker-modulisegnalazioni-anomalie-accordion-faqchi-esamina-le-segnalazioni-e-ne-cura-gli-approfondimenti-5" aria-expanded="false" aria-controls="item-posteinsurancebrokerposteinsurancebroker-modulisegnalazioni-anomalie-accordion-faqchi-esamina-le-segnalazioni-e-ne-cura-gli-approfondimenti-5" aria-label="Chi esamina le segnalazioni e ne cura gli approfondimenti?" title="Chi esamina le segnalazioni e ne cura gli approfondimenti?"&gt;</t>
  </si>
  <si>
    <t>["#heading-item-posteinsurancebrokerposteinsurancebroker-modulisegnalazioni-anomalie-accordion-faqcome-e-composto-il-comitato-whistleblowing-di-una-societa-poste-italiane-6-6 &gt; .panel-title &gt; .accordion-toggle.collapsed[role=\"button\"]"]</t>
  </si>
  <si>
    <t>&lt;a class="accordion-toggle collapsed" role="button" data-toggle="collapse" data-parent="#accordion-posteinsurancebrokerposteinsurancebroker-modulisegnalazioni-anomalie-accordion-faqfaq" href="#item-posteinsurancebrokerposteinsurancebroker-modulisegnalazioni-anomalie-accordion-faqcome-e-composto-il-comitato-whistleblowing-di-una-societa-poste-italiane-6" aria-expanded="false" aria-controls="item-posteinsurancebrokerposteinsurancebroker-modulisegnalazioni-anomalie-accordion-faqcome-e-composto-il-comitato-whistleblowing-di-una-societa-poste-italiane-6" aria-label="Come è composto il comitato whistleblowing di una società del gruppo poste italiane?" title="Come è composto il comitato whistleblowing di una società del gruppo poste italiane?"&gt;</t>
  </si>
  <si>
    <t>["#heading-item-posteinsurancebrokerposteinsurancebroker-modulisegnalazioni-anomalie-accordion-faqcome-composta-la-segreteria-del-comitato-whistleblowing-di-una-societa-poste-italiane-7-7 &gt; .panel-title &gt; .accordion-toggle.collapsed[role=\"button\"]"]</t>
  </si>
  <si>
    <t>&lt;a class="accordion-toggle collapsed" role="button" data-toggle="collapse" data-parent="#accordion-posteinsurancebrokerposteinsurancebroker-modulisegnalazioni-anomalie-accordion-faqfaq" href="#item-posteinsurancebrokerposteinsurancebroker-modulisegnalazioni-anomalie-accordion-faqcome-composta-la-segreteria-del-comitato-whistleblowing-di-una-societa-poste-italiane-7" aria-expanded="false" aria-controls="item-posteinsurancebrokerposteinsurancebroker-modulisegnalazioni-anomalie-accordion-faqcome-composta-la-segreteria-del-comitato-whistleblowing-di-una-societa-poste-italiane-7" aria-label="Come è composta la segreteria del comitato whistleblowing di una società del gruppo poste italiane?" title="Come è composta la segreteria del comitato whistleblowing di una società del gruppo poste italiane?"&gt;</t>
  </si>
  <si>
    <t>["#heading-item-posteinsurancebrokerposteinsurancebroker-modulisegnalazioni-anomalie-accordion-faqquali-sono-le-tempistiche-di-presa-in-carico-di-una-segnalazione-8-8 &gt; .panel-title &gt; .accordion-toggle.collapsed[role=\"button\"]"]</t>
  </si>
  <si>
    <t>&lt;a class="accordion-toggle collapsed" role="button" data-toggle="collapse" data-parent="#accordion-posteinsurancebrokerposteinsurancebroker-modulisegnalazioni-anomalie-accordion-faqfaq" href="#item-posteinsurancebrokerposteinsurancebroker-modulisegnalazioni-anomalie-accordion-faqquali-sono-le-tempistiche-di-presa-in-carico-di-una-segnalazione-8" aria-expanded="false" aria-controls="item-posteinsurancebrokerposteinsurancebroker-modulisegnalazioni-anomalie-accordion-faqquali-sono-le-tempistiche-di-presa-in-carico-di-una-segnalazione-8" aria-label="Quali sono le tempistiche di presa in carico di una segnalazione?" title="Quali sono le tempistiche di presa in carico di una segnalazione?"&gt;</t>
  </si>
  <si>
    <t>["#heading-item-posteinsurancebrokerposteinsurancebroker-modulisegnalazioni-anomalie-accordion-faqquali-sono-gli-stati-di-lavorazione-di-una-segnalazione-9-9 &gt; .panel-title &gt; .accordion-toggle.collapsed[role=\"button\"]"]</t>
  </si>
  <si>
    <t>&lt;a class="accordion-toggle collapsed" role="button" data-toggle="collapse" data-parent="#accordion-posteinsurancebrokerposteinsurancebroker-modulisegnalazioni-anomalie-accordion-faqfaq" href="#item-posteinsurancebrokerposteinsurancebroker-modulisegnalazioni-anomalie-accordion-faqquali-sono-gli-stati-di-lavorazione-di-una-segnalazione-9" aria-expanded="false" aria-controls="item-posteinsurancebrokerposteinsurancebroker-modulisegnalazioni-anomalie-accordion-faqquali-sono-gli-stati-di-lavorazione-di-una-segnalazione-9" aria-label="Quali sono gli stati di lavorazione di una segnalazione?" title="Quali sono gli stati di lavorazione di una segnalazione?"&gt;</t>
  </si>
  <si>
    <t>["body#page.Nessuno &gt; main#accessibility-anchor:nth-of-type(1) &gt; div#posteinsurancebroker-moduli-segnalazioni-anomalie-descrizione-come-inviare.content.display-pop:nth-of-type(3) &gt; div.content-wrap:nth-of-type(1) &gt; div.container:nth-of-type(1) &gt; div.row.row-fix:nth-of-type(1) &gt; div.col-xs-12.col-lg-10.col-lg-push-1:nth-of-type(1) &gt; div.main-pills:nth-of-type(1) &gt; div.main-pills-wrap:nth-of-type(1) &gt; div.box-editable-area:nth-of-type(1) &gt; div.btn-container.mt-3.clearfix:nth-of-type(7) &gt; a.btn.btn-icon.btn-xs.btn-primary:nth-of-type(1)"]</t>
  </si>
  <si>
    <t>&lt;a title="Vai alla pagina dedicata e invia la tua segnalazione" href="https://www.posteitaliane.it/it/sistema-di-segnalazione-delle-violazioni.html" target="_self" class="btn btn-icon btn-xs btn-primary" data-activity-linkid="Invia la tua segnalazione-posteinsurancebroker-moduli-segnalazioni-anomalie-descrizione-come-inviare-btn-primary"&gt;</t>
  </si>
  <si>
    <t>["body#page.Nessuno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a:nth-of-type(1)"]</t>
  </si>
  <si>
    <t>&lt;a title="Chiama il numero 800 888 999" href="tel:800888999" data-activity-linkid="link-800 888 999"&gt;800 888 999&lt;/a&gt;</t>
  </si>
  <si>
    <t>["body#page.Nessuno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a:nth-of-type(2)"]</t>
  </si>
  <si>
    <t>&lt;a title="Chiama il numero +39 011 65 23 250" href="tel:+390116523250" data-activity-linkid="link-+39 011 65 23 250"&gt;+39 011 65 23 250&lt;/a&gt;</t>
  </si>
  <si>
    <t>["body#page.Nessuno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div:nth-of-type(2) &gt; p:nth-of-type(1) &gt; a:nth-of-type(1)"]</t>
  </si>
  <si>
    <t>&lt;a title="Scrivi al seguente indirizzo sinistriposte@linear.it " href="mailto:sinistriposte@linear.it" target="_self" data-activity-linkid="link-sinistriposte@linear.it"&gt;sinistriposte@linear.it&lt;/a&gt;</t>
  </si>
  <si>
    <t>["body#page.Nessuno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a:nth-of-type(1)"]</t>
  </si>
  <si>
    <t>&lt;a title="Chiama il numero 800 660 055" href="tel:800660055" data-activity-linkid="link-800 660 055"&gt;800 660 055&lt;/a&gt;</t>
  </si>
  <si>
    <t>["body#page.Nessuno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a:nth-of-type(2)"]</t>
  </si>
  <si>
    <t>&lt;a title="Chiama il numero +39 040 67 68 349" href="tel:+390406768349" data-activity-linkid="link-+39 040 67 68 349"&gt;+39 040 67 68 349&lt;/a&gt;</t>
  </si>
  <si>
    <t>["body#page.Nessuno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div:nth-of-type(2) &gt; p:nth-of-type(1) &gt; a:nth-of-type(1)"]</t>
  </si>
  <si>
    <t>&lt;a title="Scrivi al seguente indirizzo sinistri@genertel.it" href="mailto:sinistri@genertel.it" target="_self" data-activity-linkid="link-sinistri@genertel.it"&gt;sinistri@genertel.it&lt;/a&gt;</t>
  </si>
  <si>
    <t>TM0001</t>
  </si>
  <si>
    <t>TM0002</t>
  </si>
  <si>
    <t>TM0003</t>
  </si>
  <si>
    <t>TM0004</t>
  </si>
  <si>
    <t>TM0005</t>
  </si>
  <si>
    <t>TM0006</t>
  </si>
  <si>
    <t>TM0007</t>
  </si>
  <si>
    <t>TM0008</t>
  </si>
  <si>
    <t>TM0009</t>
  </si>
  <si>
    <t>TM0010</t>
  </si>
  <si>
    <t>TM0011</t>
  </si>
  <si>
    <t>TM0012</t>
  </si>
  <si>
    <t>TM0013</t>
  </si>
  <si>
    <t>TM0014</t>
  </si>
  <si>
    <t>TM0015</t>
  </si>
  <si>
    <t>TM0016</t>
  </si>
  <si>
    <t>TM0017</t>
  </si>
  <si>
    <t>TM0018</t>
  </si>
  <si>
    <t>TM0019</t>
  </si>
  <si>
    <t>TM0020</t>
  </si>
  <si>
    <t>TM0021</t>
  </si>
  <si>
    <t>TM0022</t>
  </si>
  <si>
    <t>TM0023</t>
  </si>
  <si>
    <t>TM0024</t>
  </si>
  <si>
    <t>TM0025</t>
  </si>
  <si>
    <t>TM0026</t>
  </si>
  <si>
    <t>TM0027</t>
  </si>
  <si>
    <t>TM0028</t>
  </si>
  <si>
    <t>TM0029</t>
  </si>
  <si>
    <t>TM0030</t>
  </si>
  <si>
    <t>TM0031</t>
  </si>
  <si>
    <t>TM0032</t>
  </si>
  <si>
    <t>TM0033</t>
  </si>
  <si>
    <t>TM0034</t>
  </si>
  <si>
    <t>TM0035</t>
  </si>
  <si>
    <t>TM0036</t>
  </si>
  <si>
    <t>TM0037</t>
  </si>
  <si>
    <t>TM0038</t>
  </si>
  <si>
    <t>TM0039</t>
  </si>
  <si>
    <t>TM0040</t>
  </si>
  <si>
    <t>TM0041</t>
  </si>
  <si>
    <t>TM0042</t>
  </si>
  <si>
    <t>TM0043</t>
  </si>
  <si>
    <t>TM0044</t>
  </si>
  <si>
    <t>TM0045</t>
  </si>
  <si>
    <t>TM0046</t>
  </si>
  <si>
    <t>TM0047</t>
  </si>
  <si>
    <t>TM0048</t>
  </si>
  <si>
    <t>TM0049</t>
  </si>
  <si>
    <t>TM0050</t>
  </si>
  <si>
    <t>TM0051</t>
  </si>
  <si>
    <t>TM0052</t>
  </si>
  <si>
    <t>TM0053</t>
  </si>
  <si>
    <t>TM0054</t>
  </si>
  <si>
    <t>TM0055</t>
  </si>
  <si>
    <t>TM0056</t>
  </si>
  <si>
    <t>TM0057</t>
  </si>
  <si>
    <t>TM0058</t>
  </si>
  <si>
    <t>TM0059</t>
  </si>
  <si>
    <t>TM0060</t>
  </si>
  <si>
    <t>TM0061</t>
  </si>
  <si>
    <t>TM0062</t>
  </si>
  <si>
    <t>TM0063</t>
  </si>
  <si>
    <t>TM0064</t>
  </si>
  <si>
    <t>TM0065</t>
  </si>
  <si>
    <t>TM0066</t>
  </si>
  <si>
    <t>TM0067</t>
  </si>
  <si>
    <t>TM0068</t>
  </si>
  <si>
    <t>TM0069</t>
  </si>
  <si>
    <t>TM0070</t>
  </si>
  <si>
    <t>TM0071</t>
  </si>
  <si>
    <t>TM0072</t>
  </si>
  <si>
    <t>TM0073</t>
  </si>
  <si>
    <t>TM0074</t>
  </si>
  <si>
    <t>TM0075</t>
  </si>
  <si>
    <t>TM0076</t>
  </si>
  <si>
    <t>TM0077</t>
  </si>
  <si>
    <t>TM0078</t>
  </si>
  <si>
    <t>TM0079</t>
  </si>
  <si>
    <t>TM0080</t>
  </si>
  <si>
    <t>TM0081</t>
  </si>
  <si>
    <t>TM0082</t>
  </si>
  <si>
    <t>TM0083</t>
  </si>
  <si>
    <t>TM0084</t>
  </si>
  <si>
    <t>TM0085</t>
  </si>
  <si>
    <t>TM0086</t>
  </si>
  <si>
    <t>TM0087</t>
  </si>
  <si>
    <t>TM0088</t>
  </si>
  <si>
    <t>TM0089</t>
  </si>
  <si>
    <t>TM0090</t>
  </si>
  <si>
    <t>TM0091</t>
  </si>
  <si>
    <t>TM0092</t>
  </si>
  <si>
    <t>TM0093</t>
  </si>
  <si>
    <t>TM0094</t>
  </si>
  <si>
    <t>TM0095</t>
  </si>
  <si>
    <t>TM0096</t>
  </si>
  <si>
    <t>TM0097</t>
  </si>
  <si>
    <t>TM0098</t>
  </si>
  <si>
    <t>TM0099</t>
  </si>
  <si>
    <t>TM0100</t>
  </si>
  <si>
    <t>TM0101</t>
  </si>
  <si>
    <t>TM0102</t>
  </si>
  <si>
    <t>TM0103</t>
  </si>
  <si>
    <t>TM0104</t>
  </si>
  <si>
    <t>TM0105</t>
  </si>
  <si>
    <t>TM0106</t>
  </si>
  <si>
    <t>TM0107</t>
  </si>
  <si>
    <t>TM0108</t>
  </si>
  <si>
    <t>TM0109</t>
  </si>
  <si>
    <t>TM0110</t>
  </si>
  <si>
    <t>TM0111</t>
  </si>
  <si>
    <t>TM0112</t>
  </si>
  <si>
    <t>TM0113</t>
  </si>
  <si>
    <t>TM0114</t>
  </si>
  <si>
    <t>TM0115</t>
  </si>
  <si>
    <t>TM0116</t>
  </si>
  <si>
    <t>TM0117</t>
  </si>
  <si>
    <t>TM0118</t>
  </si>
  <si>
    <t>TM0119</t>
  </si>
  <si>
    <t>TM0120</t>
  </si>
  <si>
    <t>TM0121</t>
  </si>
  <si>
    <t>TM0122</t>
  </si>
  <si>
    <t>TM0123</t>
  </si>
  <si>
    <t>TM0124</t>
  </si>
  <si>
    <t>TM0125</t>
  </si>
  <si>
    <t>TM0126</t>
  </si>
  <si>
    <t>TM0127</t>
  </si>
  <si>
    <t>TM0128</t>
  </si>
  <si>
    <t>TM0129</t>
  </si>
  <si>
    <t>TM0130</t>
  </si>
  <si>
    <t>TM0131</t>
  </si>
  <si>
    <t>TM0132</t>
  </si>
  <si>
    <t>TM0133</t>
  </si>
  <si>
    <t>TM0134</t>
  </si>
  <si>
    <t>TM0135</t>
  </si>
  <si>
    <t>TM0136</t>
  </si>
  <si>
    <t>TM0137</t>
  </si>
  <si>
    <t>TM0138</t>
  </si>
  <si>
    <t>TM0139</t>
  </si>
  <si>
    <t>TM0140</t>
  </si>
  <si>
    <t>TM0141</t>
  </si>
  <si>
    <t>TM0142</t>
  </si>
  <si>
    <t>TM0143</t>
  </si>
  <si>
    <t>TM0144</t>
  </si>
  <si>
    <t>TM0145</t>
  </si>
  <si>
    <t>TM0146</t>
  </si>
  <si>
    <t>TM0147</t>
  </si>
  <si>
    <t>TM0148</t>
  </si>
  <si>
    <t>TM0149</t>
  </si>
  <si>
    <t>TM0150</t>
  </si>
  <si>
    <t>TM0151</t>
  </si>
  <si>
    <t>TM0152</t>
  </si>
  <si>
    <t>TM0153</t>
  </si>
  <si>
    <t>TM0154</t>
  </si>
  <si>
    <t>TM0155</t>
  </si>
  <si>
    <t>TM0156</t>
  </si>
  <si>
    <t>TM0157</t>
  </si>
  <si>
    <t>TM0158</t>
  </si>
  <si>
    <t>TM0159</t>
  </si>
  <si>
    <t>TM0160</t>
  </si>
  <si>
    <t>TM0161</t>
  </si>
  <si>
    <t>TM0162</t>
  </si>
  <si>
    <t>TM0163</t>
  </si>
  <si>
    <t>TM0164</t>
  </si>
  <si>
    <t>TM0165</t>
  </si>
  <si>
    <t>TM0166</t>
  </si>
  <si>
    <t>TM0167</t>
  </si>
  <si>
    <t>TM0168</t>
  </si>
  <si>
    <t>TM0169</t>
  </si>
  <si>
    <t>TM0170</t>
  </si>
  <si>
    <t>TM0171</t>
  </si>
  <si>
    <t>TM0172</t>
  </si>
  <si>
    <t>TM0173</t>
  </si>
  <si>
    <t>TM0174</t>
  </si>
  <si>
    <t>TM0175</t>
  </si>
  <si>
    <t>TM0176</t>
  </si>
  <si>
    <t>TM0177</t>
  </si>
  <si>
    <t>TM0178</t>
  </si>
  <si>
    <t>TM0179</t>
  </si>
  <si>
    <t>TM0180</t>
  </si>
  <si>
    <t>TM0181</t>
  </si>
  <si>
    <t>TM0182</t>
  </si>
  <si>
    <t>TM0183</t>
  </si>
  <si>
    <t>TM0184</t>
  </si>
  <si>
    <t>TM0185</t>
  </si>
  <si>
    <t>TM0186</t>
  </si>
  <si>
    <t>TM0187</t>
  </si>
  <si>
    <t>TM0188</t>
  </si>
  <si>
    <t>TM0189</t>
  </si>
  <si>
    <t>TM0190</t>
  </si>
  <si>
    <t>TM0191</t>
  </si>
  <si>
    <t>TM0192</t>
  </si>
  <si>
    <t>TM0193</t>
  </si>
  <si>
    <t>TM0194</t>
  </si>
  <si>
    <t>TM0195</t>
  </si>
  <si>
    <t>TM0196</t>
  </si>
  <si>
    <t>TM0197</t>
  </si>
  <si>
    <t>TM0198</t>
  </si>
  <si>
    <t>TM0199</t>
  </si>
  <si>
    <t>TM0200</t>
  </si>
  <si>
    <t>TM0201</t>
  </si>
  <si>
    <t>TM0202</t>
  </si>
  <si>
    <t>TM0203</t>
  </si>
  <si>
    <t>TM0204</t>
  </si>
  <si>
    <t>TM0205</t>
  </si>
  <si>
    <t>TM0206</t>
  </si>
  <si>
    <t>TM0207</t>
  </si>
  <si>
    <t>TM0208</t>
  </si>
  <si>
    <t>TM0209</t>
  </si>
  <si>
    <t>TM0210</t>
  </si>
  <si>
    <t>TM0211</t>
  </si>
  <si>
    <t>TM0212</t>
  </si>
  <si>
    <t>TM0213</t>
  </si>
  <si>
    <t>TM0214</t>
  </si>
  <si>
    <t>TM0215</t>
  </si>
  <si>
    <t>TM0216</t>
  </si>
  <si>
    <t>TM0217</t>
  </si>
  <si>
    <t>TM0218</t>
  </si>
  <si>
    <t>TM0219</t>
  </si>
  <si>
    <t>TM0220</t>
  </si>
  <si>
    <t>TM0221</t>
  </si>
  <si>
    <t>TM0222</t>
  </si>
  <si>
    <t>TM0223</t>
  </si>
  <si>
    <t>axe-core</t>
  </si>
  <si>
    <t>A</t>
  </si>
  <si>
    <t>AA</t>
  </si>
  <si>
    <t>1 - Critical</t>
  </si>
  <si>
    <t>Blind;Deafblind</t>
  </si>
  <si>
    <t>ARIA IDs are not unique</t>
  </si>
  <si>
    <t>Gli ID ARIA non sono univoci</t>
  </si>
  <si>
    <t>Il valore di un ID ARIA deve essere univoco per evitare che altre istanze vengano trascurate dalle tecnologie assistive. [Ulteriori informazioni] (https://web.dev/duplicate-id-aria/)</t>
  </si>
  <si>
    <t>Image elements do not have `[alt]` attributes</t>
  </si>
  <si>
    <t>Gli elementi immagine non hanno attributi '[alt]'</t>
  </si>
  <si>
    <t>Gli elementi informativi dovrebbero mirare a un testo alternativo breve e descrittivo. Gli elementi decorativi possono essere ignorati con un attributo alt vuoto. [Ulteriori informazioni] (https://dequeuniversity.com/rules/axe/4.10/image-alt)</t>
  </si>
  <si>
    <t>Low Vision</t>
  </si>
  <si>
    <t>`[user-scalable="no"]` is used in the `&lt;meta name="viewport"&gt;` element or the `[maximum-scale]` attribute is less than 5.</t>
  </si>
  <si>
    <t>[user-scalable="no"]' viene utilizzato nell'elemento '&lt;meta name="viewport"&gt;' oppure l'attributo '[maximum-scale]' è minore di 5.</t>
  </si>
  <si>
    <t>La disattivazione dello zoom è problematica per gli utenti ipovedenti che si affidano all'ingrandimento dello schermo per visualizzare correttamente il contenuto di una pagina Web. [Ulteriori informazioni] (https://dequeuniversity.com/rules/axe/4.10/meta-viewport)</t>
  </si>
  <si>
    <t>Blind;Deafblind;Mobility</t>
  </si>
  <si>
    <t>Elements must only use allowed ARIA attributes</t>
  </si>
  <si>
    <t>Gli elementi devono utilizzare solo attributi ARIA ammissibili</t>
  </si>
  <si>
    <t>Assicurarsi che gli attributi ARIA siano consentiti per il ruolo di un elemento [Ulteriori informazioni] (https://dequeuniversity.com/rules/axe/4.7/aria-allowed-attr?application=drwright)</t>
  </si>
  <si>
    <t>2 - Serious</t>
  </si>
  <si>
    <t>Blind;Deafblind;Low Vision;Mobility</t>
  </si>
  <si>
    <t>Elements must have their visible text as part of their accessible name</t>
  </si>
  <si>
    <t>Gli elementi devono avere il testo visibile come parte del nome accessibile</t>
  </si>
  <si>
    <t>Assicurarsi che gli elementi etichettati attraverso il loro contenuto debbano avere il loro testo visibile come parte del loro nome accessibile. [Ulteriori informazioni] (https://dequeuniversity.com/rules/axe/4.8/label-content-name-mismatch?application=AxeChrome)</t>
  </si>
  <si>
    <t>Blind;Mobility</t>
  </si>
  <si>
    <t>Interactive controls must not be nested</t>
  </si>
  <si>
    <t>I controlli interattivi non devono essere nidificati</t>
  </si>
  <si>
    <t>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t>
  </si>
  <si>
    <t>Blind;Low Vision;Mobility</t>
  </si>
  <si>
    <t>All touch targets must be 24px large, or leave sufficient space</t>
  </si>
  <si>
    <t>Tutte le destinazioni di tocco devono avere una dimensione di 24 px o lasciare spazio sufficiente</t>
  </si>
  <si>
    <t>Assicurarsi che la destinazione di tocco disponga di dimensioni e spazio sufficienti [Ulteriori informazioni] (https://dequeuniversity.com/rules/axe/4.8/target-size?application=AxeChrome)</t>
  </si>
  <si>
    <t>3 - Moderate</t>
  </si>
  <si>
    <t>Colorblindness;Low Vision</t>
  </si>
  <si>
    <t>Il testo di controllo non ha un rapporto di contrasto di 4,5:1 al passaggio del mouse o della messa a fuoco</t>
  </si>
  <si>
    <t>Il rapporto di contrasto tra il testo di un controllo e lo sfondo non è di almeno 4,5:1 al passaggio del mouse e/o allo stato attivo [Ulteriori informazioni] (https://docs.deque.com/issue-help/1.0.0/en/contrast-link-infocus-4.5-1)</t>
  </si>
  <si>
    <t>Il contenuto non è una list, ma è contrassegnato come tale</t>
  </si>
  <si>
    <t>Il contenuto non è una list, ma è contrassegnato come tale. [Ulteriori informazioni] (https://docs.deque.com/issue-help/1.0.0/en/semantic-list-used-for-presentation)</t>
  </si>
  <si>
    <t>Blind;Cognitive;Deafblind;Low Vision</t>
  </si>
  <si>
    <t>Nuova finestra avviata quando il componente riceve lo stato attivo</t>
  </si>
  <si>
    <t>Viene avviata una nuova finestra quando un componente riceve lo stato attivo. [Ulteriori informazioni] (https://docs.deque.com/issue-help/1.0.0/en/focus-window-launches)</t>
  </si>
  <si>
    <t>La funzione non può essere eseguita dalla sola tastiera</t>
  </si>
  <si>
    <t>Non è possibile eseguire la funzione utilizzando solo la tastiera sulla stessa schermata o su una versione alternativa conforme qualificata. [Ulteriori informazioni] (https://docs.deque.com/issue-help/1.0.0/en/keyboard-inaccessible)</t>
  </si>
  <si>
    <t>Nome: il nome dell'elemento è mancante o errato</t>
  </si>
  <si>
    <t>Il nome accessibile dell'elemento è mancante o non è appropriato per lo scopo dell'elemento. [Ulteriori informazioni] (https://docs.deque.com/issue-help/1.0.0/en/aria-name-missing-incorrect)</t>
  </si>
  <si>
    <t>Il testo dell'intestazione visiva non è contrassegnato come intestazione</t>
  </si>
  <si>
    <t>Il testo viene visualizzato e funziona come un'intestazione di sezione, ma non viene contrassegnato come tale. [Ulteriori informazioni] (https://docs.deque.com/issue-help/1.0.0/en/semantic-heading)</t>
  </si>
  <si>
    <t>Buttons do not have an accessible name</t>
  </si>
  <si>
    <t>I pulsanti non hanno un nome accessibile</t>
  </si>
  <si>
    <t>Quando un pulsante non ha un nome accessibile, le utilità per la lettura dello schermo lo annunciano come "pulsante", rendendolo inutilizzabile per gli utenti che si affidano alle utilità per la lettura dello schermo. [Ulteriori informazioni] (https://web.dev/button-name/)</t>
  </si>
  <si>
    <t>Background and foreground colours do not have a sufficient contrast ratio.</t>
  </si>
  <si>
    <t>I colori di sfondo e di primo piano non hanno un rapporto di contrasto sufficiente.</t>
  </si>
  <si>
    <t>Il testo a basso contrasto è difficile o impossibile da leggere per molti utenti. [Ulteriori informazioni] (https://dequeuniversity.com/rules/axe/4.10/color-contrast)</t>
  </si>
  <si>
    <t>Form elements do not have associated labels</t>
  </si>
  <si>
    <t>Agli elementi form non sono associate etichette</t>
  </si>
  <si>
    <t>Le etichette assicurano che i controlli delle form vengano annunciati correttamente dalle tecnologie assistive, come gli screen reader. [Ulteriori informazioni] (https://web.dev/label/)</t>
  </si>
  <si>
    <t>L'elemento nascosto o vuoto riceve lo stato attivo</t>
  </si>
  <si>
    <t>Lo stato attivo della tastiera o lo scorrimento del touch screen si verifica su un elemento nascosto o vuoto. [Ulteriori informazioni] (https://docs.deque.com/issue-help/1.0.0/en/focus-on-hidden-item)</t>
  </si>
  <si>
    <t>Cambia il valore dell'ID usato piu di una volta, per essere sicuro che sia univoco</t>
  </si>
  <si>
    <t>Fornisci un attributo alt descrittivo per ogni immagine. Questo consente agli screen reader di descrivere l’immagine agli utenti con disabilità visive, migliorando l’accessibilità del contenuto visivo.</t>
  </si>
  <si>
    <t>Rimuovere user-scalable="no" dal &lt;meta name="viewport"&gt;: Questo attributo impedisce agli utenti di ingrandire la pagina, violando l'accessibilità. Permettere lo zoom offre maggiore flessibilità per gli utenti con esigenze visive specifiche.
Impostare [maximum-scale] a un valore pari o superiore a 5: Garantire che l'utente possa ingrandire fino al livello desiderato.
Verificare il reflow del contenuto: Dopo aver abilitato lo zoom, assicurarsi che i contenuti si adattino correttamente alle diverse scale senza richiedere lo scrolling orizzontale.</t>
  </si>
  <si>
    <t>Verificare che gli attributi ARIA utilizzati siano ammessi per i ruoli specificati negli elementi, consultando la documentazione ufficiale WAI-ARIA. Rimuovere o correggere gli attributi non validi per garantire conformità e compatibilità.</t>
  </si>
  <si>
    <t>Correggi uno dei seguenti problemi:
Il testo all'interno dell'elemento non è incluso nel nome accessibile</t>
  </si>
  <si>
    <t>Evita di nidificare elementi interattivi (es. un pulsante all'interno di un link). Ristruttura il codice per garantire che ogni controllo interattivo sia indipendente e non sovrapposto ad altri, ad esempio utilizzando uno stile o un elemento contenitore non interattivo.</t>
  </si>
  <si>
    <t>Aumenta le dimensioni degli elementi cliccabili (ad esempio pulsanti o link) a una dimensione minima di 24x24 px e garantisci uno spazio sufficiente attorno a essi utilizzando il padding o il margine, evitando che gli elementi siano troppo vicini tra loro.</t>
  </si>
  <si>
    <t>Modifica i colori del testo e/o dello sfondo dei controlli per garantire un rapporto di contrasto di almeno 4,5:1, inclusi gli stati attivo e hover.</t>
  </si>
  <si>
    <t>Usa elementi di lista come &lt;ul&gt;, &lt;ol&gt;, e &lt;li&gt; solo per contenuti che devono essere presentati in forma di elenco. Assicurati che le liste siano semanticamente corrette per evitare confusione</t>
  </si>
  <si>
    <t>Garantisci che quando una nuova finestra o un contenuto modale viene lanciato, il focus sia spostato automaticamente al nuovo contenuto per migliorare l'accessibilità e l'usabilità.</t>
  </si>
  <si>
    <t>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t>
  </si>
  <si>
    <t>Il nome accessibile dell'elemento non è presente o non è appropriato per lo scopo dell'elemento</t>
  </si>
  <si>
    <t>Il testo che agisce come intestazione visivamente o strutturalmente DOVREBBE essere designato come una intestazione nel markup (h1,h2,...).
Possibile soluzione:
Assicurarsi che il testo che funge da intestazione visiva sia marcato con i tag appropriati di intestazione HTML, come `&lt;h1&gt;`, `&lt;h2&gt;`, ecc. Questo aiuta a definire chiaramente la struttura della pagina per i lettori di schermo.</t>
  </si>
  <si>
    <t>Assegna a ogni pulsante un nome accessibile utilizzando il contenuto visibile (es. testo) o attributi come aria-label o aria-labelledby. Ad esempio: &lt;button aria-label="Invia"&gt;.</t>
  </si>
  <si>
    <t>Aumenta il contrasto tra testo e sfondo per rendere il contenuto leggibile da utenti con difficoltà visive. WCAG richiede un rapporto di almeno 4.5:1 per il testo normale e 3:1 per il testo grande, quindi scegli colori che rispettino queste soglie.</t>
  </si>
  <si>
    <t>Ogni campo del form dovrebbe avere un’etichetta associata tramite il tag &lt;label&gt; per facilitare l’interazione degli utenti che utilizzano tecnologie assistive. Le etichette devono descrivere chiaramente la funzione del campo.</t>
  </si>
  <si>
    <t xml:space="preserve">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t>
  </si>
  <si>
    <t>PDF0001</t>
  </si>
  <si>
    <t>Ensuring correct tab and reading order in PDF documents</t>
  </si>
  <si>
    <t xml:space="preserve">Specifying the document title using the Title entry in the document information dictionary of a PDF document </t>
  </si>
  <si>
    <t xml:space="preserve">Setting the default language using the /Lang entry in the document catalog of a PDF document </t>
  </si>
  <si>
    <t>Path object not tagged</t>
  </si>
  <si>
    <t>Image object not tagged</t>
  </si>
  <si>
    <t>Text object not tagged</t>
  </si>
  <si>
    <t>Text with insufficient contrast</t>
  </si>
  <si>
    <t>Title missing in document's XMP metadata</t>
  </si>
  <si>
    <t>"DisplayDocTitle" entry is not set</t>
  </si>
  <si>
    <t>Document language metadata contains a syntax error</t>
  </si>
  <si>
    <t>Natural language for text object cannot be determined</t>
  </si>
  <si>
    <t>PDF004</t>
  </si>
  <si>
    <t>PDF005</t>
  </si>
  <si>
    <t>PDF006</t>
  </si>
  <si>
    <t>PDF007</t>
  </si>
  <si>
    <t>PDF008</t>
  </si>
  <si>
    <t>PDF009</t>
  </si>
  <si>
    <t>PDF010</t>
  </si>
  <si>
    <t>PDF011</t>
  </si>
  <si>
    <t>PDF012</t>
  </si>
  <si>
    <t>PDF013</t>
  </si>
  <si>
    <t>PDF014</t>
  </si>
  <si>
    <t>Font not embedded</t>
  </si>
  <si>
    <t>PDF015</t>
  </si>
  <si>
    <t>PDF016</t>
  </si>
  <si>
    <t>PDF017</t>
  </si>
  <si>
    <t>PDF018</t>
  </si>
  <si>
    <t>PDF019</t>
  </si>
  <si>
    <t>PDF020</t>
  </si>
  <si>
    <t>PDF021</t>
  </si>
  <si>
    <t>PDF022</t>
  </si>
  <si>
    <t>PDF023</t>
  </si>
  <si>
    <t>PDF024</t>
  </si>
  <si>
    <t>PDF025</t>
  </si>
  <si>
    <t>PDF026</t>
  </si>
  <si>
    <t>PDF027</t>
  </si>
  <si>
    <t>PDF028</t>
  </si>
  <si>
    <t>PDF029</t>
  </si>
  <si>
    <t>PDF030</t>
  </si>
  <si>
    <t>PDF031</t>
  </si>
  <si>
    <t>PDF032</t>
  </si>
  <si>
    <t>PDF033</t>
  </si>
  <si>
    <t>PDF034</t>
  </si>
  <si>
    <t>PDF035</t>
  </si>
  <si>
    <t>PDF036</t>
  </si>
  <si>
    <t>PDF037</t>
  </si>
  <si>
    <t>PDF038</t>
  </si>
  <si>
    <t>Alternative text missing for "Figure" structure element</t>
  </si>
  <si>
    <t>Table header cell has no associated subcells</t>
  </si>
  <si>
    <t>Natural language of alternative text cannot be determined</t>
  </si>
  <si>
    <t>PDF039</t>
  </si>
  <si>
    <t>PDF040</t>
  </si>
  <si>
    <t>PDF041</t>
  </si>
  <si>
    <t>PDF042</t>
  </si>
  <si>
    <t>PDF043</t>
  </si>
  <si>
    <t>PDF044</t>
  </si>
  <si>
    <t>PDF045</t>
  </si>
  <si>
    <t>PDF046</t>
  </si>
  <si>
    <t>PDF047</t>
  </si>
  <si>
    <t>PDF048</t>
  </si>
  <si>
    <t>PDF049</t>
  </si>
  <si>
    <t>PDF050</t>
  </si>
  <si>
    <t>Alternative description missing for an annotation</t>
  </si>
  <si>
    <t>PDF051</t>
  </si>
  <si>
    <t>PDF052</t>
  </si>
  <si>
    <t>PDF053</t>
  </si>
  <si>
    <t>PDF054</t>
  </si>
  <si>
    <t>PDF055</t>
  </si>
  <si>
    <t>PDF056</t>
  </si>
  <si>
    <t>PDF057</t>
  </si>
  <si>
    <t>PDF058</t>
  </si>
  <si>
    <t>Fail on MPDF1</t>
  </si>
  <si>
    <t xml:space="preserve">Utilizza i tag per specificare la struttura logica del PDF </t>
  </si>
  <si>
    <t>Utilizza i tag per specificare la struttura logica del PDF (https://www.w3.org/TR/WCAG20-TECHS/pdf#pdf_notes_acc-sup_tagged)</t>
  </si>
  <si>
    <t>Mauve++</t>
  </si>
  <si>
    <t>Cambiare la struttura del PDF a Tagged PDF</t>
  </si>
  <si>
    <t>Fail on PDF9</t>
  </si>
  <si>
    <t xml:space="preserve">Fornire intestazioni contrassegnando il contenuto con tag di intestazione nei documenti PDF </t>
  </si>
  <si>
    <t>Fornire intestazioni contrassegnando il contenuto con tag di intestazione nei documenti PDF (https://www.w3.org/WAI/WCAG22/Techniques/pdf/PDF9)</t>
  </si>
  <si>
    <t>I documenti pdf devono avere gli heading correttamente marcati:
- Aggiungendo o modificando i tag heading su prodotti di modifica PDF
- Creando documenti in programmi Word usando lo styling corretto per la conversione in PDF
- Marcando gli heading usando elementi /Hn</t>
  </si>
  <si>
    <t>Fail on PDF3</t>
  </si>
  <si>
    <t xml:space="preserve">Garantire il corretto ordine di tabulazione e di lettura nei documenti PDF </t>
  </si>
  <si>
    <t>Garantire il corretto ordine di tabulazione e di lettura nei documenti PDF (https://www.w3.org/WAI/WCAG22/Techniques/pdf/PDF3)</t>
  </si>
  <si>
    <t>Imposta l'ordine di scorrimento degli elementi su una pagina utilizzando l'opzione "Struttura documento"</t>
  </si>
  <si>
    <t>Fail on PDF18</t>
  </si>
  <si>
    <t xml:space="preserve">Specificare il titolo del documento utilizzando la voce Titolo nel dizionario delle informazioni di un documento PDF </t>
  </si>
  <si>
    <t>Specificare il titolo del documento utilizzando la voce Titolo nel dizionario delle informazioni di un documento PDF (https://www.w3.org/WAI/WCAG22/Techniques/pdf/PDF18)</t>
  </si>
  <si>
    <t>Imposta il nuovo titolo PDF</t>
  </si>
  <si>
    <t>Fail on PDF16</t>
  </si>
  <si>
    <t>Blind;Cognitive;Deafblind</t>
  </si>
  <si>
    <t>Impostazione della lingua predefinita utilizzando la voce /Lang nel catalogo documenti di un documento PDF</t>
  </si>
  <si>
    <t>Impostazione della lingua predefinita utilizzando la voce /Lang nel catalogo documenti di un documento PDF (https://www.w3.org/WAI/WCAG22/Techniques/pdf/PDF16)</t>
  </si>
  <si>
    <t>Seleziona la lingua principale del PDF</t>
  </si>
  <si>
    <t>Fail on PDF1</t>
  </si>
  <si>
    <t>Documento non contrassegnato come taggato</t>
  </si>
  <si>
    <t>Documento non contrassegnato come taggato (https://www.w3.org/WAI/WCAG21/Techniques/pdf/PDF1)</t>
  </si>
  <si>
    <t>Contrassegnare tutto il documento come taggato per consentire l'accesso agli screen reader. In Adobe Acrobat, selezionare Aggiungi tag al documento.</t>
  </si>
  <si>
    <t>Oggetto di percorso non taggato</t>
  </si>
  <si>
    <t>Oggetto di percorso non taggato (https://www.w3.org/WAI/WCAG21/Techniques/pdf/PDF1)</t>
  </si>
  <si>
    <t>Assicurarsi che tutti gli oggetti grafici di tipo percorso siano taggati. In Adobe Acrobat, selezionare l'oggetto e aggiungere un tag appropriato nella struttura dei tag.</t>
  </si>
  <si>
    <t>Oggetto immagine non taggato</t>
  </si>
  <si>
    <t>Oggetto immagine non taggato (https://www.w3.org/WAI/WCAG21/Techniques/pdf/PDF1)</t>
  </si>
  <si>
    <t>Taggare ogni immagine e fornire una descrizione significativa per l'accesso tramite lettori di schermo. Usare Strumenti &gt; Accessibilità &gt; Aggiungi tag all'immagine</t>
  </si>
  <si>
    <t>Oggetto testo non taggato</t>
  </si>
  <si>
    <t>Oggetto testo non taggato (https://www.w3.org/WAI/WCAG21/Techniques/pdf/PDF1)</t>
  </si>
  <si>
    <t>Assicurarsi che tutti i blocchi di testo siano taggati correttamente nella struttura PDF per l’accesso con screen reader. In Adobe Acrobat, usare l'opzione Aggiungi tag al documento.</t>
  </si>
  <si>
    <t>Fail on G18</t>
  </si>
  <si>
    <t>Testo con contrasto insufficiente</t>
  </si>
  <si>
    <t>Testo con contrasto insufficiente (https://www.w3.org/WAI/WCAG21/Techniques/general/G18)</t>
  </si>
  <si>
    <t>Regolare il contrasto tra testo e sfondo, assicurandosi che rispetti il rapporto minimo di contrasto di 4.5:1. Modificare il colore del testo o dello sfondo nel software di editing.</t>
  </si>
  <si>
    <t>Fail on G88</t>
  </si>
  <si>
    <t>Cognitive;Mobility;Sighted Keyboard Users</t>
  </si>
  <si>
    <t>Titolo mancante nei metadati XMP del documento</t>
  </si>
  <si>
    <t>Titolo mancante nei metadati XMP del documento (https://www.w3.org/WAI/WCAG21/Techniques/general/G88)</t>
  </si>
  <si>
    <t>Aggiungere un titolo descrittivo nei metadati del documento (XMP), che aiuti gli utenti a identificare facilmente il contenuto. In Adobe Acrobat, andare su File &gt; Proprietà &gt; Descrizione e inserire un titolo.</t>
  </si>
  <si>
    <t>4 - Minor</t>
  </si>
  <si>
    <t>Cognitive</t>
  </si>
  <si>
    <t>"DisplayDocTitle" non impostato</t>
  </si>
  <si>
    <t>"DisplayDocTitle" non impostato (https://www.w3.org/WAI/WCAG21/Techniques/general/G88)</t>
  </si>
  <si>
    <t>Impostare l’opzione "DisplayDocTitle" per mostrare il titolo del documento anziché il nome file. In Acrobat, andare su File &gt; Proprietà &gt; Visualizzazione iniziale e selezionare “Mostra titolo documento”.</t>
  </si>
  <si>
    <t>Fail on H57</t>
  </si>
  <si>
    <t>I metadati della lingua del documento contengono un errore di sintassi</t>
  </si>
  <si>
    <t>I metadati della lingua del documento contengono un errore di sintassi (https://www.w3.org/WAI/WCAG21/Techniques/html/H57)</t>
  </si>
  <si>
    <t>Correggere l'errore di sintassi nei metadati della lingua per consentire ai lettori di schermo di riconoscere correttamente la lingua.</t>
  </si>
  <si>
    <t>Fail on PDF19</t>
  </si>
  <si>
    <t>La lingua naturale per un oggetto di testo non può essere determinata.</t>
  </si>
  <si>
    <t>La lingua naturale per un oggetto di testo non può essere determinata. (https://www.w3.org/TR/WCAG20-TECHS/PDF19.html)</t>
  </si>
  <si>
    <t>In Adobe Acrobat Pro, vai su File &gt; Proprietà &gt; Avanzate e imposta la lingua predefinita del documento. Usa strumenti di verifica per controllare che tutti gli oggetti di testo ereditino correttamente questa impostazione.</t>
  </si>
  <si>
    <t>Fail on G117</t>
  </si>
  <si>
    <t>Font non incorporato</t>
  </si>
  <si>
    <t>Font non incorporato (https://www.w3.org/WAI/WCAG22/Techniques/general/G117.html)</t>
  </si>
  <si>
    <t>Non comunicare informazioni solo tramite cambi visivi. Utilizzare font, bold face, font size, underline e altri attributi di testo necessita che le informazioni comunicate visivamente debbano essere comunicate altrove anche via testo</t>
  </si>
  <si>
    <t>Fail on H37</t>
  </si>
  <si>
    <t>Testo alternativo mancante per l'elemento struttura "Figura"</t>
  </si>
  <si>
    <t>Testo alternativo mancante per l'elemento struttura "Figura" (https://www.w3.org/WAI/WCAG21/Techniques/html/H37)</t>
  </si>
  <si>
    <t>Fornire testo alternativo descrittivo per ogni elemento "Figure" in modo che sia comprensibile tramite lettori di schermo. È possibile aggiungere il testo alternativo in Adobe Acrobat andando su Strumenti &gt; Accessibilità &gt; Modifica testo alternativo.</t>
  </si>
  <si>
    <t>Fail on H63</t>
  </si>
  <si>
    <t>Cella di intestazione della tabella senza celle associate</t>
  </si>
  <si>
    <t>Cella di intestazione della tabella senza celle associate (https://www.w3.org/WAI/WCAG21/Techniques/html/H63)</t>
  </si>
  <si>
    <t>Associare ciascuna cella di intestazione alle celle di dati corrispondenti utilizzando attributi scope o id. In Acrobat, aggiungere tag di intestazione nella struttura della tabella.</t>
  </si>
  <si>
    <t>Fail on G410</t>
  </si>
  <si>
    <t>Il linguaggio naturale del testo alternativo non può essere determinato</t>
  </si>
  <si>
    <t>Il testo alternativo dell’immagine non ha la lingua dichiarata, impedendo ai lettori di schermo di applicare la corretta pronuncia. (https://www.w3.org/WAI/WCAG21/Techniques/general/G140)</t>
  </si>
  <si>
    <t>Impostare la lingua del testo alternativo in modo coerente con la lingua del contenuto circostante. In Adobe Acrobat, modificare le proprietà dell’elemento e selezionare la lingua appropriata.</t>
  </si>
  <si>
    <t>Fail on H30</t>
  </si>
  <si>
    <t>Descrizione alternativa mancante per un'annotazione</t>
  </si>
  <si>
    <t>Descrizione alternativa mancante per un'annotazione (https://www.w3.org/WAI/WCAG22/Techniques/html/H30.html)</t>
  </si>
  <si>
    <t>Quando un'immagine è l'unico contenuto di un link, il testo alternativo per l'immagine descrive la funzione unica del link.
Quando il contenuto di un link contiene sia testo che una o più immagini, se il testo è sufficiente a descrivere lo scopo del link, le immagini possono avere un'alternativa di testo vuota.</t>
  </si>
  <si>
    <t>PDF0002</t>
  </si>
  <si>
    <t>PDF0003</t>
  </si>
  <si>
    <t>PDF0004</t>
  </si>
  <si>
    <t>PDF0005</t>
  </si>
  <si>
    <t>PDF0006</t>
  </si>
  <si>
    <t>PDF0007</t>
  </si>
  <si>
    <t>PDF0008</t>
  </si>
  <si>
    <t>PDF0009</t>
  </si>
  <si>
    <t>PDF0010</t>
  </si>
  <si>
    <t>PDF0011</t>
  </si>
  <si>
    <t>PDF0012</t>
  </si>
  <si>
    <t>PDF0013</t>
  </si>
  <si>
    <t>PDF0014</t>
  </si>
  <si>
    <t>PDF0015</t>
  </si>
  <si>
    <t>PDF0016</t>
  </si>
  <si>
    <t>PDF0017</t>
  </si>
  <si>
    <t>PDF0018</t>
  </si>
  <si>
    <t>PDF0019</t>
  </si>
  <si>
    <t>PDF0020</t>
  </si>
  <si>
    <t>PDF0021</t>
  </si>
  <si>
    <t>PDF0022</t>
  </si>
  <si>
    <t>PDF0023</t>
  </si>
  <si>
    <t>PDF0024</t>
  </si>
  <si>
    <t>PDF0025</t>
  </si>
  <si>
    <t>PDF0026</t>
  </si>
  <si>
    <t>PDF0027</t>
  </si>
  <si>
    <t>PDF0028</t>
  </si>
  <si>
    <t>PDF0029</t>
  </si>
  <si>
    <t>PDF0030</t>
  </si>
  <si>
    <t>PDF0031</t>
  </si>
  <si>
    <t>PDF0032</t>
  </si>
  <si>
    <t>PDF0033</t>
  </si>
  <si>
    <t>PDF0034</t>
  </si>
  <si>
    <t>PDF0035</t>
  </si>
  <si>
    <t>PDF0036</t>
  </si>
  <si>
    <t>PDF0037</t>
  </si>
  <si>
    <t>PDF0038</t>
  </si>
  <si>
    <t>PDF0039</t>
  </si>
  <si>
    <t>PDF0040</t>
  </si>
  <si>
    <t>PDF0041</t>
  </si>
  <si>
    <t>PDF0042</t>
  </si>
  <si>
    <t>PDF0043</t>
  </si>
  <si>
    <t>PDF0044</t>
  </si>
  <si>
    <t>PDF0045</t>
  </si>
  <si>
    <t>PDF0046</t>
  </si>
  <si>
    <t>PDF0047</t>
  </si>
  <si>
    <t>PDF0048</t>
  </si>
  <si>
    <t>PDF0049</t>
  </si>
  <si>
    <t>PDF0050</t>
  </si>
  <si>
    <t>PDF0051</t>
  </si>
  <si>
    <t>PDF0052</t>
  </si>
  <si>
    <t>PDF0053</t>
  </si>
  <si>
    <t>PDF0054</t>
  </si>
  <si>
    <t>PDF0055</t>
  </si>
  <si>
    <t>PDF0056</t>
  </si>
  <si>
    <t>PDF0057</t>
  </si>
  <si>
    <t>PDF0058</t>
  </si>
  <si>
    <t>#01</t>
  </si>
  <si>
    <t>#02</t>
  </si>
  <si>
    <t>#03</t>
  </si>
  <si>
    <t>#04</t>
  </si>
  <si>
    <t>#05</t>
  </si>
  <si>
    <t>Pass</t>
  </si>
  <si>
    <t>Insurance Brocker</t>
  </si>
  <si>
    <t>TM0224</t>
  </si>
  <si>
    <t>https://axe.deque.com/issues/da082352-9ede-4981-b435-9b0575aaec1a</t>
  </si>
  <si>
    <t>https://axe.deque.com/issues/e1d6b05f-02e5-4c24-91d5-d74dc0a660e3</t>
  </si>
  <si>
    <t>https://axe.deque.com/issues/0dffff42-1945-4753-8c98-f8ab51dba56c</t>
  </si>
  <si>
    <t>["#heading-item-posteinsurancebrokerposteinsurancebroker-moduliguidare-sicuri-fase-di-vendita-faq-accordion-perottenereunaquotazioneonlinecherequisitidevoavere-0-0"]</t>
  </si>
  <si>
    <t>&lt;div class="panel-heading" role="tab" tabindex="0" id="heading-item-posteinsurancebrokerposteinsurancebroker-moduliguidare-sicuri-fase-di-vendita-faq-accordion-perottenereunaquotazioneonlinecherequisitidevoavere-0-0"&gt;</t>
  </si>
  <si>
    <t>https://axe.deque.com/issues/42880515-9a89-4007-987f-c4b76dcc3ffb</t>
  </si>
  <si>
    <t>["#heading-item-posteinsurancebrokerposteinsurancebroker-moduliguidare-sicuri-fase-di-vendita-faq-accordion-semprepossibileottenereunaquotazioneonlinesesonounutenteregistratoposteit-1-1"]</t>
  </si>
  <si>
    <t>&lt;div class="panel-heading" role="tab" tabindex="0" id="heading-item-posteinsurancebrokerposteinsurancebroker-moduliguidare-sicuri-fase-di-vendita-faq-accordion-semprepossibileottenereunaquotazioneonlinesesonounutenteregistratoposteit-1-1"&gt;</t>
  </si>
  <si>
    <t>https://axe.deque.com/issues/9c05b4cb-8d9b-485a-a689-ae21d76bdac8</t>
  </si>
  <si>
    <t>["#heading-item-posteinsurancebrokerposteinsurancebroker-moduliguidare-sicuri-fase-di-vendita-faq-accordion-possoaggiungereulteriorigaranzieoltrequellepresentinellaquotazioneonline-2-2"]</t>
  </si>
  <si>
    <t>&lt;div class="panel-heading" role="tab" tabindex="0" id="heading-item-posteinsurancebrokerposteinsurancebroker-moduliguidare-sicuri-fase-di-vendita-faq-accordion-possoaggiungereulteriorigaranzieoltrequellepresentinellaquotazioneonline-2-2"&gt;</t>
  </si>
  <si>
    <t>https://axe.deque.com/issues/32fd5a3a-7e70-4adc-9f20-1b51c1b154a8</t>
  </si>
  <si>
    <t>["#heading-item-posteinsurancebrokerposteinsurancebroker-moduliguidare-sicuri-fase-di-vendita-faq-accordion-contantecompagniecheoffronopolizzeautoperchacquistarelapolizzaalleposte-3-3"]</t>
  </si>
  <si>
    <t>&lt;div class="panel-heading" role="tab" tabindex="0" id="heading-item-posteinsurancebrokerposteinsurancebroker-moduliguidare-sicuri-fase-di-vendita-faq-accordion-contantecompagniecheoffronopolizzeautoperchacquistarelapolizzaalleposte-3-3"&gt;</t>
  </si>
  <si>
    <t>https://axe.deque.com/issues/36895502-55f9-4b1c-842f-d9e87f88d0f2</t>
  </si>
  <si>
    <t>["#heading-item-posteinsurancebrokerposteinsurancebroker-moduliguidare-sicuri-fase-di-vendita-faq-accordion-checosasiintendeperrcfamiliare-4-4"]</t>
  </si>
  <si>
    <t>&lt;div class="panel-heading" role="tab" tabindex="0" id="heading-item-posteinsurancebrokerposteinsurancebroker-moduliguidare-sicuri-fase-di-vendita-faq-accordion-checosasiintendeperrcfamiliare-4-4"&gt;</t>
  </si>
  <si>
    <t>https://axe.deque.com/issues/8ea373c3-4580-4881-82d4-775168b15000</t>
  </si>
  <si>
    <t>["#heading-item-posteinsurancebrokerposteinsurancebroker-moduliguidare-sicuri-fase-di-vendita-faq-accordion-cosasiintendeperclassedimeritoconversioneuniversale-5-5"]</t>
  </si>
  <si>
    <t>&lt;div class="panel-heading" role="tab" tabindex="0" id="heading-item-posteinsurancebrokerposteinsurancebroker-moduliguidare-sicuri-fase-di-vendita-faq-accordion-cosasiintendeperclassedimeritoconversioneuniversale-5-5"&gt;</t>
  </si>
  <si>
    <t>https://axe.deque.com/issues/59d2dda1-96f6-46f7-b194-2ae14db5ffbe</t>
  </si>
  <si>
    <t>["#heading-item-posteinsurancebrokerposteinsurancebroker-moduliguidare-sicuri-fase-di-vendita-faq-accordion-cosasiintendepersistemadibonusmalus-6-6"]</t>
  </si>
  <si>
    <t>&lt;div class="panel-heading" role="tab" tabindex="0" id="heading-item-posteinsurancebrokerposteinsurancebroker-moduliguidare-sicuri-fase-di-vendita-faq-accordion-cosasiintendepersistemadibonusmalus-6-6"&gt;</t>
  </si>
  <si>
    <t>https://axe.deque.com/issues/93f3f4f3-5d26-4897-9050-a49b6b6691bd</t>
  </si>
  <si>
    <t>["#heading-item-posteinsurancebrokerposteinsurancebroker-moduliguidare-sicuri-fase-di-vendita-faq-accordion-possibileassicurarelautodiunfamiliareusufruendodelloscontodedicatoaiclientibancoposta-7-7"]</t>
  </si>
  <si>
    <t>&lt;div class="panel-heading" role="tab" tabindex="0" id="heading-item-posteinsurancebrokerposteinsurancebroker-moduliguidare-sicuri-fase-di-vendita-faq-accordion-possibileassicurarelautodiunfamiliareusufruendodelloscontodedicatoaiclientibancoposta-7-7"&gt;</t>
  </si>
  <si>
    <t>https://axe.deque.com/issues/0ffa3fd1-d50c-488f-bafb-3f0888b4dff8</t>
  </si>
  <si>
    <t>["#heading-item-posteinsurancebrokerposteinsurancebroker-moduliguidare-sicuri-fase-di-vendita-faq-accordion-possibileutilizzarelattestatodirischiodiunveicolovendutodemolitorottamatoesportatoallesterorubatopostoincontovendita-8-8"]</t>
  </si>
  <si>
    <t>&lt;div class="panel-heading" role="tab" tabindex="0" id="heading-item-posteinsurancebrokerposteinsurancebroker-moduliguidare-sicuri-fase-di-vendita-faq-accordion-possibileutilizzarelattestatodirischiodiunveicolovendutodemolitorottamatoesportatoallesterorubatopostoincontovendita-8-8"&gt;</t>
  </si>
  <si>
    <t>https://axe.deque.com/issues/2d81dd6e-5dc7-46ee-9a3b-64131585aae4</t>
  </si>
  <si>
    <t>["#heading-item-posteinsurancebrokerposteinsurancebroker-moduliguidare-sicuri-fase-di-vendita-faq-accordion-possoutilizzarelattestatodirischiodiunmiofamiliare-9-9"]</t>
  </si>
  <si>
    <t>&lt;div class="panel-heading" role="tab" tabindex="0" id="heading-item-posteinsurancebrokerposteinsurancebroker-moduliguidare-sicuri-fase-di-vendita-faq-accordion-possoutilizzarelattestatodirischiodiunmiofamiliare-9-9"&gt;</t>
  </si>
  <si>
    <t>https://axe.deque.com/issues/50baf828-a7cd-44ba-96c0-996bf93f173c</t>
  </si>
  <si>
    <t>["#heading-item-posteinsurancebrokerposteinsurancebroker-moduliguidare-sicuri-fase-di-vendita-faq-accordion-possibileassicurareunveicolodiversodallauto-10-10"]</t>
  </si>
  <si>
    <t>&lt;div class="panel-heading" role="tab" tabindex="0" id="heading-item-posteinsurancebrokerposteinsurancebroker-moduliguidare-sicuri-fase-di-vendita-faq-accordion-possibileassicurareunveicolodiversodallauto-10-10"&gt;</t>
  </si>
  <si>
    <t>https://axe.deque.com/issues/c3e4d77e-79db-4886-91e7-f5df98cb63ce</t>
  </si>
  <si>
    <t>["#heading-item-posteinsurancebrokerposteinsurancebroker-moduliguidare-sicuri-fase-di-vendita-faq-accordion-checosilquestionariodiadeguatezzaobbligatorio-11-11"]</t>
  </si>
  <si>
    <t>&lt;div class="panel-heading" role="tab" tabindex="0" id="heading-item-posteinsurancebrokerposteinsurancebroker-moduliguidare-sicuri-fase-di-vendita-faq-accordion-checosilquestionariodiadeguatezzaobbligatorio-11-11"&gt;</t>
  </si>
  <si>
    <t>https://axe.deque.com/issues/1f062645-6539-4ecc-8019-265fa67023cf</t>
  </si>
  <si>
    <t>["#heading-item-posteinsurancebrokerposteinsurancebroker-moduliguidare-sicuri-fase-di-vendita-faq-accordion-hodirittoaqualchescontosullamiapolizzacomeclientebancoposta-12-12"]</t>
  </si>
  <si>
    <t>&lt;div class="panel-heading" role="tab" tabindex="0" id="heading-item-posteinsurancebrokerposteinsurancebroker-moduliguidare-sicuri-fase-di-vendita-faq-accordion-hodirittoaqualchescontosullamiapolizzacomeclientebancoposta-12-12"&gt;</t>
  </si>
  <si>
    <t>https://axe.deque.com/issues/b258a2ac-3f66-4ef5-8a62-21e1a0504286</t>
  </si>
  <si>
    <t>["#heading-item-posteinsurancebrokerposteinsurancebroker-moduliguidare-sicuri-fase-di-vendita-faq-accordion-quantotempocivuoleperfinalizzarelapolizzadopoaverconsegnatoladocumentazionenecessaria-13-13"]</t>
  </si>
  <si>
    <t>&lt;div class="panel-heading" role="tab" tabindex="0" id="heading-item-posteinsurancebrokerposteinsurancebroker-moduliguidare-sicuri-fase-di-vendita-faq-accordion-quantotempocivuoleperfinalizzarelapolizzadopoaverconsegnatoladocumentazionenecessaria-13-13"&gt;</t>
  </si>
  <si>
    <t>https://axe.deque.com/issues/d5816085-cfe9-45f0-b1f9-ebcd704f28e7</t>
  </si>
  <si>
    <t>["#heading-item-posteinsurancebrokerposteinsurancebroker-moduliguidare-sicuri-fase-di-vendita-faq-accordion-perquantorimanevalidoilpreventivo-14-14"]</t>
  </si>
  <si>
    <t>&lt;div class="panel-heading" role="tab" tabindex="0" id="heading-item-posteinsurancebrokerposteinsurancebroker-moduliguidare-sicuri-fase-di-vendita-faq-accordion-perquantorimanevalidoilpreventivo-14-14"&gt;</t>
  </si>
  <si>
    <t>https://axe.deque.com/issues/ff7ba6ab-a525-42fa-bf0f-d49354ca24d0</t>
  </si>
  <si>
    <t>["#heading-item-posteinsurancebrokerposteinsurancebroker-moduliguidare-sicuri-fase-di-vendita-faq-accordion-laumentodellaclassebonusmalusdipendedallentitdeldannoprovocato-15-15"]</t>
  </si>
  <si>
    <t>&lt;div class="panel-heading" role="tab" tabindex="0" id="heading-item-posteinsurancebrokerposteinsurancebroker-moduliguidare-sicuri-fase-di-vendita-faq-accordion-laumentodellaclassebonusmalusdipendedallentitdeldannoprovocato-15-15"&gt;</t>
  </si>
  <si>
    <t>https://axe.deque.com/issues/2a5c0b84-6184-40e7-9e39-6a7d0a38c7bd</t>
  </si>
  <si>
    <t>["#heading-item-posteinsurancebrokerposteinsurancebroker-moduliguidare-sicuri-fase-di-vendita-faq-accordion-necessarioindicareilconducenteabitualedellauto-16-16"]</t>
  </si>
  <si>
    <t>&lt;div class="panel-heading" role="tab" tabindex="0" id="heading-item-posteinsurancebrokerposteinsurancebroker-moduliguidare-sicuri-fase-di-vendita-faq-accordion-necessarioindicareilconducenteabitualedellauto-16-16"&gt;</t>
  </si>
  <si>
    <t>https://axe.deque.com/issues/1694c7e7-e4c2-4340-a736-28e37d374005</t>
  </si>
  <si>
    <t>["#heading-item-posteinsurancebrokerposteinsurancebroker-moduliguidare-sicuri-fase-di-vendita-faq-accordion-possibilemodificareilpreventivoemessoinufficiopostaleunavoltagenerato-17-17"]</t>
  </si>
  <si>
    <t>&lt;div class="panel-heading" role="tab" tabindex="0" id="heading-item-posteinsurancebrokerposteinsurancebroker-moduliguidare-sicuri-fase-di-vendita-faq-accordion-possibilemodificareilpreventivoemessoinufficiopostaleunavoltagenerato-17-17"&gt;</t>
  </si>
  <si>
    <t>https://axe.deque.com/issues/7bf8cfa6-b004-4cd7-ad6c-b81544ddc79f</t>
  </si>
  <si>
    <t>["#heading-item-posteinsurancebrokerposteinsurancebroker-moduliguidare-sicuri-fase-di-vendita-faq-accordion-possibileassicurareilganciotrainoedilrimorchio-18-18"]</t>
  </si>
  <si>
    <t>&lt;div class="panel-heading" role="tab" tabindex="0" id="heading-item-posteinsurancebrokerposteinsurancebroker-moduliguidare-sicuri-fase-di-vendita-faq-accordion-possibileassicurareilganciotrainoedilrimorchio-18-18"&gt;</t>
  </si>
  <si>
    <t>https://axe.deque.com/issues/0965224b-7d6c-4b15-95d3-595a0b9f693a</t>
  </si>
  <si>
    <t>["#heading-item-posteinsurancebrokerposteinsurancebroker-moduliguidare-sicuri-fase-di-vendita-faq-accordion-cosasiintendeperdirittodirivalsa-19-19"]</t>
  </si>
  <si>
    <t>&lt;div class="panel-heading" role="tab" tabindex="0" id="heading-item-posteinsurancebrokerposteinsurancebroker-moduliguidare-sicuri-fase-di-vendita-faq-accordion-cosasiintendeperdirittodirivalsa-19-19"&gt;</t>
  </si>
  <si>
    <t>https://axe.deque.com/issues/2c1b8581-ff69-4972-99d8-c35a19db8c82</t>
  </si>
  <si>
    <t>["#heading-item-posteinsurancebrokerposteinsurancebroker-moduliguidare-sicuri-fase-di-vendita-faq-accordion-cosildispositivosatellitare-20-20"]</t>
  </si>
  <si>
    <t>&lt;div class="panel-heading" role="tab" tabindex="0" id="heading-item-posteinsurancebrokerposteinsurancebroker-moduliguidare-sicuri-fase-di-vendita-faq-accordion-cosildispositivosatellitare-20-20"&gt;</t>
  </si>
  <si>
    <t>https://axe.deque.com/issues/1e7d4769-ed94-4b53-a2d4-dfb16ccb5cac</t>
  </si>
  <si>
    <t>["#heading-item-posteinsurancebrokerposteinsurancebroker-moduliguidare-sicuri-fase-di-vendita-faq-accordion-checopertureoffrelagaranziaprotezioneimprevisti-21-21"]</t>
  </si>
  <si>
    <t>&lt;div class="panel-heading" role="tab" tabindex="0" id="heading-item-posteinsurancebrokerposteinsurancebroker-moduliguidare-sicuri-fase-di-vendita-faq-accordion-checopertureoffrelagaranziaprotezioneimprevisti-21-21"&gt;</t>
  </si>
  <si>
    <t>https://axe.deque.com/issues/a8a06a4f-d984-4cb0-ad66-96975d07fe5a</t>
  </si>
  <si>
    <t>["#heading-item-posteinsurancebrokerposteinsurancebroker-moduliguidare-sicuri-fase-di-vendita-faq-accordion-cisonodellecopertureaggiuntiveincasodiacquistodellagaranziarca-22-22"]</t>
  </si>
  <si>
    <t>&lt;div class="panel-heading" role="tab" tabindex="0" id="heading-item-posteinsurancebrokerposteinsurancebroker-moduliguidare-sicuri-fase-di-vendita-faq-accordion-cisonodellecopertureaggiuntiveincasodiacquistodellagaranziarca-22-22"&gt;</t>
  </si>
  <si>
    <t>https://axe.deque.com/issues/61b173eb-3938-4ec0-9341-7db921d86d7c</t>
  </si>
  <si>
    <t>["#heading-item-posteinsurancebrokerposteinsurancebroker-moduliguidare-sicuri-fase-di-vendita-faq-accordion-conpolizzarcasonocopertoancheperidanninelleareeprivate-23-23"]</t>
  </si>
  <si>
    <t>&lt;div class="panel-heading" role="tab" tabindex="0" id="heading-item-posteinsurancebrokerposteinsurancebroker-moduliguidare-sicuri-fase-di-vendita-faq-accordion-conpolizzarcasonocopertoancheperidanninelleareeprivate-23-23"&gt;</t>
  </si>
  <si>
    <t>https://axe.deque.com/issues/27018125-daf2-4541-9088-ee0d2598b59c</t>
  </si>
  <si>
    <t>["#heading-item-posteinsurancebrokerposteinsurancebroker-moduliguidare-sicuri-fase-di-vendita-faq-accordion-checopertureoffrelagaranziaassistenzastradale-24-24"]</t>
  </si>
  <si>
    <t>&lt;div class="panel-heading" role="tab" tabindex="0" id="heading-item-posteinsurancebrokerposteinsurancebroker-moduliguidare-sicuri-fase-di-vendita-faq-accordion-checopertureoffrelagaranziaassistenzastradale-24-24"&gt;</t>
  </si>
  <si>
    <t>https://axe.deque.com/issues/dcb204a9-49a6-4fcb-aba6-9a27ee844aa3</t>
  </si>
  <si>
    <t>["#heading-item-posteinsurancebrokerposteinsurancebroker-moduliguidare-sicuri-fase-di-vendita-faq-accordion-checopertureoffrelagaranziakaskocollisione-25-25"]</t>
  </si>
  <si>
    <t>&lt;div class="panel-heading" role="tab" tabindex="0" id="heading-item-posteinsurancebrokerposteinsurancebroker-moduliguidare-sicuri-fase-di-vendita-faq-accordion-checopertureoffrelagaranziakaskocollisione-25-25"&gt;</t>
  </si>
  <si>
    <t>https://axe.deque.com/issues/285cf165-1b5f-491c-ba93-fe484303ad0d</t>
  </si>
  <si>
    <t>["#heading-item-posteinsurancebrokerposteinsurancebroker-moduliguidare-sicuri-fase-di-vendita-faq-accordion-qualladifferenzatralagaranziakaskocollisioneelagaranziakaskocompleta-26-26"]</t>
  </si>
  <si>
    <t>&lt;div class="panel-heading" role="tab" tabindex="0" id="heading-item-posteinsurancebrokerposteinsurancebroker-moduliguidare-sicuri-fase-di-vendita-faq-accordion-qualladifferenzatralagaranziakaskocollisioneelagaranziakaskocompleta-26-26"&gt;</t>
  </si>
  <si>
    <t>https://axe.deque.com/issues/0a3538a5-0ccd-44b9-bd05-3af56e564972</t>
  </si>
  <si>
    <t>["#heading-item-posteinsurancebrokerposteinsurancebroker-moduliguidare-sicuri-fase-di-vendita-faq-accordion-lautoassicuratapuessereguidataanchedaminoridi25anni-27-27"]</t>
  </si>
  <si>
    <t>&lt;div class="panel-heading" role="tab" tabindex="0" id="heading-item-posteinsurancebrokerposteinsurancebroker-moduliguidare-sicuri-fase-di-vendita-faq-accordion-lautoassicuratapuessereguidataanchedaminoridi25anni-27-27"&gt;</t>
  </si>
  <si>
    <t>https://axe.deque.com/issues/dfdb7f30-a8ce-4d80-9679-6474f2a6b843</t>
  </si>
  <si>
    <t>["#heading-item-posteinsurancebrokerposteinsurancebroker-moduliguidare-sicuri-fase-di-vendita-faq-accordion-sonoprevistedelleagevolazioniincasodisinistrigravi-28-28"]</t>
  </si>
  <si>
    <t>&lt;div class="panel-heading" role="tab" tabindex="0" id="heading-item-posteinsurancebrokerposteinsurancebroker-moduliguidare-sicuri-fase-di-vendita-faq-accordion-sonoprevistedelleagevolazioniincasodisinistrigravi-28-28"&gt;</t>
  </si>
  <si>
    <t>https://axe.deque.com/issues/bfb724db-f5bc-403f-a2ac-1a8e06e04570</t>
  </si>
  <si>
    <t>["#heading-item-posteinsurancebrokerposteinsurancebroker-moduliguidare-sicuri-fase-di-vendita-faq-accordion-lassicurazionercavalidaancheallestero-29-29"]</t>
  </si>
  <si>
    <t>&lt;div class="panel-heading" role="tab" tabindex="0" id="heading-item-posteinsurancebrokerposteinsurancebroker-moduliguidare-sicuri-fase-di-vendita-faq-accordion-lassicurazionercavalidaancheallestero-29-29"&gt;</t>
  </si>
  <si>
    <t>https://axe.deque.com/issues/b7dce8f8-1cb9-4a04-9f9d-bb58aefeb90e</t>
  </si>
  <si>
    <t>["#heading-item-posteinsurancebrokerposteinsurancebroker-moduliguidare-sicuri-fase-di-vendita-faq-accordion-coslacartaverde-30-30"]</t>
  </si>
  <si>
    <t>&lt;div class="panel-heading" role="tab" tabindex="0" id="heading-item-posteinsurancebrokerposteinsurancebroker-moduliguidare-sicuri-fase-di-vendita-faq-accordion-coslacartaverde-30-30"&gt;</t>
  </si>
  <si>
    <t>https://axe.deque.com/issues/91d95f44-f6da-4a49-a3b3-38d4816b7591</t>
  </si>
  <si>
    <t>["#heading-item-posteinsurancebrokerposteinsurancebroker-moduliguidare-sicuri-fase-di-vendita-faq-accordion-comesipupagarelapolizza-31-31"]</t>
  </si>
  <si>
    <t>&lt;div class="panel-heading" role="tab" tabindex="0" id="heading-item-posteinsurancebrokerposteinsurancebroker-moduliguidare-sicuri-fase-di-vendita-faq-accordion-comesipupagarelapolizza-31-31"&gt;</t>
  </si>
  <si>
    <t>https://axe.deque.com/issues/389b271f-74ad-4e8b-adb6-d06f5a40818b</t>
  </si>
  <si>
    <t>["#heading-item-posteinsurancebrokerposteinsurancebroker-moduliguidare-sicuri-fase-di-vendita-faq-accordion-possorateizzareilpagamentodellamiapolizza-32-32"]</t>
  </si>
  <si>
    <t>&lt;div class="panel-heading" role="tab" tabindex="0" id="heading-item-posteinsurancebrokerposteinsurancebroker-moduliguidare-sicuri-fase-di-vendita-faq-accordion-possorateizzareilpagamentodellamiapolizza-32-32"&gt;</t>
  </si>
  <si>
    <t>https://axe.deque.com/issues/933387dc-d75d-420c-ba4a-9168455d4bc0</t>
  </si>
  <si>
    <t>["#heading-item-posteinsurancebrokerposteinsurancebroker-moduliguidare-sicuri-fase-di-vendita-faq-accordion-comepossoverificareachepuntosonolepratichedilavorazionedelmiopreventivodopochehoconsegnatoladocumentazionerichiesta-33-33"]</t>
  </si>
  <si>
    <t>&lt;div class="panel-heading" role="tab" tabindex="0" id="heading-item-posteinsurancebrokerposteinsurancebroker-moduliguidare-sicuri-fase-di-vendita-faq-accordion-comepossoverificareachepuntosonolepratichedilavorazionedelmiopreventivodopochehoconsegnatoladocumentazionerichiesta-33-33"&gt;</t>
  </si>
  <si>
    <t>https://axe.deque.com/issues/98739726-2995-4479-a114-4e2420262062</t>
  </si>
  <si>
    <t>["#heading-item-posteinsurancebrokerposteinsurancebroker-moduliguidare-sicuri-fase-di-vendita-faq-accordion-checonseguenzecisonosehoaggiuntoallamiacoperturaancheildispositivosatellitaremanonlhoinstallato-34-34"]</t>
  </si>
  <si>
    <t>&lt;div class="panel-heading" role="tab" tabindex="0" id="heading-item-posteinsurancebrokerposteinsurancebroker-moduliguidare-sicuri-fase-di-vendita-faq-accordion-checonseguenzecisonosehoaggiuntoallamiacoperturaancheildispositivosatellitaremanonlhoinstallato-34-34"&gt;</t>
  </si>
  <si>
    <t>https://axe.deque.com/issues/c56e7507-0c69-48a1-b3af-45bd71f6f54a</t>
  </si>
  <si>
    <t>["#heading-item-posteinsurancebrokerposteinsurancebroker-moduliguidare-sicuri-fase-di-vendita-faq-accordion-chidevocontattareperlinstallazionedeldispositivosatellitare-35-35"]</t>
  </si>
  <si>
    <t>&lt;div class="panel-heading" role="tab" tabindex="0" id="heading-item-posteinsurancebrokerposteinsurancebroker-moduliguidare-sicuri-fase-di-vendita-faq-accordion-chidevocontattareperlinstallazionedeldispositivosatellitare-35-35"&gt;</t>
  </si>
  <si>
    <t>https://axe.deque.com/issues/a09ee207-160e-4683-9495-00365e466c19</t>
  </si>
  <si>
    <t>["#heading-item-posteinsurancebrokerposteinsurancebroker-moduliguidare-sicuri-fase-di-vendita-faq-accordion-incasodifurtodelveicoloassicuratopossorecuperareilpremiorcautopagatoenongoduto-36-36"]</t>
  </si>
  <si>
    <t>&lt;div class="panel-heading" role="tab" tabindex="0" id="heading-item-posteinsurancebrokerposteinsurancebroker-moduliguidare-sicuri-fase-di-vendita-faq-accordion-incasodifurtodelveicoloassicuratopossorecuperareilpremiorcautopagatoenongoduto-36-36"&gt;</t>
  </si>
  <si>
    <t>https://axe.deque.com/issues/814b036e-94b1-4664-bad5-b63c3df780d5</t>
  </si>
  <si>
    <t>["#heading-item-posteinsurancebrokerposteinsurancebroker-moduliguidare-sicuri-fase-di-vendita-faq-accordion-possopagarelamiapolizzaincontanti-37-37"]</t>
  </si>
  <si>
    <t>&lt;div class="panel-heading" role="tab" tabindex="0" id="heading-item-posteinsurancebrokerposteinsurancebroker-moduliguidare-sicuri-fase-di-vendita-faq-accordion-possopagarelamiapolizzaincontanti-37-37"&gt;</t>
  </si>
  <si>
    <t>https://axe.deque.com/issues/6dae3122-0c44-41a9-84c2-84ac76ad15d7</t>
  </si>
  <si>
    <t>["#heading-item-posteinsurancebrokerposteinsurancebroker-moduliguidare-sicuri-fase-di-vendita-faq-accordion-previstolannulloingiornataperlapolizza-38-38"]</t>
  </si>
  <si>
    <t>&lt;div class="panel-heading" role="tab" tabindex="0" id="heading-item-posteinsurancebrokerposteinsurancebroker-moduliguidare-sicuri-fase-di-vendita-faq-accordion-previstolannulloingiornataperlapolizza-38-38"&gt;</t>
  </si>
  <si>
    <t>https://axe.deque.com/issues/84d2a0df-7ed4-43c6-acbc-bbf2c7e82cc6</t>
  </si>
  <si>
    <t>["#heading-item-posteinsurancebrokerposteinsurancebroker-moduliguidare-sicuri-fase-di-vendita-faq-accordion-qualisonoitempinecessariallemissionedelcontratto-39-39"]</t>
  </si>
  <si>
    <t>&lt;div class="panel-heading" role="tab" tabindex="0" id="heading-item-posteinsurancebrokerposteinsurancebroker-moduliguidare-sicuri-fase-di-vendita-faq-accordion-qualisonoitempinecessariallemissionedelcontratto-39-39"&gt;</t>
  </si>
  <si>
    <t>https://axe.deque.com/issues/725cf14f-4507-452e-9ef1-4f885b5cd06d</t>
  </si>
  <si>
    <t>["#heading-item-posteinsurancebrokerposteinsurancebroker-moduliguidare-sicuri-fase-di-post-vendita-faq-accordion-hounveicoloassicuratopostemadevosostituirloetrasferirelapolizzacosadevofare-0-0"]</t>
  </si>
  <si>
    <t>&lt;div class="panel-heading" role="tab" tabindex="0" id="heading-item-posteinsurancebrokerposteinsurancebroker-moduliguidare-sicuri-fase-di-post-vendita-faq-accordion-hounveicoloassicuratopostemadevosostituirloetrasferirelapolizzacosadevofare-0-0"&gt;</t>
  </si>
  <si>
    <t>https://axe.deque.com/issues/61178fc6-b352-49fe-8dc8-2235abc30dc1</t>
  </si>
  <si>
    <t>["#heading-item-posteinsurancebrokerposteinsurancebroker-moduliguidare-sicuri-fase-di-post-vendita-faq-accordion-devomodificaredeidatinelmiocontrattocosadevofare-1-1"]</t>
  </si>
  <si>
    <t>&lt;div class="panel-heading" role="tab" tabindex="0" id="heading-item-posteinsurancebrokerposteinsurancebroker-moduliguidare-sicuri-fase-di-post-vendita-faq-accordion-devomodificaredeidatinelmiocontrattocosadevofare-1-1"&gt;</t>
  </si>
  <si>
    <t>https://axe.deque.com/issues/530bd17a-3383-49b4-8bab-fc4ed2313f65</t>
  </si>
  <si>
    <t>["#heading-item-posteinsurancebrokerposteinsurancebroker-moduliguidare-sicuri-fase-di-post-vendita-faq-accordion-cosadevofaresehomodificatolamiaresidenza-2-2"]</t>
  </si>
  <si>
    <t>&lt;div class="panel-heading" role="tab" tabindex="0" id="heading-item-posteinsurancebrokerposteinsurancebroker-moduliguidare-sicuri-fase-di-post-vendita-faq-accordion-cosadevofaresehomodificatolamiaresidenza-2-2"&gt;</t>
  </si>
  <si>
    <t>https://axe.deque.com/issues/4f137bcd-3dcc-4a17-bd99-6ad81ed373bc</t>
  </si>
  <si>
    <t>["#heading-item-posteinsurancebrokerposteinsurancebroker-moduliguidare-sicuri-fase-di-post-vendita-faq-accordion-cosadevofarepersospenderelamiapolizza-3-3"]</t>
  </si>
  <si>
    <t>&lt;div class="panel-heading" role="tab" tabindex="0" id="heading-item-posteinsurancebrokerposteinsurancebroker-moduliguidare-sicuri-fase-di-post-vendita-faq-accordion-cosadevofarepersospenderelamiapolizza-3-3"&gt;</t>
  </si>
  <si>
    <t>https://axe.deque.com/issues/80d068de-241a-40f9-9554-cc1f6b49df64</t>
  </si>
  <si>
    <t>["#heading-item-posteinsurancebrokerposteinsurancebroker-moduliguidare-sicuri-fase-di-post-vendita-faq-accordion-cosadevofareperriattivarelamiapolizzasospesa-4-4"]</t>
  </si>
  <si>
    <t>&lt;div class="panel-heading" role="tab" tabindex="0" id="heading-item-posteinsurancebrokerposteinsurancebroker-moduliguidare-sicuri-fase-di-post-vendita-faq-accordion-cosadevofareperriattivarelamiapolizzasospesa-4-4"&gt;</t>
  </si>
  <si>
    <t>https://axe.deque.com/issues/d9ca0d8e-b43b-4201-b1ad-8a2ac28c3454</t>
  </si>
  <si>
    <t>["#heading-item-posteinsurancebrokerposteinsurancebroker-moduliguidare-sicuri-fase-di-post-vendita-faq-accordion-possochiudereilmiocontrattoassicurativoprimadellascadenza-5-5"]</t>
  </si>
  <si>
    <t>&lt;div class="panel-heading" role="tab" tabindex="0" id="heading-item-posteinsurancebrokerposteinsurancebroker-moduliguidare-sicuri-fase-di-post-vendita-faq-accordion-possochiudereilmiocontrattoassicurativoprimadellascadenza-5-5"&gt;</t>
  </si>
  <si>
    <t>https://axe.deque.com/issues/a1268163-0a16-4c9f-8370-ae9d6a9306d0</t>
  </si>
  <si>
    <t>["#heading-item-posteinsurancebrokerposteinsurancebroker-moduliguidare-sicuri-fase-di-post-vendita-faq-accordion-perqualsiasiinformazionesullostatodeimieisinistrichidevocontattare-6-6"]</t>
  </si>
  <si>
    <t>&lt;div class="panel-heading" role="tab" tabindex="0" id="heading-item-posteinsurancebrokerposteinsurancebroker-moduliguidare-sicuri-fase-di-post-vendita-faq-accordion-perqualsiasiinformazionesullostatodeimieisinistrichidevocontattare-6-6"&gt;</t>
  </si>
  <si>
    <t>https://axe.deque.com/issues/1160a046-5926-46bb-9451-b4cdd7532338</t>
  </si>
  <si>
    <t>["#heading-item-posteinsurancebrokerposteinsurancebroker-moduliguidare-sicuri-fase-di-post-vendita-faq-accordion-cosadevofareincasodiincidente-7-7"]</t>
  </si>
  <si>
    <t>&lt;div class="panel-heading" role="tab" tabindex="0" id="heading-item-posteinsurancebrokerposteinsurancebroker-moduliguidare-sicuri-fase-di-post-vendita-faq-accordion-cosadevofareincasodiincidente-7-7"&gt;</t>
  </si>
  <si>
    <t>https://axe.deque.com/issues/e151de09-264b-4249-b1a1-106f9051ce9f</t>
  </si>
  <si>
    <t>["#heading-item-posteinsurancebrokerposteinsurancebroker-moduliguidare-sicuri-fase-di-post-vendita-faq-accordion-cosadevofareperpagarelaratasemestraledellapolizza-8-8"]</t>
  </si>
  <si>
    <t>&lt;div class="panel-heading" role="tab" tabindex="0" id="heading-item-posteinsurancebrokerposteinsurancebroker-moduliguidare-sicuri-fase-di-post-vendita-faq-accordion-cosadevofareperpagarelaratasemestraledellapolizza-8-8"&gt;</t>
  </si>
  <si>
    <t>https://axe.deque.com/issues/5c5c641d-809f-4dca-928a-cb0da3a3e2e2</t>
  </si>
  <si>
    <t>["#heading-item-posteinsurancebrokerposteinsurancebroker-moduliguidare-sicuri-fase-di-post-vendita-faq-accordion-ilrinnovodipolizzapossibilesoloinupoanchetramitelareariservatadellacompagniapartner-9-9"]</t>
  </si>
  <si>
    <t>&lt;div class="panel-heading" role="tab" tabindex="0" id="heading-item-posteinsurancebrokerposteinsurancebroker-moduliguidare-sicuri-fase-di-post-vendita-faq-accordion-ilrinnovodipolizzapossibilesoloinupoanchetramitelareariservatadellacompagniapartner-9-9"&gt;</t>
  </si>
  <si>
    <t>https://axe.deque.com/issues/3793c255-cb3b-4483-ade9-9efcf02838b2</t>
  </si>
  <si>
    <t>["#heading-item-posteinsurancebrokerposteinsurancebroker-moduliguidare-sicuri-fase-di-post-vendita-faq-accordion-possocambiaremetododipagamentoperlaratasemestrale-10-10"]</t>
  </si>
  <si>
    <t>&lt;div class="panel-heading" role="tab" tabindex="0" id="heading-item-posteinsurancebrokerposteinsurancebroker-moduliguidare-sicuri-fase-di-post-vendita-faq-accordion-possocambiaremetododipagamentoperlaratasemestrale-10-10"&gt;</t>
  </si>
  <si>
    <t>https://axe.deque.com/issues/7d56b5e5-b99a-4735-8deb-6d60d5e8fff7</t>
  </si>
  <si>
    <t>["#heading-item-posteinsurancebrokerposteinsurancebroker-moduliguidare-sicuri-fase-di-post-vendita-faq-accordion-comepossorinnovarelamiaassicurazionercauto-11-11"]</t>
  </si>
  <si>
    <t>&lt;div class="panel-heading" role="tab" tabindex="0" id="heading-item-posteinsurancebrokerposteinsurancebroker-moduliguidare-sicuri-fase-di-post-vendita-faq-accordion-comepossorinnovarelamiaassicurazionercauto-11-11"&gt;</t>
  </si>
  <si>
    <t>https://axe.deque.com/issues/b7af4d12-0992-44eb-ad8c-b775a0f9db9c</t>
  </si>
  <si>
    <t>["#heading-item-posteinsurancebrokerposteinsurancebroker-moduliguidare-sicuri-fase-di-post-vendita-faq-accordion-leoperazionidipost-venditaprevistedaupcomeilpagamentodellaratasemestraleeilrinnovosonoconsentitesolodallupdiemissionedellapolizza-12-12"]</t>
  </si>
  <si>
    <t>&lt;div class="panel-heading" role="tab" tabindex="0" id="heading-item-posteinsurancebrokerposteinsurancebroker-moduliguidare-sicuri-fase-di-post-vendita-faq-accordion-leoperazionidipost-venditaprevistedaupcomeilpagamentodellaratasemestraleeilrinnovosonoconsentitesolodallupdiemissionedellapolizza-12-12"&gt;</t>
  </si>
  <si>
    <t>https://axe.deque.com/issues/003a2cd5-1d4f-4392-9258-c92d9457d6d2</t>
  </si>
  <si>
    <t>https://axe.deque.com/issues/3428da42-5a0d-4425-9385-56bc9c3207c7</t>
  </si>
  <si>
    <t>["#heading-item-posteinsurancebrokerposteinsurancebroker-moduliguidare-sicuri-fase-di-vendita-faq-accordion-perottenereunaquotazioneonlinecherequisitidevoavere-0-0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</si>
  <si>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href="#item-posteinsurancebrokerposteinsurancebroker-moduliguidare-sicuri-fase-di-vendita-faq-accordion-perottenereunaquotazioneonlinecherequisitidevoavere-0" aria-expanded="false" aria-controls="item-posteinsurancebrokerposteinsurancebroker-moduliguidare-sicuri-fase-di-vendita-faq-accordion-perottenereunaquotazioneonlinecherequisitidevoavere-0" title="Per ottenere una quotazione online che requisiti devo avere?"&gt;</t>
  </si>
  <si>
    <t>https://axe.deque.com/issues/2fb41380-599a-4e8f-95b2-214f3bf69da1</t>
  </si>
  <si>
    <t>https://axe.deque.com/issues/7fb0b5a2-1b1d-47b6-a8d7-53ae74f767e4</t>
  </si>
  <si>
    <t>["#heading-item-posteinsurancebrokerposteinsurancebroker-moduliguidare-sicuri-fase-di-vendita-faq-accordion-semprepossibileottenereunaquotazioneonlinesesonounutenteregistratoposteit-1-1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</si>
  <si>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href="#item-posteinsurancebrokerposteinsurancebroker-moduliguidare-sicuri-fase-di-vendita-faq-accordion-semprepossibileottenereunaquotazioneonlinesesonounutenteregistratoposteit-1" aria-expanded="false" aria-controls="item-posteinsurancebrokerposteinsurancebroker-moduliguidare-sicuri-fase-di-vendita-faq-accordion-semprepossibileottenereunaquotazioneonlinesesonounutenteregistratoposteit-1" title="È sempre possibile ottenere una quotazione online se sono un utente registrato poste.it"&gt;</t>
  </si>
  <si>
    <t>https://axe.deque.com/issues/dad0c32c-668f-4280-8c6a-2f90419af612</t>
  </si>
  <si>
    <t>https://axe.deque.com/issues/047840ca-20d0-48a2-9231-ac4813f088ae</t>
  </si>
  <si>
    <t>["#heading-item-posteinsurancebrokerposteinsurancebroker-moduliguidare-sicuri-fase-di-vendita-faq-accordion-possoaggiungereulteriorigaranzieoltrequellepresentinellaquotazioneonline-2-2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</si>
  <si>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href="#item-posteinsurancebrokerposteinsurancebroker-moduliguidare-sicuri-fase-di-vendita-faq-accordion-possoaggiungereulteriorigaranzieoltrequellepresentinellaquotazioneonline-2" aria-expanded="false" aria-controls="item-posteinsurancebrokerposteinsurancebroker-moduliguidare-sicuri-fase-di-vendita-faq-accordion-possoaggiungereulteriorigaranzieoltrequellepresentinellaquotazioneonline-2" title="Posso aggiungere ulteriori garanzie oltre quelle presenti nella quotazione online?"&gt;</t>
  </si>
  <si>
    <t>https://axe.deque.com/issues/18ba3912-e8b4-40ae-a706-4db029d9d79f</t>
  </si>
  <si>
    <t>https://axe.deque.com/issues/a91aeb5f-9a0e-4f1b-8233-5c6f63d67eac</t>
  </si>
  <si>
    <t>["#heading-item-posteinsurancebrokerposteinsurancebroker-moduliguidare-sicuri-fase-di-vendita-faq-accordion-contantecompagniecheoffronopolizzeautoperchacquistarelapolizzaalleposte-3-3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</si>
  <si>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href="#item-posteinsurancebrokerposteinsurancebroker-moduliguidare-sicuri-fase-di-vendita-faq-accordion-contantecompagniecheoffronopolizzeautoperchacquistarelapolizzaalleposte-3" aria-expanded="false" aria-controls="item-posteinsurancebrokerposteinsurancebroker-moduliguidare-sicuri-fase-di-vendita-faq-accordion-contantecompagniecheoffronopolizzeautoperchacquistarelapolizzaalleposte-3" title="Con tante compagnie che offrono polizze Auto perché acquistare la polizza alle Poste?"&gt;</t>
  </si>
  <si>
    <t>https://axe.deque.com/issues/e03adc50-2c24-4562-8af8-4f0233d87219</t>
  </si>
  <si>
    <t>https://axe.deque.com/issues/7cdb3eb9-90c8-483c-bfb7-8e61d5d302ce</t>
  </si>
  <si>
    <t>["#heading-item-posteinsurancebrokerposteinsurancebroker-moduliguidare-sicuri-fase-di-vendita-faq-accordion-checosasiintendeperrcfamiliare-4-4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</si>
  <si>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href="#item-posteinsurancebrokerposteinsurancebroker-moduliguidare-sicuri-fase-di-vendita-faq-accordion-checosasiintendeperrcfamiliare-4" aria-expanded="false" aria-controls="item-posteinsurancebrokerposteinsurancebroker-moduliguidare-sicuri-fase-di-vendita-faq-accordion-checosasiintendeperrcfamiliare-4" title="Che cosa si intende per RC Familiare?"&gt;</t>
  </si>
  <si>
    <t>https://axe.deque.com/issues/db245a48-3622-4af8-b213-8cb86dd6fdd1</t>
  </si>
  <si>
    <t>https://axe.deque.com/issues/9a575a44-5e7d-4552-9422-fce87cb17c27</t>
  </si>
  <si>
    <t>["#heading-item-posteinsurancebrokerposteinsurancebroker-moduliguidare-sicuri-fase-di-vendita-faq-accordion-cosasiintendeperclassedimeritoconversioneuniversale-5-5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</si>
  <si>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href="#item-posteinsurancebrokerposteinsurancebroker-moduliguidare-sicuri-fase-di-vendita-faq-accordion-cosasiintendeperclassedimeritoconversioneuniversale-5" aria-expanded="false" aria-controls="item-posteinsurancebrokerposteinsurancebroker-moduliguidare-sicuri-fase-di-vendita-faq-accordion-cosasiintendeperclassedimeritoconversioneuniversale-5" title="Cosa si intende per Classe di merito conversione Universale?"&gt;</t>
  </si>
  <si>
    <t>https://axe.deque.com/issues/1fbfd556-fa73-4fd7-a500-28edb38a436a</t>
  </si>
  <si>
    <t>https://axe.deque.com/issues/51f10018-901c-4d18-a3b4-b06d7df42454</t>
  </si>
  <si>
    <t>["#heading-item-posteinsurancebrokerposteinsurancebroker-moduliguidare-sicuri-fase-di-vendita-faq-accordion-cosasiintendepersistemadibonusmalus-6-6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</si>
  <si>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href="#item-posteinsurancebrokerposteinsurancebroker-moduliguidare-sicuri-fase-di-vendita-faq-accordion-cosasiintendepersistemadibonusmalus-6" aria-expanded="false" aria-controls="item-posteinsurancebrokerposteinsurancebroker-moduliguidare-sicuri-fase-di-vendita-faq-accordion-cosasiintendepersistemadibonusmalus-6" title="Cosa si intende per sistema di Bonus Malus?"&gt;</t>
  </si>
  <si>
    <t>https://axe.deque.com/issues/51853879-a1ca-476e-9f50-78a209adf740</t>
  </si>
  <si>
    <t>https://axe.deque.com/issues/7d009237-2475-4a5b-bd3a-97a00037378c</t>
  </si>
  <si>
    <t>["#heading-item-posteinsurancebrokerposteinsurancebroker-moduliguidare-sicuri-fase-di-vendita-faq-accordion-possibileassicurarelautodiunfamiliareusufruendodelloscontodedicatoaiclientibancoposta-7-7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</si>
  <si>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href="#item-posteinsurancebrokerposteinsurancebroker-moduliguidare-sicuri-fase-di-vendita-faq-accordion-possibileassicurarelautodiunfamiliareusufruendodelloscontodedicatoaiclientibancoposta-7" aria-expanded="false" aria-controls="item-posteinsurancebrokerposteinsurancebroker-moduliguidare-sicuri-fase-di-vendita-faq-accordion-possibileassicurarelautodiunfamiliareusufruendodelloscontodedicatoaiclientibancoposta-7" title="È possibile assicurare l’auto di un familiare usufruendo dello sconto dedicato ai clienti Banco Posta?"&gt;</t>
  </si>
  <si>
    <t>https://axe.deque.com/issues/8e0a6348-42e8-4011-b28c-6177dc1fe31e</t>
  </si>
  <si>
    <t>https://axe.deque.com/issues/cb58eb5d-37c3-42d9-bcf3-96cdd372a141</t>
  </si>
  <si>
    <t>["#heading-item-posteinsurancebrokerposteinsurancebroker-moduliguidare-sicuri-fase-di-vendita-faq-accordion-possibileutilizzarelattestatodirischiodiunveicolovendutodemolitorottamatoesportatoallesterorubatopostoincontovendita-8-8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</si>
  <si>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href="#item-posteinsurancebrokerposteinsurancebroker-moduliguidare-sicuri-fase-di-vendita-faq-accordion-possibileutilizzarelattestatodirischiodiunveicolovendutodemolitorottamatoesportatoallesterorubatopostoincontovendita-8" aria-expanded="false" aria-controls="item-posteinsurancebrokerposteinsurancebroker-moduliguidare-sicuri-fase-di-vendita-faq-accordion-possibileutilizzarelattestatodirischiodiunveicolovendutodemolitorottamatoesportatoallesterorubatopostoincontovendita-8" title="È possibile utilizzare l’attestato di rischio di un veicolo venduto / demolito / rottamato / esportato all’estero / rubato / posto in conto vendita?"&gt;</t>
  </si>
  <si>
    <t>https://axe.deque.com/issues/0b090d35-2c5c-406f-b47b-3c860c362d34</t>
  </si>
  <si>
    <t>https://axe.deque.com/issues/2c230e74-80b1-42ce-9253-6af5699b8e21</t>
  </si>
  <si>
    <t>["#heading-item-posteinsurancebrokerposteinsurancebroker-moduliguidare-sicuri-fase-di-vendita-faq-accordion-possoutilizzarelattestatodirischiodiunmiofamiliare-9-9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</si>
  <si>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href="#item-posteinsurancebrokerposteinsurancebroker-moduliguidare-sicuri-fase-di-vendita-faq-accordion-possoutilizzarelattestatodirischiodiunmiofamiliare-9" aria-expanded="false" aria-controls="item-posteinsurancebrokerposteinsurancebroker-moduliguidare-sicuri-fase-di-vendita-faq-accordion-possoutilizzarelattestatodirischiodiunmiofamiliare-9" title="Posso utilizzare l’attestato di rischio di un mio familiare?"&gt;</t>
  </si>
  <si>
    <t>https://axe.deque.com/issues/f4eaef23-09d5-4138-b810-eb07d0846cba</t>
  </si>
  <si>
    <t>https://axe.deque.com/issues/e3e9d4ab-d8ca-4ee9-a46e-53b7e794fc68</t>
  </si>
  <si>
    <t>["#heading-item-posteinsurancebrokerposteinsurancebroker-moduliguidare-sicuri-fase-di-vendita-faq-accordion-possibileassicurareunveicolodiversodallauto-10-10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</si>
  <si>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href="#item-posteinsurancebrokerposteinsurancebroker-moduliguidare-sicuri-fase-di-vendita-faq-accordion-possibileassicurareunveicolodiversodallauto-10" aria-expanded="false" aria-controls="item-posteinsurancebrokerposteinsurancebroker-moduliguidare-sicuri-fase-di-vendita-faq-accordion-possibileassicurareunveicolodiversodallauto-10" title=" È possibile assicurare un veicolo diverso dall’auto?"&gt;</t>
  </si>
  <si>
    <t>https://axe.deque.com/issues/bbd52ffe-c9db-42f1-b3a7-628623b397d3</t>
  </si>
  <si>
    <t>https://axe.deque.com/issues/bfe7ab7c-caa0-426b-83ec-31e7b7e86b93</t>
  </si>
  <si>
    <t>["#heading-item-posteinsurancebrokerposteinsurancebroker-moduliguidare-sicuri-fase-di-vendita-faq-accordion-checosilquestionariodiadeguatezzaobbligatorio-11-11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</si>
  <si>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href="#item-posteinsurancebrokerposteinsurancebroker-moduliguidare-sicuri-fase-di-vendita-faq-accordion-checosilquestionariodiadeguatezzaobbligatorio-11" aria-expanded="false" aria-controls="item-posteinsurancebrokerposteinsurancebroker-moduliguidare-sicuri-fase-di-vendita-faq-accordion-checosilquestionariodiadeguatezzaobbligatorio-11" title="Che cos’è il questionario di adeguatezza? È obbligatorio?"&gt;</t>
  </si>
  <si>
    <t>https://axe.deque.com/issues/01c6b23e-05e5-429b-bea9-69eddd625a2b</t>
  </si>
  <si>
    <t>https://axe.deque.com/issues/4ed01785-6c31-4bc5-8883-03502821f504</t>
  </si>
  <si>
    <t>["#heading-item-posteinsurancebrokerposteinsurancebroker-moduliguidare-sicuri-fase-di-vendita-faq-accordion-hodirittoaqualchescontosullamiapolizzacomeclientebancoposta-12-12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</si>
  <si>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href="#item-posteinsurancebrokerposteinsurancebroker-moduliguidare-sicuri-fase-di-vendita-faq-accordion-hodirittoaqualchescontosullamiapolizzacomeclientebancoposta-12" aria-expanded="false" aria-controls="item-posteinsurancebrokerposteinsurancebroker-moduliguidare-sicuri-fase-di-vendita-faq-accordion-hodirittoaqualchescontosullamiapolizzacomeclientebancoposta-12" title="Ho diritto a qualche sconto sulla mia polizza come cliente Banco Posta?"&gt;</t>
  </si>
  <si>
    <t>https://axe.deque.com/issues/cd2c383b-3aac-4324-a038-1b2a21f3bd9f</t>
  </si>
  <si>
    <t>https://axe.deque.com/issues/0a223228-5fb1-4970-af34-817dc1295533</t>
  </si>
  <si>
    <t>["#heading-item-posteinsurancebrokerposteinsurancebroker-moduliguidare-sicuri-fase-di-vendita-faq-accordion-quantotempocivuoleperfinalizzarelapolizzadopoaverconsegnatoladocumentazionenecessaria-13-13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</si>
  <si>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href="#item-posteinsurancebrokerposteinsurancebroker-moduliguidare-sicuri-fase-di-vendita-faq-accordion-quantotempocivuoleperfinalizzarelapolizzadopoaverconsegnatoladocumentazionenecessaria-13" aria-expanded="false" aria-controls="item-posteinsurancebrokerposteinsurancebroker-moduliguidare-sicuri-fase-di-vendita-faq-accordion-quantotempocivuoleperfinalizzarelapolizzadopoaverconsegnatoladocumentazionenecessaria-13" title="Quanto tempo ci vuole per finalizzare la polizza dopo aver consegnato la documentazione necessaria?"&gt;</t>
  </si>
  <si>
    <t>https://axe.deque.com/issues/ac194f2e-ed30-4e06-b1e7-562077e44ec7</t>
  </si>
  <si>
    <t>https://axe.deque.com/issues/5869a715-ae9a-4a5b-91b4-9be27cbab984</t>
  </si>
  <si>
    <t>["#heading-item-posteinsurancebrokerposteinsurancebroker-moduliguidare-sicuri-fase-di-vendita-faq-accordion-perquantorimanevalidoilpreventivo-14-14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</si>
  <si>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href="#item-posteinsurancebrokerposteinsurancebroker-moduliguidare-sicuri-fase-di-vendita-faq-accordion-perquantorimanevalidoilpreventivo-14" aria-expanded="false" aria-controls="item-posteinsurancebrokerposteinsurancebroker-moduliguidare-sicuri-fase-di-vendita-faq-accordion-perquantorimanevalidoilpreventivo-14" title="Per quanto rimane valido il preventivo?"&gt;</t>
  </si>
  <si>
    <t>https://axe.deque.com/issues/d2c2c022-00da-43f1-9476-142ba046a5a4</t>
  </si>
  <si>
    <t>https://axe.deque.com/issues/f9b6d367-c298-466e-acfd-58b4a833540d</t>
  </si>
  <si>
    <t>["#heading-item-posteinsurancebrokerposteinsurancebroker-moduliguidare-sicuri-fase-di-vendita-faq-accordion-laumentodellaclassebonusmalusdipendedallentitdeldannoprovocato-15-15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</si>
  <si>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href="#item-posteinsurancebrokerposteinsurancebroker-moduliguidare-sicuri-fase-di-vendita-faq-accordion-laumentodellaclassebonusmalusdipendedallentitdeldannoprovocato-15" aria-expanded="false" aria-controls="item-posteinsurancebrokerposteinsurancebroker-moduliguidare-sicuri-fase-di-vendita-faq-accordion-laumentodellaclassebonusmalusdipendedallentitdeldannoprovocato-15" title="L’aumento della classe Bonus / Malus dipende dall’entità del danno provocato?"&gt;</t>
  </si>
  <si>
    <t>https://axe.deque.com/issues/7154ffc3-fa66-4f35-9eb6-297b8a82efa9</t>
  </si>
  <si>
    <t>https://axe.deque.com/issues/f1cf77e4-c5c6-4365-bef3-01d7e0deb3b8</t>
  </si>
  <si>
    <t>["#heading-item-posteinsurancebrokerposteinsurancebroker-moduliguidare-sicuri-fase-di-vendita-faq-accordion-necessarioindicareilconducenteabitualedellauto-16-16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</si>
  <si>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href="#item-posteinsurancebrokerposteinsurancebroker-moduliguidare-sicuri-fase-di-vendita-faq-accordion-necessarioindicareilconducenteabitualedellauto-16" aria-expanded="false" aria-controls="item-posteinsurancebrokerposteinsurancebroker-moduliguidare-sicuri-fase-di-vendita-faq-accordion-necessarioindicareilconducenteabitualedellauto-16" title="È necessario indicare il conducente abituale dell’auto?"&gt;</t>
  </si>
  <si>
    <t>https://axe.deque.com/issues/58b23c8b-032d-454f-aafd-b5fb8ec14982</t>
  </si>
  <si>
    <t>https://axe.deque.com/issues/9388a345-9925-4dab-8893-f2218c0bced6</t>
  </si>
  <si>
    <t>["#heading-item-posteinsurancebrokerposteinsurancebroker-moduliguidare-sicuri-fase-di-vendita-faq-accordion-possibilemodificareilpreventivoemessoinufficiopostaleunavoltagenerato-17-17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</si>
  <si>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href="#item-posteinsurancebrokerposteinsurancebroker-moduliguidare-sicuri-fase-di-vendita-faq-accordion-possibilemodificareilpreventivoemessoinufficiopostaleunavoltagenerato-17" aria-expanded="false" aria-controls="item-posteinsurancebrokerposteinsurancebroker-moduliguidare-sicuri-fase-di-vendita-faq-accordion-possibilemodificareilpreventivoemessoinufficiopostaleunavoltagenerato-17" title="È possibile modificare il preventivo emesso in Ufficio Postale una volta generato?"&gt;</t>
  </si>
  <si>
    <t>https://axe.deque.com/issues/a156124b-4b49-4ddb-8f7c-e5fe5cc8f8b7</t>
  </si>
  <si>
    <t>https://axe.deque.com/issues/84510a2d-eb3a-4396-af65-c22a4dbe49b3</t>
  </si>
  <si>
    <t>["#heading-item-posteinsurancebrokerposteinsurancebroker-moduliguidare-sicuri-fase-di-vendita-faq-accordion-possibileassicurareilganciotrainoedilrimorchio-18-18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</si>
  <si>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href="#item-posteinsurancebrokerposteinsurancebroker-moduliguidare-sicuri-fase-di-vendita-faq-accordion-possibileassicurareilganciotrainoedilrimorchio-18" aria-expanded="false" aria-controls="item-posteinsurancebrokerposteinsurancebroker-moduliguidare-sicuri-fase-di-vendita-faq-accordion-possibileassicurareilganciotrainoedilrimorchio-18" title="È possibile assicurare il gancio traino ed il rimorchio?"&gt;</t>
  </si>
  <si>
    <t>https://axe.deque.com/issues/8d4b2a68-234a-4ddc-beda-f856514306bf</t>
  </si>
  <si>
    <t>https://axe.deque.com/issues/fe676c82-1da2-4410-8824-efec6ab0c39b</t>
  </si>
  <si>
    <t>["#heading-item-posteinsurancebrokerposteinsurancebroker-moduliguidare-sicuri-fase-di-vendita-faq-accordion-cosasiintendeperdirittodirivalsa-19-19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</si>
  <si>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href="#item-posteinsurancebrokerposteinsurancebroker-moduliguidare-sicuri-fase-di-vendita-faq-accordion-cosasiintendeperdirittodirivalsa-19" aria-expanded="false" aria-controls="item-posteinsurancebrokerposteinsurancebroker-moduliguidare-sicuri-fase-di-vendita-faq-accordion-cosasiintendeperdirittodirivalsa-19" title="Cosa si intende per diritto di rivalsa?"&gt;</t>
  </si>
  <si>
    <t>https://axe.deque.com/issues/2bc68fa1-ff0a-487a-a14d-a25676e52ab3</t>
  </si>
  <si>
    <t>https://axe.deque.com/issues/49dee15c-b17d-4570-b57d-c4a5040920fb</t>
  </si>
  <si>
    <t>["#heading-item-posteinsurancebrokerposteinsurancebroker-moduliguidare-sicuri-fase-di-vendita-faq-accordion-cosildispositivosatellitare-20-20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</si>
  <si>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href="#item-posteinsurancebrokerposteinsurancebroker-moduliguidare-sicuri-fase-di-vendita-faq-accordion-cosildispositivosatellitare-20" aria-expanded="false" aria-controls="item-posteinsurancebrokerposteinsurancebroker-moduliguidare-sicuri-fase-di-vendita-faq-accordion-cosildispositivosatellitare-20" title="Cos’è il dispositivo satellitare?"&gt;</t>
  </si>
  <si>
    <t>https://axe.deque.com/issues/20533984-de37-401b-a1d0-b3592af4e5ea</t>
  </si>
  <si>
    <t>https://axe.deque.com/issues/643cbba3-b495-4697-8b5b-9099597233be</t>
  </si>
  <si>
    <t>["#heading-item-posteinsurancebrokerposteinsurancebroker-moduliguidare-sicuri-fase-di-vendita-faq-accordion-checopertureoffrelagaranziaprotezioneimprevisti-21-21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</si>
  <si>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href="#item-posteinsurancebrokerposteinsurancebroker-moduliguidare-sicuri-fase-di-vendita-faq-accordion-checopertureoffrelagaranziaprotezioneimprevisti-21" aria-expanded="false" aria-controls="item-posteinsurancebrokerposteinsurancebroker-moduliguidare-sicuri-fase-di-vendita-faq-accordion-checopertureoffrelagaranziaprotezioneimprevisti-21" title="Che coperture offre la garanzia Protezione Imprevisti?"&gt;</t>
  </si>
  <si>
    <t>https://axe.deque.com/issues/125d9292-c3b4-40eb-8198-500d9994de9b</t>
  </si>
  <si>
    <t>https://axe.deque.com/issues/69763184-cfdb-46d8-be7a-560c0f93f883</t>
  </si>
  <si>
    <t>["#heading-item-posteinsurancebrokerposteinsurancebroker-moduliguidare-sicuri-fase-di-vendita-faq-accordion-cisonodellecopertureaggiuntiveincasodiacquistodellagaranziarca-22-22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</si>
  <si>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href="#item-posteinsurancebrokerposteinsurancebroker-moduliguidare-sicuri-fase-di-vendita-faq-accordion-cisonodellecopertureaggiuntiveincasodiacquistodellagaranziarca-22" aria-expanded="false" aria-controls="item-posteinsurancebrokerposteinsurancebroker-moduliguidare-sicuri-fase-di-vendita-faq-accordion-cisonodellecopertureaggiuntiveincasodiacquistodellagaranziarca-22" title="Ci sono delle coperture aggiuntive in caso di acquisto della garanzia RCA?"&gt;</t>
  </si>
  <si>
    <t>https://axe.deque.com/issues/2e115505-252a-46a8-b63b-6b61c09dc8b8</t>
  </si>
  <si>
    <t>https://axe.deque.com/issues/b6306dbc-283f-44d3-89b0-a42e0d3cc263</t>
  </si>
  <si>
    <t>["#heading-item-posteinsurancebrokerposteinsurancebroker-moduliguidare-sicuri-fase-di-vendita-faq-accordion-conpolizzarcasonocopertoancheperidanninelleareeprivate-23-23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</si>
  <si>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href="#item-posteinsurancebrokerposteinsurancebroker-moduliguidare-sicuri-fase-di-vendita-faq-accordion-conpolizzarcasonocopertoancheperidanninelleareeprivate-23" aria-expanded="false" aria-controls="item-posteinsurancebrokerposteinsurancebroker-moduliguidare-sicuri-fase-di-vendita-faq-accordion-conpolizzarcasonocopertoancheperidanninelleareeprivate-23" title="Con polizza RCA sono coperto anche per i danni nelle aree private?"&gt;</t>
  </si>
  <si>
    <t>https://axe.deque.com/issues/02a548e5-0bd9-476e-9767-8ac26107f60b</t>
  </si>
  <si>
    <t>https://axe.deque.com/issues/4e4d57cc-0bea-4bdf-82dd-714d19731c4e</t>
  </si>
  <si>
    <t>["#heading-item-posteinsurancebrokerposteinsurancebroker-moduliguidare-sicuri-fase-di-vendita-faq-accordion-checopertureoffrelagaranziaassistenzastradale-24-24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</si>
  <si>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href="#item-posteinsurancebrokerposteinsurancebroker-moduliguidare-sicuri-fase-di-vendita-faq-accordion-checopertureoffrelagaranziaassistenzastradale-24" aria-expanded="false" aria-controls="item-posteinsurancebrokerposteinsurancebroker-moduliguidare-sicuri-fase-di-vendita-faq-accordion-checopertureoffrelagaranziaassistenzastradale-24" title="Che coperture offre la garanzia Assistenza Stradale?"&gt;</t>
  </si>
  <si>
    <t>https://axe.deque.com/issues/bf19d7d7-14f3-4fff-98e0-eed126e407c6</t>
  </si>
  <si>
    <t>https://axe.deque.com/issues/aa4408d4-ef3b-49c6-8a62-ca021fabf97a</t>
  </si>
  <si>
    <t>["#heading-item-posteinsurancebrokerposteinsurancebroker-moduliguidare-sicuri-fase-di-vendita-faq-accordion-checopertureoffrelagaranziakaskocollisione-25-25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</si>
  <si>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href="#item-posteinsurancebrokerposteinsurancebroker-moduliguidare-sicuri-fase-di-vendita-faq-accordion-checopertureoffrelagaranziakaskocollisione-25" aria-expanded="false" aria-controls="item-posteinsurancebrokerposteinsurancebroker-moduliguidare-sicuri-fase-di-vendita-faq-accordion-checopertureoffrelagaranziakaskocollisione-25" title="Che coperture offre la garanzia Kasko Collisione?"&gt;</t>
  </si>
  <si>
    <t>https://axe.deque.com/issues/6d9e0a23-77af-4ec9-be95-c3e8017a5eed</t>
  </si>
  <si>
    <t>https://axe.deque.com/issues/84683e2c-5c4d-44f2-99ad-d2f8df208e9b</t>
  </si>
  <si>
    <t>["#heading-item-posteinsurancebrokerposteinsurancebroker-moduliguidare-sicuri-fase-di-vendita-faq-accordion-qualladifferenzatralagaranziakaskocollisioneelagaranziakaskocompleta-26-26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</si>
  <si>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href="#item-posteinsurancebrokerposteinsurancebroker-moduliguidare-sicuri-fase-di-vendita-faq-accordion-qualladifferenzatralagaranziakaskocollisioneelagaranziakaskocompleta-26" aria-expanded="false" aria-controls="item-posteinsurancebrokerposteinsurancebroker-moduliguidare-sicuri-fase-di-vendita-faq-accordion-qualladifferenzatralagaranziakaskocollisioneelagaranziakaskocompleta-26" title="Qual è la differenza tra la garanzia Kasko Collisione e la garanzia Kasko Completa?"&gt;</t>
  </si>
  <si>
    <t>https://axe.deque.com/issues/9c413e30-97bf-4de5-b57d-6e8c1a060c7b</t>
  </si>
  <si>
    <t>https://axe.deque.com/issues/8fa722ba-e7a5-40c2-8bff-29ff27198fb2</t>
  </si>
  <si>
    <t>["#heading-item-posteinsurancebrokerposteinsurancebroker-moduliguidare-sicuri-fase-di-vendita-faq-accordion-lautoassicuratapuessereguidataanchedaminoridi25anni-27-27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</si>
  <si>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href="#item-posteinsurancebrokerposteinsurancebroker-moduliguidare-sicuri-fase-di-vendita-faq-accordion-lautoassicuratapuessereguidataanchedaminoridi25anni-27" aria-expanded="false" aria-controls="item-posteinsurancebrokerposteinsurancebroker-moduliguidare-sicuri-fase-di-vendita-faq-accordion-lautoassicuratapuessereguidataanchedaminoridi25anni-27" title="L’auto assicurata può essere guidata anche da minori di 25 anni?"&gt;</t>
  </si>
  <si>
    <t>https://axe.deque.com/issues/fdbde929-3885-4085-a305-a3541e9c3f84</t>
  </si>
  <si>
    <t>https://axe.deque.com/issues/892e94d4-4fc8-4ce7-96a1-ed1d6c062453</t>
  </si>
  <si>
    <t>["#heading-item-posteinsurancebrokerposteinsurancebroker-moduliguidare-sicuri-fase-di-vendita-faq-accordion-sonoprevistedelleagevolazioniincasodisinistrigravi-28-28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</si>
  <si>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href="#item-posteinsurancebrokerposteinsurancebroker-moduliguidare-sicuri-fase-di-vendita-faq-accordion-sonoprevistedelleagevolazioniincasodisinistrigravi-28" aria-expanded="false" aria-controls="item-posteinsurancebrokerposteinsurancebroker-moduliguidare-sicuri-fase-di-vendita-faq-accordion-sonoprevistedelleagevolazioniincasodisinistrigravi-28" title="Sono previste delle agevolazioni in caso di sinistri gravi?"&gt;</t>
  </si>
  <si>
    <t>https://axe.deque.com/issues/c605922a-1735-4e77-9f2a-a4632c317959</t>
  </si>
  <si>
    <t>https://axe.deque.com/issues/323ff421-a16e-49f2-a26c-9dea59d599c2</t>
  </si>
  <si>
    <t>["#heading-item-posteinsurancebrokerposteinsurancebroker-moduliguidare-sicuri-fase-di-vendita-faq-accordion-lassicurazionercavalidaancheallestero-29-29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</si>
  <si>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href="#item-posteinsurancebrokerposteinsurancebroker-moduliguidare-sicuri-fase-di-vendita-faq-accordion-lassicurazionercavalidaancheallestero-29" aria-expanded="false" aria-controls="item-posteinsurancebrokerposteinsurancebroker-moduliguidare-sicuri-fase-di-vendita-faq-accordion-lassicurazionercavalidaancheallestero-29" title="L’assicurazione RCA è valida anche all’estero?"&gt;</t>
  </si>
  <si>
    <t>https://axe.deque.com/issues/2c50e515-9969-464a-b4cc-27744c28ec8d</t>
  </si>
  <si>
    <t>https://axe.deque.com/issues/873f77f1-2cbf-4f67-98e1-bf9679468013</t>
  </si>
  <si>
    <t>["a[title=\"Cos’è la carta verde?\"]"]</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</si>
  <si>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href="#item-posteinsurancebrokerposteinsurancebroker-moduliguidare-sicuri-fase-di-vendita-faq-accordion-coslacartaverde-30" aria-expanded="false" aria-controls="item-posteinsurancebrokerposteinsurancebroker-moduliguidare-sicuri-fase-di-vendita-faq-accordion-coslacartaverde-30" title="Cos’è la carta verde?"&gt;</t>
  </si>
  <si>
    <t>https://axe.deque.com/issues/40c548b3-5646-487b-9340-b045fda01a8a</t>
  </si>
  <si>
    <t>https://axe.deque.com/issues/6863b483-9fbf-4fe6-b0b2-dc66a96a2140</t>
  </si>
  <si>
    <t>["a[title=\"Come si può pagare la polizza?\"]"]</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</si>
  <si>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href="#item-posteinsurancebrokerposteinsurancebroker-moduliguidare-sicuri-fase-di-vendita-faq-accordion-comesipupagarelapolizza-31" aria-expanded="false" aria-controls="item-posteinsurancebrokerposteinsurancebroker-moduliguidare-sicuri-fase-di-vendita-faq-accordion-comesipupagarelapolizza-31" title="Come si può pagare la polizza?"&gt;</t>
  </si>
  <si>
    <t>https://axe.deque.com/issues/c53b298f-4b3d-4eb2-8218-e13c44b7bbe7</t>
  </si>
  <si>
    <t>https://axe.deque.com/issues/0aaf6a3f-54c9-4864-99ce-85480fe1f702</t>
  </si>
  <si>
    <t>["#heading-item-posteinsurancebrokerposteinsurancebroker-moduliguidare-sicuri-fase-di-vendita-faq-accordion-possorateizzareilpagamentodellamiapolizza-32-32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</si>
  <si>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href="#item-posteinsurancebrokerposteinsurancebroker-moduliguidare-sicuri-fase-di-vendita-faq-accordion-possorateizzareilpagamentodellamiapolizza-32" aria-expanded="false" aria-controls="item-posteinsurancebrokerposteinsurancebroker-moduliguidare-sicuri-fase-di-vendita-faq-accordion-possorateizzareilpagamentodellamiapolizza-32" title="Posso rateizzare il pagamento della mia polizza?"&gt;</t>
  </si>
  <si>
    <t>https://axe.deque.com/issues/4c82ba88-2062-4ea5-a96e-c1d80836f201</t>
  </si>
  <si>
    <t>https://axe.deque.com/issues/b78d056c-5fe0-4e3d-b1d1-92f474871a55</t>
  </si>
  <si>
    <t>["#heading-item-posteinsurancebrokerposteinsurancebroker-moduliguidare-sicuri-fase-di-vendita-faq-accordion-comepossoverificareachepuntosonolepratichedilavorazionedelmiopreventivodopochehoconsegnatoladocumentazionerichiesta-33-33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</si>
  <si>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href="#item-posteinsurancebrokerposteinsurancebroker-moduliguidare-sicuri-fase-di-vendita-faq-accordion-comepossoverificareachepuntosonolepratichedilavorazionedelmiopreventivodopochehoconsegnatoladocumentazionerichiesta-33" aria-expanded="false" aria-controls="item-posteinsurancebrokerposteinsurancebroker-moduliguidare-sicuri-fase-di-vendita-faq-accordion-comepossoverificareachepuntosonolepratichedilavorazionedelmiopreventivodopochehoconsegnatoladocumentazionerichiesta-33" title="Come posso verificare a che punto sono le pratiche di lavorazione del mio preventivo dopo che ho consegnato la documentazione richiesta?"&gt;</t>
  </si>
  <si>
    <t>https://axe.deque.com/issues/eb4c844a-2f7f-4c50-a19e-21af51c96a37</t>
  </si>
  <si>
    <t>https://axe.deque.com/issues/8f6847ae-c4b3-460b-9455-96d66ac8cc54</t>
  </si>
  <si>
    <t>["#heading-item-posteinsurancebrokerposteinsurancebroker-moduliguidare-sicuri-fase-di-vendita-faq-accordion-checonseguenzecisonosehoaggiuntoallamiacoperturaancheildispositivosatellitaremanonlhoinstallato-34-34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</si>
  <si>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href="#item-posteinsurancebrokerposteinsurancebroker-moduliguidare-sicuri-fase-di-vendita-faq-accordion-checonseguenzecisonosehoaggiuntoallamiacoperturaancheildispositivosatellitaremanonlhoinstallato-34" aria-expanded="false" aria-controls="item-posteinsurancebrokerposteinsurancebroker-moduliguidare-sicuri-fase-di-vendita-faq-accordion-checonseguenzecisonosehoaggiuntoallamiacoperturaancheildispositivosatellitaremanonlhoinstallato-34" title="Che conseguenze ci sono se ho aggiunto alla mia copertura anche il dispositivo satellitare, ma non l'ho installato?"&gt;</t>
  </si>
  <si>
    <t>https://axe.deque.com/issues/8dc51c57-aecc-4679-b101-8393ddc039dc</t>
  </si>
  <si>
    <t>https://axe.deque.com/issues/8cc5eb26-204b-4d68-9557-1b5a848a668b</t>
  </si>
  <si>
    <t>["#heading-item-posteinsurancebrokerposteinsurancebroker-moduliguidare-sicuri-fase-di-vendita-faq-accordion-chidevocontattareperlinstallazionedeldispositivosatellitare-35-35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</si>
  <si>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href="#item-posteinsurancebrokerposteinsurancebroker-moduliguidare-sicuri-fase-di-vendita-faq-accordion-chidevocontattareperlinstallazionedeldispositivosatellitare-35" aria-expanded="false" aria-controls="item-posteinsurancebrokerposteinsurancebroker-moduliguidare-sicuri-fase-di-vendita-faq-accordion-chidevocontattareperlinstallazionedeldispositivosatellitare-35" title="Chi devo contattare per l’installazione del dispositivo satellitare?"&gt;</t>
  </si>
  <si>
    <t>https://axe.deque.com/issues/ec6842e0-2d62-4860-b016-5626f2212b6c</t>
  </si>
  <si>
    <t>https://axe.deque.com/issues/3f142345-9e4c-4851-845c-67f33407eb75</t>
  </si>
  <si>
    <t>["#heading-item-posteinsurancebrokerposteinsurancebroker-moduliguidare-sicuri-fase-di-vendita-faq-accordion-incasodifurtodelveicoloassicuratopossorecuperareilpremiorcautopagatoenongoduto-36-36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</si>
  <si>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href="#item-posteinsurancebrokerposteinsurancebroker-moduliguidare-sicuri-fase-di-vendita-faq-accordion-incasodifurtodelveicoloassicuratopossorecuperareilpremiorcautopagatoenongoduto-36" aria-expanded="false" aria-controls="item-posteinsurancebrokerposteinsurancebroker-moduliguidare-sicuri-fase-di-vendita-faq-accordion-incasodifurtodelveicoloassicuratopossorecuperareilpremiorcautopagatoenongoduto-36" title="In caso di furto del veicolo assicurato, posso recuperare il premio RC Auto pagato e non goduto?"&gt;</t>
  </si>
  <si>
    <t>https://axe.deque.com/issues/553b6371-e257-4e0f-9000-87f1e1b48613</t>
  </si>
  <si>
    <t>https://axe.deque.com/issues/95caa69f-333d-456f-9c2d-83ec00d3382e</t>
  </si>
  <si>
    <t>["#heading-item-posteinsurancebrokerposteinsurancebroker-moduliguidare-sicuri-fase-di-vendita-faq-accordion-possopagarelamiapolizzaincontanti-37-37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</si>
  <si>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href="#item-posteinsurancebrokerposteinsurancebroker-moduliguidare-sicuri-fase-di-vendita-faq-accordion-possopagarelamiapolizzaincontanti-37" aria-expanded="false" aria-controls="item-posteinsurancebrokerposteinsurancebroker-moduliguidare-sicuri-fase-di-vendita-faq-accordion-possopagarelamiapolizzaincontanti-37" title="Posso pagare la mia polizza in contanti?"&gt;</t>
  </si>
  <si>
    <t>https://axe.deque.com/issues/133090b2-cf97-40fd-8268-ae72b7362f9a</t>
  </si>
  <si>
    <t>https://axe.deque.com/issues/6dafa7b4-a02b-4971-8f37-e37f7cc70a87</t>
  </si>
  <si>
    <t>["#heading-item-posteinsurancebrokerposteinsurancebroker-moduliguidare-sicuri-fase-di-vendita-faq-accordion-previstolannulloingiornataperlapolizza-38-38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</si>
  <si>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href="#item-posteinsurancebrokerposteinsurancebroker-moduliguidare-sicuri-fase-di-vendita-faq-accordion-previstolannulloingiornataperlapolizza-38" aria-expanded="false" aria-controls="item-posteinsurancebrokerposteinsurancebroker-moduliguidare-sicuri-fase-di-vendita-faq-accordion-previstolannulloingiornataperlapolizza-38" title="È previsto l’annullo in giornata per la polizza?"&gt;</t>
  </si>
  <si>
    <t>https://axe.deque.com/issues/8734b134-f3c0-4180-8b16-a17a82c7bb4f</t>
  </si>
  <si>
    <t>https://axe.deque.com/issues/276451a3-0a82-4ffe-a2a9-7f0b3b183036</t>
  </si>
  <si>
    <t>["#heading-item-posteinsurancebrokerposteinsurancebroker-moduliguidare-sicuri-fase-di-vendita-faq-accordion-qualisonoitempinecessariallemissionedelcontratto-39-39 &gt; .panel-title &gt; .accordion-toggle.collapsed[role=\"button\"]"]</t>
  </si>
  <si>
    <t>&lt;a class="accordion-toggle collapsed" role="button" data-toggle="collapse" data-parent="#accordion-posteinsurancebrokerposteinsurancebroker-moduliguidare-sicuri-fase-di-vendita-faq-accordion-fasedivendita" href="#item-posteinsurancebrokerposteinsurancebroker-moduliguidare-sicuri-fase-di-vendita-faq-accordion-qualisonoitempinecessariallemissionedelcontratto-39" aria-expanded="false" aria-controls="item-posteinsurancebrokerposteinsurancebroker-moduliguidare-sicuri-fase-di-vendita-faq-accordion-qualisonoitempinecessariallemissionedelcontratto-39" title="Quali sono i tempi necessari all’emissione del contratto?"&gt;</t>
  </si>
  <si>
    <t>https://axe.deque.com/issues/3246bb13-50f7-46cb-adc4-ed164486d12d</t>
  </si>
  <si>
    <t>https://axe.deque.com/issues/7120c0ee-cd92-4a2a-9884-308e43ac0369</t>
  </si>
  <si>
    <t>["#heading-item-posteinsurancebrokerposteinsurancebroker-moduliguidare-sicuri-fase-di-post-vendita-faq-accordion-hounveicoloassicuratopostemadevosostituirloetrasferirelapolizzacosadevofare-0-0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</si>
  <si>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href="#item-posteinsurancebrokerposteinsurancebroker-moduliguidare-sicuri-fase-di-post-vendita-faq-accordion-hounveicoloassicuratopostemadevosostituirloetrasferirelapolizzacosadevofare-0" aria-expanded="false" aria-controls="item-posteinsurancebrokerposteinsurancebroker-moduliguidare-sicuri-fase-di-post-vendita-faq-accordion-hounveicoloassicuratopostemadevosostituirloetrasferirelapolizzacosadevofare-0" title="Ho un veicolo assicurato Poste ma devo sostituirlo e trasferire la polizza: cosa devo fare?"&gt;</t>
  </si>
  <si>
    <t>https://axe.deque.com/issues/c1c9be4d-915a-4148-a00d-593c9cb82a02</t>
  </si>
  <si>
    <t>https://axe.deque.com/issues/24c8f3bb-fdf8-452d-8b4a-845cfd3fe0ce</t>
  </si>
  <si>
    <t>["#heading-item-posteinsurancebrokerposteinsurancebroker-moduliguidare-sicuri-fase-di-post-vendita-faq-accordion-devomodificaredeidatinelmiocontrattocosadevofare-1-1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</si>
  <si>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href="#item-posteinsurancebrokerposteinsurancebroker-moduliguidare-sicuri-fase-di-post-vendita-faq-accordion-devomodificaredeidatinelmiocontrattocosadevofare-1" aria-expanded="false" aria-controls="item-posteinsurancebrokerposteinsurancebroker-moduliguidare-sicuri-fase-di-post-vendita-faq-accordion-devomodificaredeidatinelmiocontrattocosadevofare-1" title="Devo modificare dei dati nel mio contratto: cosa devo fare?"&gt;</t>
  </si>
  <si>
    <t>https://axe.deque.com/issues/cc7aa7a9-18bd-4c69-a363-224ebaee28b3</t>
  </si>
  <si>
    <t>https://axe.deque.com/issues/383c6550-a0a5-42d1-ac82-4fc315863762</t>
  </si>
  <si>
    <t>["#heading-item-posteinsurancebrokerposteinsurancebroker-moduliguidare-sicuri-fase-di-post-vendita-faq-accordion-cosadevofaresehomodificatolamiaresidenza-2-2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</si>
  <si>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href="#item-posteinsurancebrokerposteinsurancebroker-moduliguidare-sicuri-fase-di-post-vendita-faq-accordion-cosadevofaresehomodificatolamiaresidenza-2" aria-expanded="false" aria-controls="item-posteinsurancebrokerposteinsurancebroker-moduliguidare-sicuri-fase-di-post-vendita-faq-accordion-cosadevofaresehomodificatolamiaresidenza-2" title="Cosa devo fare se ho modificato la mia residenza?"&gt;</t>
  </si>
  <si>
    <t>https://axe.deque.com/issues/a6adf20b-0baf-4068-ac6c-f6f149697c6c</t>
  </si>
  <si>
    <t>https://axe.deque.com/issues/495ec5f3-fd33-4418-9350-51f1cc71bed5</t>
  </si>
  <si>
    <t>["#heading-item-posteinsurancebrokerposteinsurancebroker-moduliguidare-sicuri-fase-di-post-vendita-faq-accordion-cosadevofarepersospenderelamiapolizza-3-3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</si>
  <si>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href="#item-posteinsurancebrokerposteinsurancebroker-moduliguidare-sicuri-fase-di-post-vendita-faq-accordion-cosadevofarepersospenderelamiapolizza-3" aria-expanded="false" aria-controls="item-posteinsurancebrokerposteinsurancebroker-moduliguidare-sicuri-fase-di-post-vendita-faq-accordion-cosadevofarepersospenderelamiapolizza-3" title="Cosa devo fare per sospendere la mia polizza?"&gt;</t>
  </si>
  <si>
    <t>https://axe.deque.com/issues/55f63d85-d1db-45fc-8c2d-c3ebcf513821</t>
  </si>
  <si>
    <t>https://axe.deque.com/issues/5222fc5b-6055-4092-9acc-996b7ae7a4aa</t>
  </si>
  <si>
    <t>["#heading-item-posteinsurancebrokerposteinsurancebroker-moduliguidare-sicuri-fase-di-post-vendita-faq-accordion-cosadevofareperriattivarelamiapolizzasospesa-4-4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</si>
  <si>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href="#item-posteinsurancebrokerposteinsurancebroker-moduliguidare-sicuri-fase-di-post-vendita-faq-accordion-cosadevofareperriattivarelamiapolizzasospesa-4" aria-expanded="false" aria-controls="item-posteinsurancebrokerposteinsurancebroker-moduliguidare-sicuri-fase-di-post-vendita-faq-accordion-cosadevofareperriattivarelamiapolizzasospesa-4" title="Cosa devo fare per riattivare la mia polizza sospesa?"&gt;</t>
  </si>
  <si>
    <t>https://axe.deque.com/issues/7b4a5bd6-099d-4a10-ac2e-8a63c647a772</t>
  </si>
  <si>
    <t>https://axe.deque.com/issues/f6bf3a6f-e6c8-4e68-99e5-07e8d2cec81f</t>
  </si>
  <si>
    <t>["#heading-item-posteinsurancebrokerposteinsurancebroker-moduliguidare-sicuri-fase-di-post-vendita-faq-accordion-possochiudereilmiocontrattoassicurativoprimadellascadenza-5-5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</si>
  <si>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href="#item-posteinsurancebrokerposteinsurancebroker-moduliguidare-sicuri-fase-di-post-vendita-faq-accordion-possochiudereilmiocontrattoassicurativoprimadellascadenza-5" aria-expanded="false" aria-controls="item-posteinsurancebrokerposteinsurancebroker-moduliguidare-sicuri-fase-di-post-vendita-faq-accordion-possochiudereilmiocontrattoassicurativoprimadellascadenza-5" title="Posso chiudere il mio contratto assicurativo prima della scadenza?"&gt;</t>
  </si>
  <si>
    <t>https://axe.deque.com/issues/4b0d4d36-ec63-48af-a164-dd28bd5d393c</t>
  </si>
  <si>
    <t>https://axe.deque.com/issues/d3e05792-b958-457b-b4eb-a16a62a2becc</t>
  </si>
  <si>
    <t>["#heading-item-posteinsurancebrokerposteinsurancebroker-moduliguidare-sicuri-fase-di-post-vendita-faq-accordion-perqualsiasiinformazionesullostatodeimieisinistrichidevocontattare-6-6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</si>
  <si>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href="#item-posteinsurancebrokerposteinsurancebroker-moduliguidare-sicuri-fase-di-post-vendita-faq-accordion-perqualsiasiinformazionesullostatodeimieisinistrichidevocontattare-6" aria-expanded="false" aria-controls="item-posteinsurancebrokerposteinsurancebroker-moduliguidare-sicuri-fase-di-post-vendita-faq-accordion-perqualsiasiinformazionesullostatodeimieisinistrichidevocontattare-6" title="Per qualsiasi informazione sullo stato dei miei sinistri chi devo contattare?"&gt;</t>
  </si>
  <si>
    <t>https://axe.deque.com/issues/c1ffeda7-6f7b-4b0f-813f-f3cb5d20fe0c</t>
  </si>
  <si>
    <t>https://axe.deque.com/issues/741531c9-a2ef-43ab-930d-7c04dbd1cc50</t>
  </si>
  <si>
    <t>["#heading-item-posteinsurancebrokerposteinsurancebroker-moduliguidare-sicuri-fase-di-post-vendita-faq-accordion-cosadevofareincasodiincidente-7-7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</si>
  <si>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href="#item-posteinsurancebrokerposteinsurancebroker-moduliguidare-sicuri-fase-di-post-vendita-faq-accordion-cosadevofareincasodiincidente-7" aria-expanded="false" aria-controls="item-posteinsurancebrokerposteinsurancebroker-moduliguidare-sicuri-fase-di-post-vendita-faq-accordion-cosadevofareincasodiincidente-7" title="Cosa devo fare in caso di incidente?"&gt;</t>
  </si>
  <si>
    <t>https://axe.deque.com/issues/f18cf6de-75ee-4fb2-8d67-0e7dcd0c4509</t>
  </si>
  <si>
    <t>https://axe.deque.com/issues/e3cde3da-8f4b-42c8-a7cc-cdf10a4c4eed</t>
  </si>
  <si>
    <t>["#heading-item-posteinsurancebrokerposteinsurancebroker-moduliguidare-sicuri-fase-di-post-vendita-faq-accordion-cosadevofareperpagarelaratasemestraledellapolizza-8-8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</si>
  <si>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href="#item-posteinsurancebrokerposteinsurancebroker-moduliguidare-sicuri-fase-di-post-vendita-faq-accordion-cosadevofareperpagarelaratasemestraledellapolizza-8" aria-expanded="false" aria-controls="item-posteinsurancebrokerposteinsurancebroker-moduliguidare-sicuri-fase-di-post-vendita-faq-accordion-cosadevofareperpagarelaratasemestraledellapolizza-8" title="Cosa devo fare per pagare la rata semestrale della polizza?"&gt;</t>
  </si>
  <si>
    <t>https://axe.deque.com/issues/11b2b2e7-4a64-4a5a-9a1f-a5798816efcc</t>
  </si>
  <si>
    <t>https://axe.deque.com/issues/1c3be779-3e14-4d3b-975c-574dcfdf72e3</t>
  </si>
  <si>
    <t>["#heading-item-posteinsurancebrokerposteinsurancebroker-moduliguidare-sicuri-fase-di-post-vendita-faq-accordion-ilrinnovodipolizzapossibilesoloinupoanchetramitelareariservatadellacompagniapartner-9-9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</si>
  <si>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href="#item-posteinsurancebrokerposteinsurancebroker-moduliguidare-sicuri-fase-di-post-vendita-faq-accordion-ilrinnovodipolizzapossibilesoloinupoanchetramitelareariservatadellacompagniapartner-9" aria-expanded="false" aria-controls="item-posteinsurancebrokerposteinsurancebroker-moduliguidare-sicuri-fase-di-post-vendita-faq-accordion-ilrinnovodipolizzapossibilesoloinupoanchetramitelareariservatadellacompagniapartner-9" title="Il rinnovo di polizza è possibile solo in UP, o anche tramite l’area riservata della Compagnia Partner?"&gt;</t>
  </si>
  <si>
    <t>https://axe.deque.com/issues/5d0e2845-b049-45e4-8323-6b8b48ee001d</t>
  </si>
  <si>
    <t>https://axe.deque.com/issues/8fcae5a6-2e2d-4d58-bd4c-cc9fc01b8164</t>
  </si>
  <si>
    <t>["#heading-item-posteinsurancebrokerposteinsurancebroker-moduliguidare-sicuri-fase-di-post-vendita-faq-accordion-possocambiaremetododipagamentoperlaratasemestrale-10-10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</si>
  <si>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href="#item-posteinsurancebrokerposteinsurancebroker-moduliguidare-sicuri-fase-di-post-vendita-faq-accordion-possocambiaremetododipagamentoperlaratasemestrale-10" aria-expanded="false" aria-controls="item-posteinsurancebrokerposteinsurancebroker-moduliguidare-sicuri-fase-di-post-vendita-faq-accordion-possocambiaremetododipagamentoperlaratasemestrale-10" title="Posso cambiare metodo di pagamento per la rata semestrale?"&gt;</t>
  </si>
  <si>
    <t>https://axe.deque.com/issues/200db599-111f-4d24-9887-bbd5dbcb8ba8</t>
  </si>
  <si>
    <t>https://axe.deque.com/issues/826287d0-1a42-45e1-8ed6-d022215c6a2f</t>
  </si>
  <si>
    <t>["#heading-item-posteinsurancebrokerposteinsurancebroker-moduliguidare-sicuri-fase-di-post-vendita-faq-accordion-comepossorinnovarelamiaassicurazionercauto-11-11 &gt; .panel-title &gt; .accordion-toggle.collapsed[role=\"button\"]"]</t>
  </si>
  <si>
    <t>&lt;a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href="#item-posteinsurancebrokerposteinsurancebroker-moduliguidare-sicuri-fase-di-post-vendita-faq-accordion-comepossorinnovarelamiaassicurazionercauto-11" aria-expanded="false" aria-controls="item-posteinsurancebrokerposteinsurancebroker-moduliguidare-sicuri-fase-di-post-vendita-faq-accordion-comepossorinnovarelamiaassicurazionercauto-11" title="Come posso rinnovare la mia assicurazione RCAuto?"&gt;</t>
  </si>
  <si>
    <t>https://axe.deque.com/issues/c6c08236-4b5d-4747-a31a-5bd675192e3e</t>
  </si>
  <si>
    <t>https://axe.deque.com/issues/5e9b8e62-cece-4b05-83e5-d6608782b077</t>
  </si>
  <si>
    <t>https://axe.deque.com/issues/b4f91585-ab79-4875-892a-64c7432bea84</t>
  </si>
  <si>
    <t>https://axe.deque.com/issues/d3133453-55b6-44f3-8f3d-b87246df5cf8</t>
  </si>
  <si>
    <t>https://axe.deque.com/issues/ceb381a4-91d4-433f-bde2-91497117e0ac</t>
  </si>
  <si>
    <t>TM0225</t>
  </si>
  <si>
    <t>TM0226</t>
  </si>
  <si>
    <t>TM0227</t>
  </si>
  <si>
    <t>TM0228</t>
  </si>
  <si>
    <t>TM0229</t>
  </si>
  <si>
    <t>TM0230</t>
  </si>
  <si>
    <t>TM0231</t>
  </si>
  <si>
    <t>TM0232</t>
  </si>
  <si>
    <t>TM0233</t>
  </si>
  <si>
    <t>TM0234</t>
  </si>
  <si>
    <t>TM0235</t>
  </si>
  <si>
    <t>TM0236</t>
  </si>
  <si>
    <t>TM0237</t>
  </si>
  <si>
    <t>TM0238</t>
  </si>
  <si>
    <t>TM0239</t>
  </si>
  <si>
    <t>TM0240</t>
  </si>
  <si>
    <t>TM0241</t>
  </si>
  <si>
    <t>TM0242</t>
  </si>
  <si>
    <t>TM0243</t>
  </si>
  <si>
    <t>TM0244</t>
  </si>
  <si>
    <t>TM0245</t>
  </si>
  <si>
    <t>TM0246</t>
  </si>
  <si>
    <t>TM0247</t>
  </si>
  <si>
    <t>TM0248</t>
  </si>
  <si>
    <t>TM0249</t>
  </si>
  <si>
    <t>TM0250</t>
  </si>
  <si>
    <t>TM0251</t>
  </si>
  <si>
    <t>TM0252</t>
  </si>
  <si>
    <t>TM0253</t>
  </si>
  <si>
    <t>TM0254</t>
  </si>
  <si>
    <t>TM0255</t>
  </si>
  <si>
    <t>TM0256</t>
  </si>
  <si>
    <t>TM0257</t>
  </si>
  <si>
    <t>TM0258</t>
  </si>
  <si>
    <t>TM0259</t>
  </si>
  <si>
    <t>TM0260</t>
  </si>
  <si>
    <t>TM0261</t>
  </si>
  <si>
    <t>TM0262</t>
  </si>
  <si>
    <t>TM0263</t>
  </si>
  <si>
    <t>TM0264</t>
  </si>
  <si>
    <t>TM0265</t>
  </si>
  <si>
    <t>TM0266</t>
  </si>
  <si>
    <t>TM0267</t>
  </si>
  <si>
    <t>TM0268</t>
  </si>
  <si>
    <t>TM0269</t>
  </si>
  <si>
    <t>TM0270</t>
  </si>
  <si>
    <t>TM0271</t>
  </si>
  <si>
    <t>TM0272</t>
  </si>
  <si>
    <t>TM0273</t>
  </si>
  <si>
    <t>TM0274</t>
  </si>
  <si>
    <t>TM0275</t>
  </si>
  <si>
    <t>TM0276</t>
  </si>
  <si>
    <t>TM0277</t>
  </si>
  <si>
    <t>TM0278</t>
  </si>
  <si>
    <t>TM0279</t>
  </si>
  <si>
    <t>TM0280</t>
  </si>
  <si>
    <t>TM0281</t>
  </si>
  <si>
    <t>TM0282</t>
  </si>
  <si>
    <t>TM0283</t>
  </si>
  <si>
    <t>TM0284</t>
  </si>
  <si>
    <t>TM0285</t>
  </si>
  <si>
    <t>TM0286</t>
  </si>
  <si>
    <t>TM0287</t>
  </si>
  <si>
    <t>TM0288</t>
  </si>
  <si>
    <t>TM0289</t>
  </si>
  <si>
    <t>TM0290</t>
  </si>
  <si>
    <t>TM0291</t>
  </si>
  <si>
    <t>TM0292</t>
  </si>
  <si>
    <t>TM0293</t>
  </si>
  <si>
    <t>TM0294</t>
  </si>
  <si>
    <t>TM0295</t>
  </si>
  <si>
    <t>TM0296</t>
  </si>
  <si>
    <t>TM0297</t>
  </si>
  <si>
    <t>TM0298</t>
  </si>
  <si>
    <t>TM0299</t>
  </si>
  <si>
    <t>TM0300</t>
  </si>
  <si>
    <t>TM0301</t>
  </si>
  <si>
    <t>TM0302</t>
  </si>
  <si>
    <t>TM0303</t>
  </si>
  <si>
    <t>TM0304</t>
  </si>
  <si>
    <t>TM0305</t>
  </si>
  <si>
    <t>TM0306</t>
  </si>
  <si>
    <t>TM0307</t>
  </si>
  <si>
    <t>TM0308</t>
  </si>
  <si>
    <t>TM0309</t>
  </si>
  <si>
    <t>TM0310</t>
  </si>
  <si>
    <t>TM0311</t>
  </si>
  <si>
    <t>TM0312</t>
  </si>
  <si>
    <t>TM0313</t>
  </si>
  <si>
    <t>TM0314</t>
  </si>
  <si>
    <t>TM0315</t>
  </si>
  <si>
    <t>TM0316</t>
  </si>
  <si>
    <t>TM0317</t>
  </si>
  <si>
    <t>TM0318</t>
  </si>
  <si>
    <t>TM0319</t>
  </si>
  <si>
    <t>TM0320</t>
  </si>
  <si>
    <t>TM0321</t>
  </si>
  <si>
    <t>TM0322</t>
  </si>
  <si>
    <t>TM0323</t>
  </si>
  <si>
    <t>TM0324</t>
  </si>
  <si>
    <t>TM0325</t>
  </si>
  <si>
    <t>TM0326</t>
  </si>
  <si>
    <t>TM0327</t>
  </si>
  <si>
    <t>TM0328</t>
  </si>
  <si>
    <t>TM0329</t>
  </si>
  <si>
    <t>TM0330</t>
  </si>
  <si>
    <t>TM0331</t>
  </si>
  <si>
    <t>TM0332</t>
  </si>
  <si>
    <t>TM0333</t>
  </si>
  <si>
    <t>TM0334</t>
  </si>
  <si>
    <t>TM0335</t>
  </si>
  <si>
    <t>TM0336</t>
  </si>
  <si>
    <t>TM0337</t>
  </si>
  <si>
    <t>TM0338</t>
  </si>
  <si>
    <t>TM0339</t>
  </si>
  <si>
    <t>TM0340</t>
  </si>
  <si>
    <t>TM0341</t>
  </si>
  <si>
    <t>TM0342</t>
  </si>
  <si>
    <t>TM0343</t>
  </si>
  <si>
    <t>TM0344</t>
  </si>
  <si>
    <t>TM0345</t>
  </si>
  <si>
    <t>TM0346</t>
  </si>
  <si>
    <t>TM0347</t>
  </si>
  <si>
    <t>TM0348</t>
  </si>
  <si>
    <t>TM0349</t>
  </si>
  <si>
    <t>TM0350</t>
  </si>
  <si>
    <t>TM0351</t>
  </si>
  <si>
    <t>TM0352</t>
  </si>
  <si>
    <t>TM0353</t>
  </si>
  <si>
    <t>TM0354</t>
  </si>
  <si>
    <t>TM0355</t>
  </si>
  <si>
    <t>TM0356</t>
  </si>
  <si>
    <t>TM0357</t>
  </si>
  <si>
    <t>TM0358</t>
  </si>
  <si>
    <t>TM0359</t>
  </si>
  <si>
    <t>TM0360</t>
  </si>
  <si>
    <t>TM0361</t>
  </si>
  <si>
    <t>TM0362</t>
  </si>
  <si>
    <t>TM0363</t>
  </si>
  <si>
    <t>TM0364</t>
  </si>
  <si>
    <t>TM0365</t>
  </si>
  <si>
    <t>TM0366</t>
  </si>
  <si>
    <t>TM0367</t>
  </si>
  <si>
    <t>TM0368</t>
  </si>
  <si>
    <t>TM0369</t>
  </si>
  <si>
    <t>TM0370</t>
  </si>
  <si>
    <t>TM0371</t>
  </si>
  <si>
    <t>TM0372</t>
  </si>
  <si>
    <t>TM0373</t>
  </si>
  <si>
    <t>TM0374</t>
  </si>
  <si>
    <t>TM0375</t>
  </si>
  <si>
    <t>TM0376</t>
  </si>
  <si>
    <t>TM0377</t>
  </si>
  <si>
    <t>TM0378</t>
  </si>
  <si>
    <t>TM0379</t>
  </si>
  <si>
    <t>TM0380</t>
  </si>
  <si>
    <t>TM0381</t>
  </si>
  <si>
    <t>TM0382</t>
  </si>
  <si>
    <t>TM0383</t>
  </si>
  <si>
    <t>TM0384</t>
  </si>
  <si>
    <t>TM0385</t>
  </si>
  <si>
    <t>TM0386</t>
  </si>
  <si>
    <t>TM0387</t>
  </si>
  <si>
    <t>Identificativo in relazione  </t>
  </si>
  <si>
    <t>Numero ticket  </t>
  </si>
  <si>
    <t>Priorità  </t>
  </si>
  <si>
    <t>Errore  </t>
  </si>
  <si>
    <t>Soluzione  </t>
  </si>
  <si>
    <t>Link screenshot / video  </t>
  </si>
  <si>
    <t>AP</t>
  </si>
  <si>
    <t>PK</t>
  </si>
  <si>
    <t>(#D0001)</t>
  </si>
  <si>
    <t>001 - Gli ID ARIA non sono univoci - Il valore di un ID ARIA deve essere univoco per evitare che altre istanze vengano trascurate dalle tecnologie assistive. [Ulteriori informazioni] (https://web.dev/duplicate-id-aria/)</t>
  </si>
  <si>
    <t>001 - Cambia il valore dell'ID usato piu di una volta, per essere sicuro che sia univoco</t>
  </si>
  <si>
    <t>(#D0002)</t>
  </si>
  <si>
    <t>(#D0006)</t>
  </si>
  <si>
    <t>(#D0007)</t>
  </si>
  <si>
    <t>(#D0008)</t>
  </si>
  <si>
    <t>(#D0009)</t>
  </si>
  <si>
    <t>001 - Gli elementi immagine non hanno attributi '[alt]' - Gli elementi informativi dovrebbero mirare a un testo alternativo breve e descrittivo. Gli elementi decorativi possono essere ignorati con un attributo alt vuoto. [Ulteriori informazioni] (https://dequeuniversity.com/rules/axe/4.10/image-alt)</t>
  </si>
  <si>
    <t>001 - Fornisci un attributo alt descrittivo per ogni immagine. Questo consente agli screen reader di descrivere l’immagine agli utenti con disabilità visive, migliorando l’accessibilità del contenuto visivo.</t>
  </si>
  <si>
    <t>(#D0012)</t>
  </si>
  <si>
    <t>001 - [user-scalable="no"]' viene utilizzato nell'elemento '&lt;meta name="viewport"&gt;' oppure l'attributo '[maximum-scale]' è minore di 5. - La disattivazione dello zoom è problematica per gli utenti ipovedenti che si affidano all'ingrandimento dello schermo per visualizzare correttamente il contenuto di una pagina Web. [Ulteriori informazioni] (https://dequeuniversity.com/rules/axe/4.10/meta-viewport)</t>
  </si>
  <si>
    <t>001 - Rimuovere user-scalable="no" dal &lt;meta name="viewport"&gt;: Questo attributo impedisce agli utenti di ingrandire la pagina, violando l'accessibilità. Permettere lo zoom offre maggiore flessibilità per gli utenti con esigenze visive specifiche.
Impostare [maximum-scale] a un valore pari o superiore a 5: Garantire che l'utente possa ingrandire fino al livello desiderato.
Verificare il reflow del contenuto: Dopo aver abilitato lo zoom, assicurarsi che i contenuti si adattino correttamente alle diverse scale senza richiedere lo scrolling orizzontale.</t>
  </si>
  <si>
    <t>(#D0013)</t>
  </si>
  <si>
    <t>001 - Gli elementi devono utilizzare solo attributi ARIA ammissibili - Assicurarsi che gli attributi ARIA siano consentiti per il ruolo di un elemento [Ulteriori informazioni] (https://dequeuniversity.com/rules/axe/4.7/aria-allowed-attr?application=drwright)_x000D_
002 -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t>
  </si>
  <si>
    <t>001 - Verificare che gli attributi ARIA utilizzati siano ammessi per i ruoli specificati negli elementi, consultando la documentazione ufficiale WAI-ARIA. Rimuovere o correggere gli attributi non validi per garantire conformità e compatibilità._x000D_
002 - Evita di nidificare elementi interattivi (es. un pulsante all'interno di un link). Ristruttura il codice per garantire che ogni controllo interattivo sia indipendente e non sovrapposto ad altri, ad esempio utilizzando uno stile o un elemento contenitore non interattivo.</t>
  </si>
  <si>
    <t>(#D0019)</t>
  </si>
  <si>
    <t>(#TM0001)</t>
  </si>
  <si>
    <t>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t>
  </si>
  <si>
    <t>001 - Correggi uno dei seguenti problemi:
Il testo all'interno dell'elemento non è incluso nel nome accessibile</t>
  </si>
  <si>
    <t>(#TM0043)</t>
  </si>
  <si>
    <t>001 -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t>
  </si>
  <si>
    <t>001 - Modifica i colori del testo e/o dello sfondo dei controlli per garantire un rapporto di contrasto di almeno 4,5:1, inclusi gli stati attivo e hover.</t>
  </si>
  <si>
    <t>(#TM0046)</t>
  </si>
  <si>
    <t>001 - Il contenuto non è una list, ma è contrassegnato come tale - Il contenuto non è una list, ma è contrassegnato come tale. [Ulteriori informazioni] (https://docs.deque.com/issue-help/1.0.0/en/semantic-list-used-for-presentation)</t>
  </si>
  <si>
    <t>001 - Usa elementi di lista come &lt;ul&gt;, &lt;ol&gt;, e &lt;li&gt; solo per contenuti che devono essere presentati in forma di elenco. Assicurati che le liste siano semanticamente corrette per evitare confusione</t>
  </si>
  <si>
    <t>(#TM0050)</t>
  </si>
  <si>
    <t>9.3.2.1</t>
  </si>
  <si>
    <t>001 - Nuova finestra avviata quando il componente riceve lo stato attivo - Viene avviata una nuova finestra quando un componente riceve lo stato attivo. [Ulteriori informazioni] (https://docs.deque.com/issue-help/1.0.0/en/focus-window-launches)</t>
  </si>
  <si>
    <t>001 - Garantisci che quando una nuova finestra o un contenuto modale viene lanciato, il focus sia spostato automaticamente al nuovo contenuto per migliorare l'accessibilità e l'usabilità.</t>
  </si>
  <si>
    <t>(#TM0063)</t>
  </si>
  <si>
    <t>(#TM0066)</t>
  </si>
  <si>
    <t>001 -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t>
  </si>
  <si>
    <t>001 - Evita di nidificare elementi interattivi (es. un pulsante all'interno di un link). Ristruttura il codice per garantire che ogni controllo interattivo sia indipendente e non sovrapposto ad altri, ad esempio utilizzando uno stile o un elemento contenitore non interattivo.</t>
  </si>
  <si>
    <t>(#TM0081)</t>
  </si>
  <si>
    <t>(#TM0084)</t>
  </si>
  <si>
    <t>(#TM0085)</t>
  </si>
  <si>
    <t>(#TM0088)</t>
  </si>
  <si>
    <t>001 -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002 -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t>
  </si>
  <si>
    <t>001 - Evita di nidificare elementi interattivi (es. un pulsante all'interno di un link). Ristruttura il codice per garantire che ogni controllo interattivo sia indipendente e non sovrapposto ad altri, ad esempio utilizzando uno stile o un elemento contenitore non interattivo._x000D_
002 - Assegna a ogni pulsante un nome accessibile utilizzando il contenuto visibile (es. testo) o attributi come aria-label o aria-labelledby. Ad esempio: &lt;button aria-label="Invia"&gt;.</t>
  </si>
  <si>
    <t>(#TM0128)</t>
  </si>
  <si>
    <t>001 -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002 - I colori di sfondo e di primo piano non hanno un rapporto di contrasto sufficiente. - Il testo a basso contrasto è difficile o impossibile da leggere per molti utenti. [Ulteriori informazioni] (https://dequeuniversity.com/rules/axe/4.10/color-contrast)</t>
  </si>
  <si>
    <t>001 - Modifica i colori del testo e/o dello sfondo dei controlli per garantire un rapporto di contrasto di almeno 4,5:1, inclusi gli stati attivo e hover._x000D_
002 - Aumenta il contrasto tra testo e sfondo per rendere il contenuto leggibile da utenti con difficoltà visive. WCAG richiede un rapporto di almeno 4.5:1 per il testo normale e 3:1 per il testo grande, quindi scegli colori che rispettino queste soglie.</t>
  </si>
  <si>
    <t>(#TM0133)</t>
  </si>
  <si>
    <t>001 - La funzione non può essere eseguita dalla sola tastiera - Non è possibile eseguire la funzione utilizzando solo la tastiera sulla stessa schermata o su una versione alternativa conforme qualificata. [Ulteriori informazioni] (https://docs.deque.com/issue-help/1.0.0/en/keyboard-inaccessible)</t>
  </si>
  <si>
    <t>001 -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t>
  </si>
  <si>
    <t>(#TM0134)</t>
  </si>
  <si>
    <t>001 - Il contenuto non è una list, ma è contrassegnato come tale - Il contenuto non è una list, ma è contrassegnato come tale. [Ulteriori informazioni] (https://docs.deque.com/issue-help/1.0.0/en/semantic-list-used-for-presentation)_x000D_
002 - Agli elementi form non sono associate etichette - Le etichette assicurano che i controlli delle form vengano annunciati correttamente dalle tecnologie assistive, come gli screen reader. [Ulteriori informazioni] (https://web.dev/label/)</t>
  </si>
  <si>
    <t>001 - Usa elementi di lista come &lt;ul&gt;, &lt;ol&gt;, e &lt;li&gt; solo per contenuti che devono essere presentati in forma di elenco. Assicurati che le liste siano semanticamente corrette per evitare confusione_x000D_
002 - Ogni campo del form dovrebbe avere un’etichetta associata tramite il tag &lt;label&gt; per facilitare l’interazione degli utenti che utilizzano tecnologie assistive. Le etichette devono descrivere chiaramente la funzione del campo.</t>
  </si>
  <si>
    <t>(#TM0135)</t>
  </si>
  <si>
    <t>(#TM0138)</t>
  </si>
  <si>
    <t>(#TM0143)</t>
  </si>
  <si>
    <t>(#TM0144)</t>
  </si>
  <si>
    <t>001 - Nome: il nome dell'elemento è mancante o errato - Il nome accessibile dell'elemento è mancante o non è appropriato per lo scopo dell'elemento. [Ulteriori informazioni] (https://docs.deque.com/issue-help/1.0.0/en/aria-name-missing-incorrect)</t>
  </si>
  <si>
    <t>001 - Il nome accessibile dell'elemento non è presente o non è appropriato per lo scopo dell'elemento</t>
  </si>
  <si>
    <t>(#TM0145)</t>
  </si>
  <si>
    <t>001 - Il testo dell'intestazione visiva non è contrassegnato come intestazione - Il testo viene visualizzato e funziona come un'intestazione di sezione, ma non viene contrassegnato come tale. [Ulteriori informazioni] (https://docs.deque.com/issue-help/1.0.0/en/semantic-heading)_x000D_
002 - Il contenuto non è una list, ma è contrassegnato come tale - Il contenuto non è una list, ma è contrassegnato come tale. [Ulteriori informazioni] (https://docs.deque.com/issue-help/1.0.0/en/semantic-list-used-for-presentation)</t>
  </si>
  <si>
    <t>001 - Il testo che agisce come intestazione visivamente o strutturalmente DOVREBBE essere designato come una intestazione nel markup (h1,h2,...).
Possibile soluzione:
Assicurarsi che il testo che funge da intestazione visiva sia marcato con i tag appropriati di intestazione HTML, come `&lt;h1&gt;`, `&lt;h2&gt;`, ecc. Questo aiuta a definire chiaramente la struttura della pagina per i lettori di schermo._x000D_
002 - Usa elementi di lista come &lt;ul&gt;, &lt;ol&gt;, e &lt;li&gt; solo per contenuti che devono essere presentati in forma di elenco. Assicurati che le liste siano semanticamente corrette per evitare confusione</t>
  </si>
  <si>
    <t>(#TM0161)</t>
  </si>
  <si>
    <t>001 - L'elemento nascosto o vuoto riceve lo stato attivo - Lo stato attivo della tastiera o lo scorrimento del touch screen si verifica su un elemento nascosto o vuoto. [Ulteriori informazioni] (https://docs.deque.com/issue-help/1.0.0/en/focus-on-hidden-item)</t>
  </si>
  <si>
    <t xml:space="preserve">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t>
  </si>
  <si>
    <t>(#TM0175)</t>
  </si>
  <si>
    <t>(#TM0178)</t>
  </si>
  <si>
    <t>(#TM0208)</t>
  </si>
  <si>
    <t>(#TM0211)</t>
  </si>
  <si>
    <t>D00110.1.3.1</t>
  </si>
  <si>
    <t>(#PDF0001)</t>
  </si>
  <si>
    <t>001 - Utilizza i tag per specificare la struttura logica del PDF  - Utilizza i tag per specificare la struttura logica del PDF (https://www.w3.org/TR/WCAG20-TECHS/pdf#pdf_notes_acc-sup_tagged)_x000D_
002 - Fornire intestazioni contrassegnando il contenuto con tag di intestazione nei documenti PDF  - Fornire intestazioni contrassegnando il contenuto con tag di intestazione nei documenti PDF (https://www.w3.org/WAI/WCAG22/Techniques/pdf/PDF9)_x000D_
003 - Documento non contrassegnato come taggato - Documento non contrassegnato come taggato (https://www.w3.org/WAI/WCAG21/Techniques/pdf/PDF1)_x000D_
004 - Oggetto di percorso non taggato - Oggetto di percorso non taggato (https://www.w3.org/WAI/WCAG21/Techniques/pdf/PDF1)_x000D_
005 - Oggetto immagine non taggato - Oggetto immagine non taggato (https://www.w3.org/WAI/WCAG21/Techniques/pdf/PDF1)_x000D_
006 - Oggetto testo non taggato - Oggetto testo non taggato (https://www.w3.org/WAI/WCAG21/Techniques/pdf/PDF1)</t>
  </si>
  <si>
    <t>001 - Cambiare la struttura del PDF a Tagged PDF_x000D_
002 - I documenti pdf devono avere gli heading correttamente marcati:
- Aggiungendo o modificando i tag heading su prodotti di modifica PDF
- Creando documenti in programmi Word usando lo styling corretto per la conversione in PDF
- Marcando gli heading usando elementi /Hn_x000D_
003 - Contrassegnare tutto il documento come taggato per consentire l'accesso agli screen reader. In Adobe Acrobat, selezionare Aggiungi tag al documento._x000D_
004 - Assicurarsi che tutti gli oggetti grafici di tipo percorso siano taggati. In Adobe Acrobat, selezionare l'oggetto e aggiungere un tag appropriato nella struttura dei tag._x000D_
005 - Taggare ogni immagine e fornire una descrizione significativa per l'accesso tramite lettori di schermo. Usare Strumenti &gt; Accessibilità &gt; Aggiungi tag all'immagine_x000D_
006 - Assicurarsi che tutti i blocchi di testo siano taggati correttamente nella struttura PDF per l’accesso con screen reader. In Adobe Acrobat, usare l'opzione Aggiungi tag al documento.</t>
  </si>
  <si>
    <t>D00110.1.3.2</t>
  </si>
  <si>
    <t>(#PDF0003)</t>
  </si>
  <si>
    <t>001 - Garantire il corretto ordine di tabulazione e di lettura nei documenti PDF  - Garantire il corretto ordine di tabulazione e di lettura nei documenti PDF (https://www.w3.org/WAI/WCAG22/Techniques/pdf/PDF3)</t>
  </si>
  <si>
    <t>001 - Imposta l'ordine di scorrimento degli elementi su una pagina utilizzando l'opzione "Struttura documento"</t>
  </si>
  <si>
    <t>D00110.2.4.2</t>
  </si>
  <si>
    <t>(#PDF0004)</t>
  </si>
  <si>
    <t>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Titolo mancante nei metadati XMP del documento - Titolo mancante nei metadati XMP del documento (https://www.w3.org/WAI/WCAG21/Techniques/general/G88)_x000D_
003 - "DisplayDocTitle" non impostato - "DisplayDocTitle" non impostato (https://www.w3.org/WAI/WCAG21/Techniques/general/G88)</t>
  </si>
  <si>
    <t>001 - Imposta il nuovo titolo PDF_x000D_
002 - Aggiungere un titolo descrittivo nei metadati del documento (XMP), che aiuti gli utenti a identificare facilmente il contenuto. In Adobe Acrobat, andare su File &gt; Proprietà &gt; Descrizione e inserire un titolo._x000D_
003 - Impostare l’opzione "DisplayDocTitle" per mostrare il titolo del documento anziché il nome file. In Acrobat, andare su File &gt; Proprietà &gt; Visualizzazione iniziale e selezionare “Mostra titolo documento”.</t>
  </si>
  <si>
    <t>D00110.3.1.1</t>
  </si>
  <si>
    <t>(#PDF0005)</t>
  </si>
  <si>
    <t>001 - Impostazione della lingua predefinita utilizzando la voce /Lang nel catalogo documenti di un documento PDF - Impostazione della lingua predefinita utilizzando la voce /Lang nel catalogo documenti di un documento PDF (https://www.w3.org/WAI/WCAG22/Techniques/pdf/PDF16)_x000D_
002 - I metadati della lingua del documento contengono un errore di sintassi - I metadati della lingua del documento contengono un errore di sintassi (https://www.w3.org/WAI/WCAG21/Techniques/html/H57)</t>
  </si>
  <si>
    <t>001 - Seleziona la lingua principale del PDF_x000D_
002 - Correggere l'errore di sintassi nei metadati della lingua per consentire ai lettori di schermo di riconoscere correttamente la lingua.</t>
  </si>
  <si>
    <t>D00110.1.4.3</t>
  </si>
  <si>
    <t>(#PDF0010)</t>
  </si>
  <si>
    <t>001 - Testo con contrasto insufficiente - Testo con contrasto insufficiente (https://www.w3.org/WAI/WCAG21/Techniques/general/G18)</t>
  </si>
  <si>
    <t>001 - Regolare il contrasto tra testo e sfondo, assicurandosi che rispetti il rapporto minimo di contrasto di 4.5:1. Modificare il colore del testo o dello sfondo nel software di editing.</t>
  </si>
  <si>
    <t>D00110.3.1.2</t>
  </si>
  <si>
    <t>(#PDF0014)</t>
  </si>
  <si>
    <t>10.3.1.2</t>
  </si>
  <si>
    <t>001 - La lingua naturale per un oggetto di testo non può essere determinata. - La lingua naturale per un oggetto di testo non può essere determinata. (https://www.w3.org/TR/WCAG20-TECHS/PDF19.html)</t>
  </si>
  <si>
    <t>001 - In Adobe Acrobat Pro, vai su File &gt; Proprietà &gt; Avanzate e imposta la lingua predefinita del documento. Usa strumenti di verifica per controllare che tutti gli oggetti di testo ereditino correttamente questa impostazione.</t>
  </si>
  <si>
    <t>D00210.1.3.1</t>
  </si>
  <si>
    <t xml:space="preserve">Insurance Brocker - 10.1.3.1 Informazioni e correlazioni - D002 Modello CAI - GN:: (#PDF0015)_x000D_
D002 Modello CAI - GN_x000D_
Requisito WCAG: 1.3.1_x000D_
Disabilità afflitte: Blind;Deafblind;Mobility_x000D_
Impatto Utente: 3 - Moderate_x000D_
_x000D_
Descrizione_x000D_
001 - Utilizza i tag per specificare la struttura logica del PDF  - Utilizza i tag per specificare la struttura logica del PDF (https://www.w3.org/TR/WCAG20-TECHS/pdf#pdf_notes_acc-sup_tagged)_x000D_
002 - Fornire intestazioni contrassegnando il contenuto con tag di intestazione nei documenti PDF  - Fornire intestazioni contrassegnando il contenuto con tag di intestazione nei documenti PDF (https://www.w3.org/WAI/WCAG22/Techniques/pdf/PDF9)_x000D_
003 - Documento non contrassegnato come taggato - Documento non contrassegnato come taggato (https://www.w3.org/WAI/WCAG21/Techniques/pdf/PDF1)_x000D_
004 - Oggetto di percorso non taggato - Oggetto di percorso non taggato (https://www.w3.org/WAI/WCAG21/Techniques/pdf/PDF1)_x000D_
005 - Oggetto immagine non taggato - Oggetto immagine non taggato (https://www.w3.org/WAI/WCAG21/Techniques/pdf/PDF1)_x000D_
006 - Oggetto testo non taggato - Oggetto testo non taggato (https://www.w3.org/WAI/WCAG21/Techniques/pdf/PDF1)_x000D_
007 - Font non incorporato - Font non incorporato (https://www.w3.org/WAI/WCAG22/Techniques/general/G117.html)_x000D_
_x000D_
Esempio di violazione individuata sull'oggetto:_x000D_
001 - https://www.media.poste.it/6a7ffb23-48ca-4da0-8809-5d99d243adb4/web/modello-cai-gtel  con selettore_x000D_
002 - https://www.media.poste.it/6a7ffb23-48ca-4da0-8809-5d99d243adb4/web/modello-cai-gtel  con selettore_x000D_
003 - https://www.media.poste.it/6a7ffb23-48ca-4da0-8809-5d99d243adb4/web/modello-cai-gtel  con selettore_x000D_
004 - https://www.media.poste.it/6a7ffb23-48ca-4da0-8809-5d99d243adb4/web/modello-cai-gtel  con selettore_x000D_
005 - https://www.media.poste.it/6a7ffb23-48ca-4da0-8809-5d99d243adb4/web/modello-cai-gtel  con selettore_x000D_
006 - https://www.media.poste.it/6a7ffb23-48ca-4da0-8809-5d99d243adb4/web/modello-cai-gtel  con selettore_x000D_
007 - https://www.media.poste.it/6a7ffb23-48ca-4da0-8809-5d99d243adb4/web/modello-cai-gtel  con selettore_x000D_
_x000D_
Possibile Metodologia Risolutiva:_x000D_
001 - Cambiare la struttura del PDF a Tagged PDF_x000D_
002 - I documenti pdf devono avere gli heading correttamente marcati:
- Aggiungendo o modificando i tag heading su prodotti di modifica PDF
- Creando documenti in programmi Word usando lo styling corretto per la conversione in PDF
- Marcando gli heading usando elementi /Hn_x000D_
003 - Contrassegnare tutto il documento come taggato per consentire l'accesso agli screen reader. In Adobe Acrobat, selezionare Aggiungi tag al documento._x000D_
004 - Assicurarsi che tutti gli oggetti grafici di tipo percorso siano taggati. In Adobe Acrobat, selezionare l'oggetto e aggiungere un tag appropriato nella struttura dei tag._x000D_
005 - Taggare ogni immagine e fornire una descrizione significativa per l'accesso tramite lettori di schermo. Usare Strumenti &gt; Accessibilità &gt; Aggiungi tag all'immagine_x000D_
006 - Assicurarsi che tutti i blocchi di testo siano taggati correttamente nella struttura PDF per l’accesso con screen reader. In Adobe Acrobat, usare l'opzione Aggiungi tag al documento._x000D_
007 - Non comunicare informazioni solo tramite cambi visivi. Utilizzare font, bold face, font size, underline e altri attributi di testo necessita che le informazioni comunicate visivamente debbano essere comunicate altrove anche via testo_x000D_
_x000D_
Occorrenze rilevate: 7_x000D_
_x000D_
Link al dettaglio requisito WCAG: https://www.w3.org/WAI/WCAG21/quickref/_x000D_
</t>
  </si>
  <si>
    <t>(#PDF0015)</t>
  </si>
  <si>
    <t>001 - Utilizza i tag per specificare la struttura logica del PDF  - Utilizza i tag per specificare la struttura logica del PDF (https://www.w3.org/TR/WCAG20-TECHS/pdf#pdf_notes_acc-sup_tagged)_x000D_
002 - Fornire intestazioni contrassegnando il contenuto con tag di intestazione nei documenti PDF  - Fornire intestazioni contrassegnando il contenuto con tag di intestazione nei documenti PDF (https://www.w3.org/WAI/WCAG22/Techniques/pdf/PDF9)_x000D_
003 - Documento non contrassegnato come taggato - Documento non contrassegnato come taggato (https://www.w3.org/WAI/WCAG21/Techniques/pdf/PDF1)_x000D_
004 - Oggetto di percorso non taggato - Oggetto di percorso non taggato (https://www.w3.org/WAI/WCAG21/Techniques/pdf/PDF1)_x000D_
005 - Oggetto immagine non taggato - Oggetto immagine non taggato (https://www.w3.org/WAI/WCAG21/Techniques/pdf/PDF1)_x000D_
006 - Oggetto testo non taggato - Oggetto testo non taggato (https://www.w3.org/WAI/WCAG21/Techniques/pdf/PDF1)_x000D_
007 - Font non incorporato - Font non incorporato (https://www.w3.org/WAI/WCAG22/Techniques/general/G117.html)</t>
  </si>
  <si>
    <t>001 - Cambiare la struttura del PDF a Tagged PDF_x000D_
002 - I documenti pdf devono avere gli heading correttamente marcati:
- Aggiungendo o modificando i tag heading su prodotti di modifica PDF
- Creando documenti in programmi Word usando lo styling corretto per la conversione in PDF
- Marcando gli heading usando elementi /Hn_x000D_
003 - Contrassegnare tutto il documento come taggato per consentire l'accesso agli screen reader. In Adobe Acrobat, selezionare Aggiungi tag al documento._x000D_
004 - Assicurarsi che tutti gli oggetti grafici di tipo percorso siano taggati. In Adobe Acrobat, selezionare l'oggetto e aggiungere un tag appropriato nella struttura dei tag._x000D_
005 - Taggare ogni immagine e fornire una descrizione significativa per l'accesso tramite lettori di schermo. Usare Strumenti &gt; Accessibilità &gt; Aggiungi tag all'immagine_x000D_
006 - Assicurarsi che tutti i blocchi di testo siano taggati correttamente nella struttura PDF per l’accesso con screen reader. In Adobe Acrobat, usare l'opzione Aggiungi tag al documento._x000D_
007 - Non comunicare informazioni solo tramite cambi visivi. Utilizzare font, bold face, font size, underline e altri attributi di testo necessita che le informazioni comunicate visivamente debbano essere comunicate altrove anche via testo</t>
  </si>
  <si>
    <t>D00210.1.3.2</t>
  </si>
  <si>
    <t xml:space="preserve">Insurance Brocker - 10.1.3.2 Sequenza significativa - D002 Modello CAI - GN:: (#PDF0017)_x000D_
D002 Modello CAI - GN_x000D_
Requisito WCAG: 1.3.2_x000D_
Disabilità afflitte: Blind;Deafblind;Mobility_x000D_
Impatto Utente: 1 - Critical_x000D_
_x000D_
Descrizione_x000D_
001 - Garantire il corretto ordine di tabulazione e di lettura nei documenti PDF  - Garantire il corretto ordine di tabulazione e di lettura nei documenti PDF (https://www.w3.org/WAI/WCAG22/Techniques/pdf/PDF3)_x000D_
_x000D_
Esempio di violazione individuata sull'oggetto:_x000D_
001 - https://www.media.poste.it/6a7ffb23-48ca-4da0-8809-5d99d243adb4/web/modello-cai-gtel  con selettore_x000D_
_x000D_
Possibile Metodologia Risolutiva:_x000D_
001 - Imposta l'ordine di scorrimento degli elementi su una pagina utilizzando l'opzione "Struttura documento"_x000D_
_x000D_
Occorrenze rilevate: 1_x000D_
_x000D_
Link al dettaglio requisito WCAG: https://www.w3.org/WAI/WCAG21/quickref/_x000D_
</t>
  </si>
  <si>
    <t>(#PDF0017)</t>
  </si>
  <si>
    <t>D00210.2.4.2</t>
  </si>
  <si>
    <t xml:space="preserve">Insurance Brocker - 10.2.4.2 Titolazione della pagina - D002 Modello CAI - GN:: (#PDF0018)_x000D_
D002 Modello CAI - GN_x000D_
Requisito WCAG: 2.4.2_x000D_
Disabilità afflitte: Blind;Deafblind_x000D_
Impatto Utente: 4 - Minor_x000D_
_x000D_
Descrizione_x000D_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"DisplayDocTitle" non impostato - "DisplayDocTitle" non impostato (https://www.w3.org/WAI/WCAG21/Techniques/general/G88)_x000D_
_x000D_
Esempio di violazione individuata sull'oggetto:_x000D_
001 - https://www.media.poste.it/6a7ffb23-48ca-4da0-8809-5d99d243adb4/web/modello-cai-gtel  con selettore_x000D_
002 - https://www.media.poste.it/6a7ffb23-48ca-4da0-8809-5d99d243adb4/web/modello-cai-gtel  con selettore_x000D_
_x000D_
Possibile Metodologia Risolutiva:_x000D_
001 - Imposta il nuovo titolo PDF_x000D_
002 - Impostare l’opzione "DisplayDocTitle" per mostrare il titolo del documento anziché il nome file. In Acrobat, andare su File &gt; Proprietà &gt; Visualizzazione iniziale e selezionare “Mostra titolo documento”._x000D_
_x000D_
Occorrenze rilevate: 2_x000D_
_x000D_
Link al dettaglio requisito WCAG: https://www.w3.org/WAI/WCAG21/quickref/_x000D_
</t>
  </si>
  <si>
    <t>(#PDF0018)</t>
  </si>
  <si>
    <t>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"DisplayDocTitle" non impostato - "DisplayDocTitle" non impostato (https://www.w3.org/WAI/WCAG21/Techniques/general/G88)</t>
  </si>
  <si>
    <t>001 - Imposta il nuovo titolo PDF_x000D_
002 - Impostare l’opzione "DisplayDocTitle" per mostrare il titolo del documento anziché il nome file. In Acrobat, andare su File &gt; Proprietà &gt; Visualizzazione iniziale e selezionare “Mostra titolo documento”.</t>
  </si>
  <si>
    <t>D00210.3.1.1</t>
  </si>
  <si>
    <t xml:space="preserve">Insurance Brocker - 10.3.1.1 Lingua della pagina - D002 Modello CAI - GN:: (#PDF0019)_x000D_
D002 Modello CAI - GN_x000D_
Requisito WCAG: 3.1.1_x000D_
Disabilità afflitte: Blind;Cognitive;Deafblind_x000D_
Impatto Utente: 3 - Moderate_x000D_
_x000D_
Descrizione_x000D_
001 - Impostazione della lingua predefinita utilizzando la voce /Lang nel catalogo documenti di un documento PDF - Impostazione della lingua predefinita utilizzando la voce /Lang nel catalogo documenti di un documento PDF (https://www.w3.org/WAI/WCAG22/Techniques/pdf/PDF16)_x000D_
002 - I metadati della lingua del documento contengono un errore di sintassi - I metadati della lingua del documento contengono un errore di sintassi (https://www.w3.org/WAI/WCAG21/Techniques/html/H57)_x000D_
_x000D_
Esempio di violazione individuata sull'oggetto:_x000D_
001 - https://www.media.poste.it/6a7ffb23-48ca-4da0-8809-5d99d243adb4/web/modello-cai-gtel  con selettore_x000D_
002 - https://www.media.poste.it/6a7ffb23-48ca-4da0-8809-5d99d243adb4/web/modello-cai-gtel  con selettore_x000D_
_x000D_
Possibile Metodologia Risolutiva:_x000D_
001 - Seleziona la lingua principale del PDF_x000D_
002 - Correggere l'errore di sintassi nei metadati della lingua per consentire ai lettori di schermo di riconoscere correttamente la lingua._x000D_
_x000D_
Occorrenze rilevate: 2_x000D_
_x000D_
Link al dettaglio requisito WCAG: https://www.w3.org/WAI/WCAG21/quickref/_x000D_
</t>
  </si>
  <si>
    <t>(#PDF0019)</t>
  </si>
  <si>
    <t>D00210.1.4.3</t>
  </si>
  <si>
    <t xml:space="preserve">Insurance Brocker - 10.1.4.3 Contrasto (minimo) - D002 Modello CAI - GN:: (#PDF0025)_x000D_
D002 Modello CAI - GN_x000D_
Requisito WCAG: 1.4.3_x000D_
Disabilità afflitte: Blind;Cognitive;Deafblind_x000D_
Impatto Utente: 2 - Serious_x000D_
_x000D_
Descrizione_x000D_
001 - Testo con contrasto insufficiente - Testo con contrasto insufficiente (https://www.w3.org/WAI/WCAG21/Techniques/general/G18)_x000D_
_x000D_
Esempio di violazione individuata sull'oggetto:_x000D_
001 - https://www.media.poste.it/6a7ffb23-48ca-4da0-8809-5d99d243adb4/web/modello-cai-gtel  con selettore_x000D_
_x000D_
Possibile Metodologia Risolutiva:_x000D_
001 - Regolare il contrasto tra testo e sfondo, assicurandosi che rispetti il rapporto minimo di contrasto di 4.5:1. Modificare il colore del testo o dello sfondo nel software di editing._x000D_
_x000D_
Occorrenze rilevate: 1_x000D_
_x000D_
Link al dettaglio requisito WCAG: https://www.w3.org/WAI/WCAG21/quickref/_x000D_
</t>
  </si>
  <si>
    <t>(#PDF0025)</t>
  </si>
  <si>
    <t>D00210.3.1.2</t>
  </si>
  <si>
    <t xml:space="preserve">Insurance Brocker - 10.3.1.2 Parti in lingua - D002 Modello CAI - GN:: (#PDF0028)_x000D_
D002 Modello CAI - GN_x000D_
Requisito WCAG: 3.1.2_x000D_
Disabilità afflitte: Blind;Cognitive;Deafblind_x000D_
Impatto Utente: 2 - Serious_x000D_
_x000D_
Descrizione_x000D_
001 - La lingua naturale per un oggetto di testo non può essere determinata. - La lingua naturale per un oggetto di testo non può essere determinata. (https://www.w3.org/TR/WCAG20-TECHS/PDF19.html)_x000D_
_x000D_
Esempio di violazione individuata sull'oggetto:_x000D_
001 - https://www.media.poste.it/6a7ffb23-48ca-4da0-8809-5d99d243adb4/web/modello-cai-gtel  con selettore_x000D_
_x000D_
Possibile Metodologia Risolutiva:_x000D_
001 - In Adobe Acrobat Pro, vai su File &gt; Proprietà &gt; Avanzate e imposta la lingua predefinita del documento. Usa strumenti di verifica per controllare che tutti gli oggetti di testo ereditino correttamente questa impostazione._x000D_
_x000D_
Occorrenze rilevate: 1_x000D_
_x000D_
Link al dettaglio requisito WCAG: https://www.w3.org/WAI/WCAG21/quickref/_x000D_
</t>
  </si>
  <si>
    <t>(#PDF0028)</t>
  </si>
  <si>
    <t>D00310.1.3.1</t>
  </si>
  <si>
    <t xml:space="preserve">Insurance Brocker - 10.1.3.1 Informazioni e correlazioni - D003 RCA Poste Guidare Sicuri Genertel:: (#PDF0029)_x000D_
D003 RCA Poste Guidare Sicuri Genertel_x000D_
Requisito WCAG: 1.3.1_x000D_
Disabilità afflitte: Blind;Deafblind;Mobility_x000D_
Impatto Utente: 2 - Serious_x000D_
_x000D_
Descrizione_x000D_
001 - Utilizza i tag per specificare la struttura logica del PDF  - Utilizza i tag per specificare la struttura logica del PDF (https://www.w3.org/TR/WCAG20-TECHS/pdf#pdf_notes_acc-sup_tagged)_x000D_
002 - Fornire intestazioni contrassegnando il contenuto con tag di intestazione nei documenti PDF  - Fornire intestazioni contrassegnando il contenuto con tag di intestazione nei documenti PDF (https://www.w3.org/WAI/WCAG22/Techniques/pdf/PDF9)_x000D_
003 - Oggetto di percorso non taggato - Oggetto di percorso non taggato (https://www.w3.org/WAI/WCAG21/Techniques/pdf/PDF1)_x000D_
004 - Oggetto testo non taggato - Oggetto testo non taggato (https://www.w3.org/WAI/WCAG21/Techniques/pdf/PDF1)_x000D_
005 - Documento non contrassegnato come taggato - Documento non contrassegnato come taggato (https://www.w3.org/WAI/WCAG21/Techniques/pdf/PDF1)_x000D_
_x000D_
Esempio di violazione individuata sull'oggetto:_x000D_
001 - https://www.media.poste.it/2a1202c7-487a-4c8b-b3c6-c540d41af3ca/file/posteguidaresicuri-gn  con selettore_x000D_
002 - https://www.media.poste.it/2a1202c7-487a-4c8b-b3c6-c540d41af3ca/file/posteguidaresicuri-gn  con selettore_x000D_
003 - https://www.media.poste.it/2a1202c7-487a-4c8b-b3c6-c540d41af3ca/file/posteguidaresicuri-gn  con selettore_x000D_
004 - https://www.media.poste.it/2a1202c7-487a-4c8b-b3c6-c540d41af3ca/file/posteguidaresicuri-gn  con selettore_x000D_
005 - https://www.media.poste.it/2a1202c7-487a-4c8b-b3c6-c540d41af3ca/file/posteguidaresicuri-gn  con selettore_x000D_
_x000D_
Possibile Metodologia Risolutiva:_x000D_
001 - Cambiare la struttura del PDF a Tagged PDF_x000D_
002 - I documenti pdf devono avere gli heading correttamente marcati:
- Aggiungendo o modificando i tag heading su prodotti di modifica PDF
- Creando documenti in programmi Word usando lo styling corretto per la conversione in PDF
- Marcando gli heading usando elementi /Hn_x000D_
003 - Assicurarsi che tutti gli oggetti grafici di tipo percorso siano taggati. In Adobe Acrobat, selezionare l'oggetto e aggiungere un tag appropriato nella struttura dei tag._x000D_
004 - Assicurarsi che tutti i blocchi di testo siano taggati correttamente nella struttura PDF per l’accesso con screen reader. In Adobe Acrobat, usare l'opzione Aggiungi tag al documento._x000D_
005 - Contrassegnare tutto il documento come taggato per consentire l'accesso agli screen reader. In Adobe Acrobat, selezionare Aggiungi tag al documento._x000D_
_x000D_
Occorrenze rilevate: 5_x000D_
_x000D_
Link al dettaglio requisito WCAG: https://www.w3.org/WAI/WCAG21/quickref/_x000D_
</t>
  </si>
  <si>
    <t>(#PDF0029)</t>
  </si>
  <si>
    <t>001 - Utilizza i tag per specificare la struttura logica del PDF  - Utilizza i tag per specificare la struttura logica del PDF (https://www.w3.org/TR/WCAG20-TECHS/pdf#pdf_notes_acc-sup_tagged)_x000D_
002 - Fornire intestazioni contrassegnando il contenuto con tag di intestazione nei documenti PDF  - Fornire intestazioni contrassegnando il contenuto con tag di intestazione nei documenti PDF (https://www.w3.org/WAI/WCAG22/Techniques/pdf/PDF9)_x000D_
003 - Oggetto di percorso non taggato - Oggetto di percorso non taggato (https://www.w3.org/WAI/WCAG21/Techniques/pdf/PDF1)_x000D_
004 - Oggetto testo non taggato - Oggetto testo non taggato (https://www.w3.org/WAI/WCAG21/Techniques/pdf/PDF1)_x000D_
005 - Documento non contrassegnato come taggato - Documento non contrassegnato come taggato (https://www.w3.org/WAI/WCAG21/Techniques/pdf/PDF1)</t>
  </si>
  <si>
    <t>001 - Cambiare la struttura del PDF a Tagged PDF_x000D_
002 - I documenti pdf devono avere gli heading correttamente marcati:
- Aggiungendo o modificando i tag heading su prodotti di modifica PDF
- Creando documenti in programmi Word usando lo styling corretto per la conversione in PDF
- Marcando gli heading usando elementi /Hn_x000D_
003 - Assicurarsi che tutti gli oggetti grafici di tipo percorso siano taggati. In Adobe Acrobat, selezionare l'oggetto e aggiungere un tag appropriato nella struttura dei tag._x000D_
004 - Assicurarsi che tutti i blocchi di testo siano taggati correttamente nella struttura PDF per l’accesso con screen reader. In Adobe Acrobat, usare l'opzione Aggiungi tag al documento._x000D_
005 - Contrassegnare tutto il documento come taggato per consentire l'accesso agli screen reader. In Adobe Acrobat, selezionare Aggiungi tag al documento.</t>
  </si>
  <si>
    <t>D00310.1.3.2</t>
  </si>
  <si>
    <t xml:space="preserve">Insurance Brocker - 10.1.3.2 Sequenza significativa - D003 RCA Poste Guidare Sicuri Genertel:: (#PDF0031)_x000D_
D003 RCA Poste Guidare Sicuri Genertel_x000D_
Requisito WCAG: 1.3.2_x000D_
Disabilità afflitte: Blind;Deafblind;Mobility_x000D_
Impatto Utente: 1 - Critical_x000D_
_x000D_
Descrizione_x000D_
001 - Garantire il corretto ordine di tabulazione e di lettura nei documenti PDF  - Garantire il corretto ordine di tabulazione e di lettura nei documenti PDF (https://www.w3.org/WAI/WCAG22/Techniques/pdf/PDF3)_x000D_
_x000D_
Esempio di violazione individuata sull'oggetto:_x000D_
001 - https://www.media.poste.it/2a1202c7-487a-4c8b-b3c6-c540d41af3ca/file/posteguidaresicuri-gn  con selettore_x000D_
_x000D_
Possibile Metodologia Risolutiva:_x000D_
001 - Imposta l'ordine di scorrimento degli elementi su una pagina utilizzando l'opzione "Struttura documento"_x000D_
_x000D_
Occorrenze rilevate: 1_x000D_
_x000D_
Link al dettaglio requisito WCAG: https://www.w3.org/WAI/WCAG21/quickref/_x000D_
</t>
  </si>
  <si>
    <t>(#PDF0031)</t>
  </si>
  <si>
    <t>D00310.2.4.2</t>
  </si>
  <si>
    <t xml:space="preserve">Insurance Brocker - 10.2.4.2 Titolazione della pagina - D003 RCA Poste Guidare Sicuri Genertel:: (#PDF0032)_x000D_
D003 RCA Poste Guidare Sicuri Genertel_x000D_
Requisito WCAG: 2.4.2_x000D_
Disabilità afflitte: Blind;Deafblind_x000D_
Impatto Utente: 4 - Minor_x000D_
_x000D_
Descrizione_x000D_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Titolo mancante nei metadati XMP del documento - Titolo mancante nei metadati XMP del documento (https://www.w3.org/WAI/WCAG21/Techniques/general/G88)_x000D_
003 - "DisplayDocTitle" non impostato - "DisplayDocTitle" non impostato (https://www.w3.org/WAI/WCAG21/Techniques/general/G88)_x000D_
_x000D_
Esempio di violazione individuata sull'oggetto:_x000D_
001 - https://www.media.poste.it/2a1202c7-487a-4c8b-b3c6-c540d41af3ca/file/posteguidaresicuri-gn  con selettore_x000D_
002 - https://www.media.poste.it/2a1202c7-487a-4c8b-b3c6-c540d41af3ca/file/posteguidaresicuri-gn  con selettore_x000D_
003 - https://www.media.poste.it/2a1202c7-487a-4c8b-b3c6-c540d41af3ca/file/posteguidaresicuri-gn  con selettore_x000D_
_x000D_
Possibile Metodologia Risolutiva:_x000D_
001 - Imposta il nuovo titolo PDF_x000D_
002 - Aggiungere un titolo descrittivo nei metadati del documento (XMP), che aiuti gli utenti a identificare facilmente il contenuto. In Adobe Acrobat, andare su File &gt; Proprietà &gt; Descrizione e inserire un titolo._x000D_
003 - Impostare l’opzione "DisplayDocTitle" per mostrare il titolo del documento anziché il nome file. In Acrobat, andare su File &gt; Proprietà &gt; Visualizzazione iniziale e selezionare “Mostra titolo documento”._x000D_
_x000D_
Occorrenze rilevate: 3_x000D_
_x000D_
Link al dettaglio requisito WCAG: https://www.w3.org/WAI/WCAG21/quickref/_x000D_
</t>
  </si>
  <si>
    <t>(#PDF0032)</t>
  </si>
  <si>
    <t>D00310.1.4.3</t>
  </si>
  <si>
    <t xml:space="preserve">Insurance Brocker - 10.1.4.3 Contrasto (minimo) - D003 RCA Poste Guidare Sicuri Genertel:: (#PDF0036)_x000D_
D003 RCA Poste Guidare Sicuri Genertel_x000D_
Requisito WCAG: 1.4.3_x000D_
Disabilità afflitte: Blind;Cognitive;Deafblind_x000D_
Impatto Utente: 2 - Serious_x000D_
_x000D_
Descrizione_x000D_
001 - Testo con contrasto insufficiente - Testo con contrasto insufficiente (https://www.w3.org/WAI/WCAG21/Techniques/general/G18)_x000D_
_x000D_
Esempio di violazione individuata sull'oggetto:_x000D_
001 - https://www.media.poste.it/2a1202c7-487a-4c8b-b3c6-c540d41af3ca/file/posteguidaresicuri-gn  con selettore_x000D_
_x000D_
Possibile Metodologia Risolutiva:_x000D_
001 - Regolare il contrasto tra testo e sfondo, assicurandosi che rispetti il rapporto minimo di contrasto di 4.5:1. Modificare il colore del testo o dello sfondo nel software di editing._x000D_
_x000D_
Occorrenze rilevate: 1_x000D_
_x000D_
Link al dettaglio requisito WCAG: https://www.w3.org/WAI/WCAG21/quickref/_x000D_
</t>
  </si>
  <si>
    <t>(#PDF0036)</t>
  </si>
  <si>
    <t>D00410.1.3.1</t>
  </si>
  <si>
    <t xml:space="preserve">Insurance Brocker - 10.1.3.1 Informazioni e correlazioni - D004 RCA Poste Guidare Sicuri Linear:: (#PDF0039)_x000D_
D004 RCA Poste Guidare Sicuri Linear_x000D_
Requisito WCAG: 1.3.1_x000D_
Disabilità afflitte: Blind;Deafblind_x000D_
Impatto Utente: 3 - Moderate_x000D_
_x000D_
Descrizione_x000D_
001 - Fornire intestazioni contrassegnando il contenuto con tag di intestazione nei documenti PDF  - Fornire intestazioni contrassegnando il contenuto con tag di intestazione nei documenti PDF (https://www.w3.org/WAI/WCAG22/Techniques/pdf/PDF9)_x000D_
002 - Cella di intestazione della tabella senza celle associate - Cella di intestazione della tabella senza celle associate (https://www.w3.org/WAI/WCAG21/Techniques/html/H63)_x000D_
003 - Font non incorporato - Font non incorporato (https://www.w3.org/WAI/WCAG22/Techniques/general/G117.html)_x000D_
_x000D_
Esempio di violazione individuata sull'oggetto:_x000D_
001 - https://www.media.poste.it/66b83bec-c447-4992-ad0e-308ce8a6a2fa/file/PosteGuidareSicuri_LN_DIP  con selettore_x000D_
002 - https://www.media.poste.it/66b83bec-c447-4992-ad0e-308ce8a6a2fa/file/PosteGuidareSicuri_LN_DIP  con selettore_x000D_
003 - https://www.media.poste.it/66b83bec-c447-4992-ad0e-308ce8a6a2fa/file/PosteGuidareSicuri_LN_DIP  con selettore_x000D_
_x000D_
Possibile Metodologia Risolutiva:_x000D_
001 - I documenti pdf devono avere gli heading correttamente marcati:
- Aggiungendo o modificando i tag heading su prodotti di modifica PDF
- Creando documenti in programmi Word usando lo styling corretto per la conversione in PDF
- Marcando gli heading usando elementi /Hn_x000D_
002 - Associare ciascuna cella di intestazione alle celle di dati corrispondenti utilizzando attributi scope o id. In Acrobat, aggiungere tag di intestazione nella struttura della tabella._x000D_
003 - Non comunicare informazioni solo tramite cambi visivi. Utilizzare font, bold face, font size, underline e altri attributi di testo necessita che le informazioni comunicate visivamente debbano essere comunicate altrove anche via testo_x000D_
_x000D_
Occorrenze rilevate: 3_x000D_
_x000D_
Link al dettaglio requisito WCAG: https://www.w3.org/WAI/WCAG21/quickref/_x000D_
</t>
  </si>
  <si>
    <t>(#PDF0039)</t>
  </si>
  <si>
    <t>001 - Fornire intestazioni contrassegnando il contenuto con tag di intestazione nei documenti PDF  - Fornire intestazioni contrassegnando il contenuto con tag di intestazione nei documenti PDF (https://www.w3.org/WAI/WCAG22/Techniques/pdf/PDF9)_x000D_
002 - Cella di intestazione della tabella senza celle associate - Cella di intestazione della tabella senza celle associate (https://www.w3.org/WAI/WCAG21/Techniques/html/H63)_x000D_
003 - Font non incorporato - Font non incorporato (https://www.w3.org/WAI/WCAG22/Techniques/general/G117.html)</t>
  </si>
  <si>
    <t>001 - I documenti pdf devono avere gli heading correttamente marcati:
- Aggiungendo o modificando i tag heading su prodotti di modifica PDF
- Creando documenti in programmi Word usando lo styling corretto per la conversione in PDF
- Marcando gli heading usando elementi /Hn_x000D_
002 - Associare ciascuna cella di intestazione alle celle di dati corrispondenti utilizzando attributi scope o id. In Acrobat, aggiungere tag di intestazione nella struttura della tabella._x000D_
003 - Non comunicare informazioni solo tramite cambi visivi. Utilizzare font, bold face, font size, underline e altri attributi di testo necessita che le informazioni comunicate visivamente debbano essere comunicate altrove anche via testo</t>
  </si>
  <si>
    <t>D00410.2.4.2</t>
  </si>
  <si>
    <t xml:space="preserve">Insurance Brocker - 10.2.4.2 Titolazione della pagina - D004 RCA Poste Guidare Sicuri Linear:: (#PDF0040)_x000D_
D004 RCA Poste Guidare Sicuri Linear_x000D_
Requisito WCAG: 2.4.2_x000D_
Disabilità afflitte: Blind;Deafblind_x000D_
Impatto Utente: 4 - Minor_x000D_
_x000D_
Descrizione_x000D_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Titolo mancante nei metadati XMP del documento - Titolo mancante nei metadati XMP del documento (https://www.w3.org/WAI/WCAG21/Techniques/general/G88)_x000D_
003 - "DisplayDocTitle" non impostato - "DisplayDocTitle" non impostato (https://www.w3.org/WAI/WCAG21/Techniques/general/G88)_x000D_
_x000D_
Esempio di violazione individuata sull'oggetto:_x000D_
001 - https://www.media.poste.it/66b83bec-c447-4992-ad0e-308ce8a6a2fa/file/PosteGuidareSicuri_LN_DIP  con selettore_x000D_
002 - https://www.media.poste.it/66b83bec-c447-4992-ad0e-308ce8a6a2fa/file/PosteGuidareSicuri_LN_DIP  con selettore_x000D_
003 - https://www.media.poste.it/66b83bec-c447-4992-ad0e-308ce8a6a2fa/file/PosteGuidareSicuri_LN_DIP  con selettore_x000D_
_x000D_
Possibile Metodologia Risolutiva:_x000D_
001 - Imposta il nuovo titolo PDF_x000D_
002 - Aggiungere un titolo descrittivo nei metadati del documento (XMP), che aiuti gli utenti a identificare facilmente il contenuto. In Adobe Acrobat, andare su File &gt; Proprietà &gt; Descrizione e inserire un titolo._x000D_
003 - Impostare l’opzione "DisplayDocTitle" per mostrare il titolo del documento anziché il nome file. In Acrobat, andare su File &gt; Proprietà &gt; Visualizzazione iniziale e selezionare “Mostra titolo documento”._x000D_
_x000D_
Occorrenze rilevate: 3_x000D_
_x000D_
Link al dettaglio requisito WCAG: https://www.w3.org/WAI/WCAG21/quickref/_x000D_
</t>
  </si>
  <si>
    <t>(#PDF0040)</t>
  </si>
  <si>
    <t>D00410.3.1.1</t>
  </si>
  <si>
    <t xml:space="preserve">Insurance Brocker - 10.3.1.1 Lingua della pagina - D004 RCA Poste Guidare Sicuri Linear:: (#PDF0041)_x000D_
D004 RCA Poste Guidare Sicuri Linear_x000D_
Requisito WCAG: 3.1.1_x000D_
Disabilità afflitte: Blind;Cognitive;Deafblind_x000D_
Impatto Utente: 3 - Moderate_x000D_
_x000D_
Descrizione_x000D_
001 - Impostazione della lingua predefinita utilizzando la voce /Lang nel catalogo documenti di un documento PDF - Impostazione della lingua predefinita utilizzando la voce /Lang nel catalogo documenti di un documento PDF (https://www.w3.org/WAI/WCAG22/Techniques/pdf/PDF16)_x000D_
002 - I metadati della lingua del documento contengono un errore di sintassi - I metadati della lingua del documento contengono un errore di sintassi (https://www.w3.org/WAI/WCAG21/Techniques/html/H57)_x000D_
_x000D_
Esempio di violazione individuata sull'oggetto:_x000D_
001 - https://www.media.poste.it/66b83bec-c447-4992-ad0e-308ce8a6a2fa/file/PosteGuidareSicuri_LN_DIP  con selettore_x000D_
002 - https://www.media.poste.it/66b83bec-c447-4992-ad0e-308ce8a6a2fa/file/PosteGuidareSicuri_LN_DIP  con selettore_x000D_
_x000D_
Possibile Metodologia Risolutiva:_x000D_
001 - Seleziona la lingua principale del PDF_x000D_
002 - Correggere l'errore di sintassi nei metadati della lingua per consentire ai lettori di schermo di riconoscere correttamente la lingua._x000D_
_x000D_
Occorrenze rilevate: 2_x000D_
_x000D_
Link al dettaglio requisito WCAG: https://www.w3.org/WAI/WCAG21/quickref/_x000D_
</t>
  </si>
  <si>
    <t>(#PDF0041)</t>
  </si>
  <si>
    <t>D00410.1.1.1</t>
  </si>
  <si>
    <t xml:space="preserve">Insurance Brocker - 10.1.1.1 Contenuti non testuali - D004 RCA Poste Guidare Sicuri Linear:: (#PDF0042)_x000D_
D004 RCA Poste Guidare Sicuri Linear_x000D_
Requisito WCAG: 1.1.1_x000D_
Disabilità afflitte: Blind;Deafblind_x000D_
Impatto Utente: 2 - Serious_x000D_
_x000D_
Descrizione_x000D_
001 - Testo alternativo mancante per l'elemento struttura "Figura" - Testo alternativo mancante per l'elemento struttura "Figura" (https://www.w3.org/WAI/WCAG21/Techniques/html/H37)_x000D_
_x000D_
Esempio di violazione individuata sull'oggetto:_x000D_
001 - https://www.media.poste.it/66b83bec-c447-4992-ad0e-308ce8a6a2fa/file/PosteGuidareSicuri_LN_DIP  con selettore_x000D_
_x000D_
Possibile Metodologia Risolutiva:_x000D_
001 - Fornire testo alternativo descrittivo per ogni elemento "Figure" in modo che sia comprensibile tramite lettori di schermo. È possibile aggiungere il testo alternativo in Adobe Acrobat andando su Strumenti &gt; Accessibilità &gt; Modifica testo alternativo._x000D_
_x000D_
Occorrenze rilevate: 1_x000D_
_x000D_
Link al dettaglio requisito WCAG: https://www.w3.org/WAI/WCAG21/quickref/_x000D_
</t>
  </si>
  <si>
    <t>(#PDF0042)</t>
  </si>
  <si>
    <t>001 - Testo alternativo mancante per l'elemento struttura "Figura" - Testo alternativo mancante per l'elemento struttura "Figura" (https://www.w3.org/WAI/WCAG21/Techniques/html/H37)</t>
  </si>
  <si>
    <t>001 - Fornire testo alternativo descrittivo per ogni elemento "Figure" in modo che sia comprensibile tramite lettori di schermo. È possibile aggiungere il testo alternativo in Adobe Acrobat andando su Strumenti &gt; Accessibilità &gt; Modifica testo alternativo.</t>
  </si>
  <si>
    <t>D00410.1.4.3</t>
  </si>
  <si>
    <t xml:space="preserve">Insurance Brocker - 10.1.4.3 Contrasto (minimo) - D004 RCA Poste Guidare Sicuri Linear:: (#PDF0045)_x000D_
D004 RCA Poste Guidare Sicuri Linear_x000D_
Requisito WCAG: 1.4.3_x000D_
Disabilità afflitte: Blind;Cognitive;Deafblind_x000D_
Impatto Utente: 2 - Serious_x000D_
_x000D_
Descrizione_x000D_
001 - Testo con contrasto insufficiente - Testo con contrasto insufficiente (https://www.w3.org/WAI/WCAG21/Techniques/general/G18)_x000D_
_x000D_
Esempio di violazione individuata sull'oggetto:_x000D_
001 - https://www.media.poste.it/66b83bec-c447-4992-ad0e-308ce8a6a2fa/file/PosteGuidareSicuri_LN_DIP  con selettore_x000D_
_x000D_
Possibile Metodologia Risolutiva:_x000D_
001 - Regolare il contrasto tra testo e sfondo, assicurandosi che rispetti il rapporto minimo di contrasto di 4.5:1. Modificare il colore del testo o dello sfondo nel software di editing._x000D_
_x000D_
Occorrenze rilevate: 1_x000D_
_x000D_
Link al dettaglio requisito WCAG: https://www.w3.org/WAI/WCAG21/quickref/_x000D_
</t>
  </si>
  <si>
    <t>(#PDF0045)</t>
  </si>
  <si>
    <t>D00410.3.1.2</t>
  </si>
  <si>
    <t xml:space="preserve">Insurance Brocker - 10.3.1.2 Parti in lingua - D004 RCA Poste Guidare Sicuri Linear:: (#PDF0049)_x000D_
D004 RCA Poste Guidare Sicuri Linear_x000D_
Requisito WCAG: 3.1.2_x000D_
Disabilità afflitte: Blind;Cognitive;Deafblind_x000D_
Impatto Utente: 2 - Serious_x000D_
_x000D_
Descrizione_x000D_
001 - La lingua naturale per un oggetto di testo non può essere determinata. - La lingua naturale per un oggetto di testo non può essere determinata. (https://www.w3.org/TR/WCAG20-TECHS/PDF19.html)_x000D_
002 - Il linguaggio naturale del testo alternativo non può essere determinato - Il testo alternativo dell’immagine non ha la lingua dichiarata, impedendo ai lettori di schermo di applicare la corretta pronuncia. (https://www.w3.org/WAI/WCAG21/Techniques/general/G140)_x000D_
_x000D_
Esempio di violazione individuata sull'oggetto:_x000D_
001 - https://www.media.poste.it/66b83bec-c447-4992-ad0e-308ce8a6a2fa/file/PosteGuidareSicuri_LN_DIP  con selettore_x000D_
002 - https://www.media.poste.it/66b83bec-c447-4992-ad0e-308ce8a6a2fa/file/PosteGuidareSicuri_LN_DIP  con selettore_x000D_
_x000D_
Possibile Metodologia Risolutiva:_x000D_
001 - In Adobe Acrobat Pro, vai su File &gt; Proprietà &gt; Avanzate e imposta la lingua predefinita del documento. Usa strumenti di verifica per controllare che tutti gli oggetti di testo ereditino correttamente questa impostazione._x000D_
002 - Impostare la lingua del testo alternativo in modo coerente con la lingua del contenuto circostante. In Adobe Acrobat, modificare le proprietà dell’elemento e selezionare la lingua appropriata._x000D_
_x000D_
Occorrenze rilevate: 2_x000D_
_x000D_
Link al dettaglio requisito WCAG: https://www.w3.org/WAI/WCAG21/quickref/_x000D_
</t>
  </si>
  <si>
    <t>(#PDF0049)</t>
  </si>
  <si>
    <t>001 - La lingua naturale per un oggetto di testo non può essere determinata. - La lingua naturale per un oggetto di testo non può essere determinata. (https://www.w3.org/TR/WCAG20-TECHS/PDF19.html)_x000D_
002 - Il linguaggio naturale del testo alternativo non può essere determinato - Il testo alternativo dell’immagine non ha la lingua dichiarata, impedendo ai lettori di schermo di applicare la corretta pronuncia. (https://www.w3.org/WAI/WCAG21/Techniques/general/G140)</t>
  </si>
  <si>
    <t>001 - In Adobe Acrobat Pro, vai su File &gt; Proprietà &gt; Avanzate e imposta la lingua predefinita del documento. Usa strumenti di verifica per controllare che tutti gli oggetti di testo ereditino correttamente questa impostazione._x000D_
002 - Impostare la lingua del testo alternativo in modo coerente con la lingua del contenuto circostante. In Adobe Acrobat, modificare le proprietà dell’elemento e selezionare la lingua appropriata.</t>
  </si>
  <si>
    <t>D00510.1.3.1</t>
  </si>
  <si>
    <t xml:space="preserve">Insurance Brocker - 10.1.3.1 Informazioni e correlazioni - D005 Set informativo:: (#PDF0051)_x000D_
D005 Set informativo_x000D_
Requisito WCAG: 1.3.1_x000D_
Disabilità afflitte: Blind;Deafblind_x000D_
Impatto Utente: 3 - Moderate_x000D_
_x000D_
Descrizione_x000D_
001 - Fornire intestazioni contrassegnando il contenuto con tag di intestazione nei documenti PDF  - Fornire intestazioni contrassegnando il contenuto con tag di intestazione nei documenti PDF (https://www.w3.org/WAI/WCAG22/Techniques/pdf/PDF9)_x000D_
002 - Cella di intestazione della tabella senza celle associate - Cella di intestazione della tabella senza celle associate (https://www.w3.org/WAI/WCAG21/Techniques/html/H63)_x000D_
003 - Font non incorporato - Font non incorporato (https://www.w3.org/WAI/WCAG22/Techniques/general/G117.html)_x000D_
_x000D_
Esempio di violazione individuata sull'oggetto:_x000D_
001 - https://www.media.poste.it/b782ad12-6195-4c88-be87-22554c8efa39/file/PosteGuidareSicuri_LN  con selettore_x000D_
002 - https://www.media.poste.it/b782ad12-6195-4c88-be87-22554c8efa39/file/PosteGuidareSicuri_LN  con selettore_x000D_
003 - https://www.media.poste.it/b782ad12-6195-4c88-be87-22554c8efa39/file/PosteGuidareSicuri_LN  con selettore_x000D_
_x000D_
Possibile Metodologia Risolutiva:_x000D_
001 - I documenti pdf devono avere gli heading correttamente marcati:
- Aggiungendo o modificando i tag heading su prodotti di modifica PDF
- Creando documenti in programmi Word usando lo styling corretto per la conversione in PDF
- Marcando gli heading usando elementi /Hn_x000D_
002 - Associare ciascuna cella di intestazione alle celle di dati corrispondenti utilizzando attributi scope o id. In Acrobat, aggiungere tag di intestazione nella struttura della tabella._x000D_
003 - Non comunicare informazioni solo tramite cambi visivi. Utilizzare font, bold face, font size, underline e altri attributi di testo necessita che le informazioni comunicate visivamente debbano essere comunicate altrove anche via testo_x000D_
_x000D_
Occorrenze rilevate: 3_x000D_
_x000D_
Link al dettaglio requisito WCAG: https://www.w3.org/WAI/WCAG21/quickref/_x000D_
</t>
  </si>
  <si>
    <t>(#PDF0051)</t>
  </si>
  <si>
    <t>D00510.2.4.2</t>
  </si>
  <si>
    <t xml:space="preserve">Insurance Brocker - 10.2.4.2 Titolazione della pagina - D005 Set informativo:: (#PDF0052)_x000D_
D005 Set informativo_x000D_
Requisito WCAG: 2.4.2_x000D_
Disabilità afflitte: Blind;Deafblind_x000D_
Impatto Utente: 3 - Moderate_x000D_
_x000D_
Descrizione_x000D_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Titolo mancante nei metadati XMP del documento - Titolo mancante nei metadati XMP del documento (https://www.w3.org/WAI/WCAG21/Techniques/general/G88)_x000D_
_x000D_
Esempio di violazione individuata sull'oggetto:_x000D_
001 - https://www.media.poste.it/b782ad12-6195-4c88-be87-22554c8efa39/file/PosteGuidareSicuri_LN  con selettore_x000D_
002 - https://www.media.poste.it/b782ad12-6195-4c88-be87-22554c8efa39/file/PosteGuidareSicuri_LN  con selettore_x000D_
_x000D_
Possibile Metodologia Risolutiva:_x000D_
001 - Imposta il nuovo titolo PDF_x000D_
002 - Aggiungere un titolo descrittivo nei metadati del documento (XMP), che aiuti gli utenti a identificare facilmente il contenuto. In Adobe Acrobat, andare su File &gt; Proprietà &gt; Descrizione e inserire un titolo._x000D_
_x000D_
Occorrenze rilevate: 2_x000D_
_x000D_
Link al dettaglio requisito WCAG: https://www.w3.org/WAI/WCAG21/quickref/_x000D_
</t>
  </si>
  <si>
    <t>(#PDF0052)</t>
  </si>
  <si>
    <t>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Titolo mancante nei metadati XMP del documento - Titolo mancante nei metadati XMP del documento (https://www.w3.org/WAI/WCAG21/Techniques/general/G88)</t>
  </si>
  <si>
    <t>001 - Imposta il nuovo titolo PDF_x000D_
002 - Aggiungere un titolo descrittivo nei metadati del documento (XMP), che aiuti gli utenti a identificare facilmente il contenuto. In Adobe Acrobat, andare su File &gt; Proprietà &gt; Descrizione e inserire un titolo.</t>
  </si>
  <si>
    <t>D00510.1.1.1</t>
  </si>
  <si>
    <t xml:space="preserve">Insurance Brocker - 10.1.1.1 Contenuti non testuali - D005 Set informativo:: (#PDF0053)_x000D_
D005 Set informativo_x000D_
Requisito WCAG: 1.1.1_x000D_
Disabilità afflitte: Blind;Deafblind_x000D_
Impatto Utente: 2 - Serious_x000D_
_x000D_
Descrizione_x000D_
001 - Testo alternativo mancante per l'elemento struttura "Figura" - Testo alternativo mancante per l'elemento struttura "Figura" (https://www.w3.org/WAI/WCAG21/Techniques/html/H37)_x000D_
002 - Descrizione alternativa mancante per un'annotazione - Descrizione alternativa mancante per un'annotazione (https://www.w3.org/WAI/WCAG22/Techniques/html/H30.html)_x000D_
_x000D_
Esempio di violazione individuata sull'oggetto:_x000D_
001 - https://www.media.poste.it/b782ad12-6195-4c88-be87-22554c8efa39/file/PosteGuidareSicuri_LN  con selettore_x000D_
002 - https://www.media.poste.it/b782ad12-6195-4c88-be87-22554c8efa39/file/PosteGuidareSicuri_LN  con selettore_x000D_
_x000D_
Possibile Metodologia Risolutiva:_x000D_
001 - Fornire testo alternativo descrittivo per ogni elemento "Figure" in modo che sia comprensibile tramite lettori di schermo. È possibile aggiungere il testo alternativo in Adobe Acrobat andando su Strumenti &gt; Accessibilità &gt; Modifica testo alternativo._x000D_
002 - Quando un'immagine è l'unico contenuto di un link, il testo alternativo per l'immagine descrive la funzione unica del link.
Quando il contenuto di un link contiene sia testo che una o più immagini, se il testo è sufficiente a descrivere lo scopo del link, le immagini possono avere un'alternativa di testo vuota._x000D_
_x000D_
Occorrenze rilevate: 2_x000D_
_x000D_
Link al dettaglio requisito WCAG: https://www.w3.org/WAI/WCAG21/quickref/_x000D_
</t>
  </si>
  <si>
    <t>(#PDF0053)</t>
  </si>
  <si>
    <t>001 - Testo alternativo mancante per l'elemento struttura "Figura" - Testo alternativo mancante per l'elemento struttura "Figura" (https://www.w3.org/WAI/WCAG21/Techniques/html/H37)_x000D_
002 - Descrizione alternativa mancante per un'annotazione - Descrizione alternativa mancante per un'annotazione (https://www.w3.org/WAI/WCAG22/Techniques/html/H30.html)</t>
  </si>
  <si>
    <t>001 - Fornire testo alternativo descrittivo per ogni elemento "Figure" in modo che sia comprensibile tramite lettori di schermo. È possibile aggiungere il testo alternativo in Adobe Acrobat andando su Strumenti &gt; Accessibilità &gt; Modifica testo alternativo._x000D_
002 - Quando un'immagine è l'unico contenuto di un link, il testo alternativo per l'immagine descrive la funzione unica del link.
Quando il contenuto di un link contiene sia testo che una o più immagini, se il testo è sufficiente a descrivere lo scopo del link, le immagini possono avere un'alternativa di testo vuota.</t>
  </si>
  <si>
    <t>D00510.1.4.3</t>
  </si>
  <si>
    <t xml:space="preserve">Insurance Brocker - 10.1.4.3 Contrasto (minimo) - D005 Set informativo:: (#PDF0057)_x000D_
D005 Set informativo_x000D_
Requisito WCAG: 1.4.3_x000D_
Disabilità afflitte: Blind;Cognitive;Deafblind_x000D_
Impatto Utente: 2 - Serious_x000D_
_x000D_
Descrizione_x000D_
001 - Testo con contrasto insufficiente - Testo con contrasto insufficiente (https://www.w3.org/WAI/WCAG21/Techniques/general/G18)_x000D_
_x000D_
Esempio di violazione individuata sull'oggetto:_x000D_
001 - https://www.media.poste.it/b782ad12-6195-4c88-be87-22554c8efa39/file/PosteGuidareSicuri_LN  con selettore_x000D_
_x000D_
Possibile Metodologia Risolutiva:_x000D_
001 - Regolare il contrasto tra testo e sfondo, assicurandosi che rispetti il rapporto minimo di contrasto di 4.5:1. Modificare il colore del testo o dello sfondo nel software di editing._x000D_
_x000D_
Occorrenze rilevate: 1_x000D_
_x000D_
Link al dettaglio requisito WCAG: https://www.w3.org/WAI/WCAG21/quickref/_x000D_
</t>
  </si>
  <si>
    <t>(#PDF0057)</t>
  </si>
  <si>
    <t xml:space="preserve">Insurance Brocker - 9.4.1.1 Analisi sintattica (parsing) - S001 Homepage:: (#D0001)_x000D_
S001 Homepage_x000D_
Requisito WCAG: 4.1.1_x000D_
Disabilità afflitte: Blind;Deafblind_x000D_
Impatto Utente: 1 - Critical_x000D_
_x000D_
Descrizione_x000D_
001 - Gli ID ARIA non sono univoci - Il valore di un ID ARIA deve essere univoco per evitare che altre istanze vengano trascurate dalle tecnologie assistive. [Ulteriori informazioni] (https://web.dev/duplicate-id-aria/)_x000D_
_x000D_
Esempio di violazione individuata sull'oggetto:_x000D_
001 - https://posteinsurancebroker.poste.it/ &lt;p id=\"offcanvas-panel-desc-00_sites\" class=\"sr-only\"&gt; con selettore div.side-offcanvas-content-wrap &gt; div.row &gt; div.col-sm-12 &gt; p#offcanvas-panel-desc-00_sites_x000D_
_x000D_
Possibile Metodologia Risolutiva:_x000D_
001 - Cambia il valore dell'ID usato piu di una volta, per essere sicuro che sia univoco_x000D_
_x000D_
Occorrenze rilevate: 1_x000D_
_x000D_
Link al dettaglio requisito WCAG: https://www.w3.org/WAI/WCAG21/quickref/_x000D_
</t>
  </si>
  <si>
    <t xml:space="preserve">Insurance Brocker - 9.4.1.1 Analisi sintattica (parsing) - S003 Assistenza:: (#D0002)_x000D_
S003 Assistenza_x000D_
Requisito WCAG: 4.1.1_x000D_
Disabilità afflitte: Blind;Deafblind_x000D_
Impatto Utente: 1 - Critical_x000D_
_x000D_
Descrizione_x000D_
001 - Gli ID ARIA non sono univoci - Il valore di un ID ARIA deve essere univoco per evitare che altre istanze vengano trascurate dalle tecnologie assistive. [Ulteriori informazioni] (https://web.dev/duplicate-id-aria/)_x000D_
_x000D_
Esempio di violazione individuata sull'oggetto:_x000D_
001 - https://posteinsurancebroker.poste.it/archivio/ &lt;p id=\"offcanvas-panel-desc-00_sites\" class=\"sr-only\"&gt; con selettore div.side-offcanvas-content-wrap &gt; div.row &gt; div.col-sm-12 &gt; p#offcanvas-panel-desc-00_sites_x000D_
_x000D_
Possibile Metodologia Risolutiva:_x000D_
001 - Cambia il valore dell'ID usato piu di una volta, per essere sicuro che sia univoco_x000D_
_x000D_
Occorrenze rilevate: 1_x000D_
_x000D_
Link al dettaglio requisito WCAG: https://www.w3.org/WAI/WCAG21/quickref/_x000D_
</t>
  </si>
  <si>
    <t xml:space="preserve">Insurance Brocker - 9.4.1.1 Analisi sintattica (parsing) - S005 Privacy Policy:: (#D0006)_x000D_
S005 Privacy Policy_x000D_
Requisito WCAG: 4.1.1_x000D_
Disabilità afflitte: Blind;Deafblind_x000D_
Impatto Utente: 1 - Critical_x000D_
_x000D_
Descrizione_x000D_
001 - Gli ID ARIA non sono univoci - Il valore di un ID ARIA deve essere univoco per evitare che altre istanze vengano trascurate dalle tecnologie assistive. [Ulteriori informazioni] (https://web.dev/duplicate-id-aria/)_x000D_
_x000D_
Esempio di violazione individuata sull'oggetto:_x000D_
001 - https://posteinsurancebroker.poste.it/cookie-policy &lt;p id=\"offcanvas-panel-desc-00_sites\" class=\"sr-only\"&gt; con selettore div.side-offcanvas-content-wrap &gt; div.row &gt; div.col-sm-12 &gt; p#offcanvas-panel-desc-00_sites_x000D_
_x000D_
Possibile Metodologia Risolutiva:_x000D_
001 - Cambia il valore dell'ID usato piu di una volta, per essere sicuro che sia univoco_x000D_
_x000D_
Occorrenze rilevate: 1_x000D_
_x000D_
Link al dettaglio requisito WCAG: https://www.w3.org/WAI/WCAG21/quickref/_x000D_
</t>
  </si>
  <si>
    <t xml:space="preserve">Insurance Brocker - 9.4.1.1 Analisi sintattica (parsing) - S004 Accessibilità:: (#D0007)_x000D_
S004 Accessibilità_x000D_
Requisito WCAG: 4.1.1_x000D_
Disabilità afflitte: Blind;Deafblind_x000D_
Impatto Utente: 1 - Critical_x000D_
_x000D_
Descrizione_x000D_
001 - Gli ID ARIA non sono univoci - Il valore di un ID ARIA deve essere univoco per evitare che altre istanze vengano trascurate dalle tecnologie assistive. [Ulteriori informazioni] (https://web.dev/duplicate-id-aria/)_x000D_
_x000D_
Esempio di violazione individuata sull'oggetto:_x000D_
001 - https://posteinsurancebroker.poste.it/dichiarazione-accessibilita/ &lt;p id=\"offcanvas-panel-desc-00_sites\" class=\"sr-only\"&gt; con selettore div.side-offcanvas-content-wrap &gt; div.row &gt; div.col-sm-12 &gt; p#offcanvas-panel-desc-00_sites_x000D_
_x000D_
Possibile Metodologia Risolutiva:_x000D_
001 - Cambia il valore dell'ID usato piu di una volta, per essere sicuro che sia univoco_x000D_
_x000D_
Occorrenze rilevate: 1_x000D_
_x000D_
Link al dettaglio requisito WCAG: https://www.w3.org/WAI/WCAG21/quickref/_x000D_
</t>
  </si>
  <si>
    <t xml:space="preserve">Insurance Brocker - 9.4.1.1 Analisi sintattica (parsing) - S002 Poste Guidare Sicuri:: (#D0008)_x000D_
S002 Poste Guidare Sicuri_x000D_
Requisito WCAG: 4.1.1_x000D_
Disabilità afflitte: Blind;Deafblind_x000D_
Impatto Utente: 1 - Critical_x000D_
_x000D_
Descrizione_x000D_
001 - Gli ID ARIA non sono univoci - Il valore di un ID ARIA deve essere univoco per evitare che altre istanze vengano trascurate dalle tecnologie assistive. [Ulteriori informazioni] (https://web.dev/duplicate-id-aria/)_x000D_
_x000D_
Esempio di violazione individuata sull'oggetto:_x000D_
001 - https://posteinsurancebroker.poste.it/faq-poste-guidare-sicuri/ &lt;p id=\"offcanvas-panel-desc-00_sites\" class=\"sr-only\"&gt; con selettore div.side-offcanvas-content-wrap &gt; div.row &gt; div.col-sm-12 &gt; p#offcanvas-panel-desc-00_sites_x000D_
_x000D_
Possibile Metodologia Risolutiva:_x000D_
001 - Cambia il valore dell'ID usato piu di una volta, per essere sicuro che sia univoco_x000D_
_x000D_
Occorrenze rilevate: 1_x000D_
_x000D_
Link al dettaglio requisito WCAG: https://www.w3.org/WAI/WCAG21/quickref/_x000D_
</t>
  </si>
  <si>
    <t xml:space="preserve">Insurance Brocker - 9.1.1.1 Contenuti non testuali - S002 Poste Guidare Sicuri:: (#D0009)_x000D_
S002 Poste Guidare Sicuri_x000D_
Requisito WCAG: 1.1.1_x000D_
Disabilità afflitte: Blind;Deafblind_x000D_
Impatto Utente: 1 - Critical_x000D_
_x000D_
Descrizione_x000D_
001 - Gli elementi immagine non hanno attributi '[alt]' - Gli elementi informativi dovrebbero mirare a un testo alternativo breve e descrittivo. Gli elementi decorativi possono essere ignorati con un attributo alt vuoto. [Ulteriori informazioni] (https://dequeuniversity.com/rules/axe/4.10/image-alt)_x000D_
_x000D_
Esempio di violazione individuata sull'oggetto:_x000D_
001 - https://posteinsurancebroker.poste.it/fastquote/index.html &lt;img src=\"/risorse_dt_ext/icone/business-account.svg\" srcset=\"/risorse_dt_ext/icone/business-account.svg\"&gt; con selettore div.abstract-heading &gt; a.btn &gt; span.icon &gt; img_x000D_
_x000D_
Possibile Metodologia Risolutiva:_x000D_
001 - Fornisci un attributo alt descrittivo per ogni immagine. Questo consente agli screen reader di descrivere l’immagine agli utenti con disabilità visive, migliorando l’accessibilità del contenuto visivo._x000D_
_x000D_
Occorrenze rilevate: 1_x000D_
_x000D_
Link al dettaglio requisito WCAG: https://www.w3.org/WAI/WCAG21/quickref/_x000D_
</t>
  </si>
  <si>
    <t xml:space="preserve">Insurance Brocker - 9.1.4.4 Ridimensionamento del testo - S002 Poste Guidare Sicuri:: (#D0012)_x000D_
S002 Poste Guidare Sicuri_x000D_
Requisito WCAG: 1.4.4_x000D_
Disabilità afflitte: Low Vision_x000D_
Impatto Utente: 1 - Critical_x000D_
_x000D_
Descrizione_x000D_
001 - [user-scalable="no"]' viene utilizzato nell'elemento '&lt;meta name="viewport"&gt;' oppure l'attributo '[maximum-scale]' è minore di 5. - La disattivazione dello zoom è problematica per gli utenti ipovedenti che si affidano all'ingrandimento dello schermo per visualizzare correttamente il contenuto di una pagina Web. [Ulteriori informazioni] (https://dequeuniversity.com/rules/axe/4.10/meta-viewport)_x000D_
_x000D_
Esempio di violazione individuata sull'oggetto:_x000D_
001 - https://posteinsurancebroker.poste.it/fastquote/index.html &lt;meta name=\"viewport\" content=\"width=device-width, initial-scale=1, user-scalable=no, user-scalable=0\"&gt; con selettore head &gt; meta_x000D_
_x000D_
Possibile Metodologia Risolutiva:_x000D_
001 - Rimuovere user-scalable="no" dal &lt;meta name="viewport"&gt;: Questo attributo impedisce agli utenti di ingrandire la pagina, violando l'accessibilità. Permettere lo zoom offre maggiore flessibilità per gli utenti con esigenze visive specifiche.
Impostare [maximum-scale] a un valore pari o superiore a 5: Garantire che l'utente possa ingrandire fino al livello desiderato.
Verificare il reflow del contenuto: Dopo aver abilitato lo zoom, assicurarsi che i contenuti si adattino correttamente alle diverse scale senza richiedere lo scrolling orizzontale._x000D_
_x000D_
Occorrenze rilevate: 1_x000D_
_x000D_
Link al dettaglio requisito WCAG: https://www.w3.org/WAI/WCAG21/quickref/_x000D_
</t>
  </si>
  <si>
    <t xml:space="preserve">Insurance Brocker - 9.4.1.2 Nome, ruolo, valore - S003 Assistenza:: (#D0013)_x000D_
S003 Assistenza_x000D_
Requisito WCAG: 4.1.2_x000D_
Disabilità afflitte: Blind;Deafblind;Mobility_x000D_
Impatto Utente: 2 - Serious_x000D_
_x000D_
Descrizione_x000D_
001 - Gli elementi devono utilizzare solo attributi ARIA ammissibili - Assicurarsi che gli attributi ARIA siano consentiti per il ruolo di un elemento [Ulteriori informazioni] (https://dequeuniversity.com/rules/axe/4.7/aria-allowed-attr?application=drwright)_x000D_
002 -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sull'oggetto:_x000D_
001 - https://posteinsurancebroker.poste.it/glossario-assicurativo/  con selettore_x000D_
002 - https://posteinsurancebroker.poste.it/archivio/ &lt;div class="panel-heading" role="tab" tabindex="0" id="heading-rcaposteguidaresicurilinear-item-0"&gt; con selettore ["#heading-rcaposteguidaresicurilinear-item-0"]_x000D_
_x000D_
Possibile Metodologia Risolutiva:_x000D_
001 - Verificare che gli attributi ARIA utilizzati siano ammessi per i ruoli specificati negli elementi, consultando la documentazione ufficiale WAI-ARIA. Rimuovere o correggere gli attributi non validi per garantire conformità e compatibilità._x000D_
002 -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Occorrenze rilevate: 2_x000D_
_x000D_
Link al dettaglio requisito WCAG: https://www.w3.org/WAI/WCAG21/quickref/_x000D_
</t>
  </si>
  <si>
    <t xml:space="preserve">Insurance Brocker - 9.4.1.1 Analisi sintattica (parsing) - S006 L'azienda:: (#D0019)_x000D_
S006 L'azienda_x000D_
Requisito WCAG: 4.1.1_x000D_
Disabilità afflitte: Blind;Deafblind_x000D_
Impatto Utente: 1 - Critical_x000D_
_x000D_
Descrizione_x000D_
001 - Gli ID ARIA non sono univoci - Il valore di un ID ARIA deve essere univoco per evitare che altre istanze vengano trascurate dalle tecnologie assistive. [Ulteriori informazioni] (https://web.dev/duplicate-id-aria/)_x000D_
_x000D_
Esempio di violazione individuata sull'oggetto:_x000D_
001 - https://posteinsurancebroker.poste.it/segnalazioni-anomalie/ &lt;p id=\"offcanvas-panel-desc-00_sites\" class=\"sr-only\"&gt; con selettore div.side-offcanvas-content-wrap &gt; div.row &gt; div.col-sm-12 &gt; p#offcanvas-panel-desc-00_sites_x000D_
_x000D_
Possibile Metodologia Risolutiva:_x000D_
001 - Cambia il valore dell'ID usato piu di una volta, per essere sicuro che sia univoco_x000D_
_x000D_
Occorrenze rilevate: 1_x000D_
_x000D_
Link al dettaglio requisito WCAG: https://www.w3.org/WAI/WCAG21/quickref/_x000D_
</t>
  </si>
  <si>
    <t xml:space="preserve">Insurance Brocker - 9.2.5.3 Etichetta nel nome - S003 Assistenza:: (#TM0001)_x000D_
S003 Assistenza_x000D_
Requisito WCAG: 2.5.3_x000D_
Disabilità afflitte: Blind;Deafblind;Low Vision;Mobility_x000D_
Impatto Utente: 2 - Serious_x000D_
_x000D_
Descrizione_x000D_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sull'oggetto:_x000D_
001 - https://posteinsurancebroker.poste.it/archivio/ &lt;button id="business-button-open" class="offcanvas-toggle pi-targetarea" aria-label="Business" type="button" aria-haspopup="true" aria-controls="menu-siti" aria-expanded="false"&gt; con selettore ["#business-button-open"]_x000D_
_x000D_
Possibile Metodologia Risolutiva:_x000D_
001 - Correggi uno dei seguenti problemi:
Il testo all'interno dell'elemento non è incluso nel nome accessibile_x000D_
_x000D_
Occorrenze rilevate: 1_x000D_
_x000D_
Link al dettaglio requisito WCAG: https://www.w3.org/WAI/WCAG21/quickref/_x000D_
</t>
  </si>
  <si>
    <t xml:space="preserve">Insurance Brocker - 9.1.4.3 Contrasto (minimo) - S003 Assistenza:: (#TM0043)_x000D_
S003 Assistenza_x000D_
Requisito WCAG: 1.4.3_x000D_
Disabilità afflitte: Colorblindness;Low Vision_x000D_
Impatto Utente: 2 - Serious_x000D_
_x000D_
Descrizione_x000D_
001 -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sull'oggetto:_x000D_
001 - https://posteinsurancebroker.poste.it/archivio/ &lt;a tabindex="0" class="skip-link sr-only-focusable-abs" href="#accessibility-anchor"&gt;Passa al contenuto principale&lt;/a&gt; con selettore ["body#page &gt; nav#skiplink:nth-of-type(1) &gt; ul:nth-of-type(1) &gt; li:nth-of-type(1) &gt; a.skip-link.sr-only-focusable-abs:nth-of-type(1)"]_x000D_
_x000D_
Possibile Metodologia Risolutiva:_x000D_
001 - Modifica i colori del testo e/o dello sfondo dei controlli per garantire un rapporto di contrasto di almeno 4,5:1, inclusi gli stati attivo e hover._x000D_
_x000D_
Occorrenze rilevate: 1_x000D_
_x000D_
Link al dettaglio requisito WCAG: https://www.w3.org/WAI/WCAG21/quickref/_x000D_
</t>
  </si>
  <si>
    <t xml:space="preserve">Insurance Brocker - 9.1.3.1 Informazioni e correlazioni - S003 Assistenza:: (#TM0046)_x000D_
S003 Assistenza_x000D_
Requisito WCAG: 1.3.1_x000D_
Disabilità afflitte: Blind;Deafblind_x000D_
Impatto Utente: 3 - Moderate_x000D_
_x000D_
Descrizione_x000D_
001 - Il contenuto non è una list, ma è contrassegnato come tale - Il contenuto non è una list, ma è contrassegnato come tale. [Ulteriori informazioni] (https://docs.deque.com/issue-help/1.0.0/en/semantic-list-used-for-presentation)_x000D_
_x000D_
Esempio di violazione individuata sull'oggetto:_x000D_
001 - https://posteinsurancebroker.poste.it/archivio/ &lt;ul&gt; con selettore ["body#page &gt; nav#skiplink:nth-of-type(1) &gt; ul:nth-of-type(1)"]_x000D_
_x000D_
Possibile Metodologia Risolutiva:_x000D_
001 - Usa elementi di lista come &lt;ul&gt;, &lt;ol&gt;, e &lt;li&gt; solo per contenuti che devono essere presentati in forma di elenco. Assicurati che le liste siano semanticamente corrette per evitare confusione_x000D_
_x000D_
Occorrenze rilevate: 1_x000D_
_x000D_
Link al dettaglio requisito WCAG: https://www.w3.org/WAI/WCAG21/quickref/_x000D_
</t>
  </si>
  <si>
    <t xml:space="preserve">Insurance Brocker - 9.3.2.1 Al focus - S003 Assistenza:: (#TM0050)_x000D_
S003 Assistenza_x000D_
Requisito WCAG: 3.2.1_x000D_
Disabilità afflitte: Blind;Cognitive;Deafblind;Low Vision_x000D_
Impatto Utente: 3 - Moderate_x000D_
_x000D_
Descrizione_x000D_
001 - Nuova finestra avviata quando il componente riceve lo stato attivo - Viene avviata una nuova finestra quando un componente riceve lo stato attivo. [Ulteriori informazioni] (https://docs.deque.com/issue-help/1.0.0/en/focus-window-launches)_x000D_
_x000D_
Esempio di violazione individuata sull'oggetto:_x000D_
001 - https://posteinsurancebroker.poste.it/assistenza  con selettore ["body#page &gt; main#accessibility-anchor:nth-of-type(1) &gt; div#content-main.content.display-pop:nth-of-type(2) &gt; div.content-wrap:nth-of-type(1) &gt; div.container:nth-of-type(1) &gt; div.row:nth-of-type(1) &gt; div.col-xs-12.col-structure:nth-of-type(1) &gt; div#posteinsurancebroker-moduli-sportello-clienti-chiamaci.row.row-fix:nth-of-type(1) &gt; div.col-xs-12.col-structure:nth-of-type(1) &gt; div#main:nth-of-type(1) &gt; div.row.row-space:nth-of-type(2) &gt; div.col-xs-12:nth-of-type(1) &gt; div.panel.panel-cards.panel-cards-default.panel-cards-default-call:nth-of-type(1) &gt; div.cards-wrap.panel-wrap:nth-of-type(1) &gt; div.row.d-flex:nth-of-type(1) &gt; div.col-md-9:nth-of-type(1) &gt; div.cards-content.obj-wrap:nth-of-type(1) &gt; div.panel-body:nth-of-type(2) &gt; div.row.row-space:nth-of-type(1) &gt; div.col-sm-4.col-lg-4.border-sm-left:nth-of-type(2) &gt; div.cards-content.py-2.ps-0.ps-sm-0:nth-of-type(1) &gt; a.fs-large.fw-semibold.text-break:nth-of-type(1)"]_x000D_
_x000D_
Possibile Metodologia Risolutiva:_x000D_
001 - Garantisci che quando una nuova finestra o un contenuto modale viene lanciato, il focus sia spostato automaticamente al nuovo contenuto per migliorare l'accessibilità e l'usabilità._x000D_
_x000D_
Occorrenze rilevate: 1_x000D_
_x000D_
Link al dettaglio requisito WCAG: https://www.w3.org/WAI/WCAG21/quickref/_x000D_
</t>
  </si>
  <si>
    <t xml:space="preserve">Insurance Brocker - 9.2.5.3 Etichetta nel nome - S005 Privacy Policy:: (#TM0063)_x000D_
S005 Privacy Policy_x000D_
Requisito WCAG: 2.5.3_x000D_
Disabilità afflitte: Blind;Deafblind;Low Vision;Mobility_x000D_
Impatto Utente: 2 - Serious_x000D_
_x000D_
Descrizione_x000D_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sull'oggetto:_x000D_
001 - https://posteinsurancebroker.poste.it/privacy-policy &lt;button id="business-button-open" class="offcanvas-toggle pi-targetarea" aria-label="Business" type="button" aria-haspopup="true" aria-controls="menu-siti" aria-expanded="false"&gt; con selettore ["#business-button-open"]_x000D_
_x000D_
Possibile Metodologia Risolutiva:_x000D_
001 - Correggi uno dei seguenti problemi:
Il testo all'interno dell'elemento non è incluso nel nome accessibile_x000D_
_x000D_
Occorrenze rilevate: 1_x000D_
_x000D_
Link al dettaglio requisito WCAG: https://www.w3.org/WAI/WCAG21/quickref/_x000D_
</t>
  </si>
  <si>
    <t xml:space="preserve">Insurance Brocker - 9.4.1.2 Nome, ruolo, valore - S005 Privacy Policy:: (#TM0066)_x000D_
S005 Privacy Policy_x000D_
Requisito WCAG: 4.1.2_x000D_
Disabilità afflitte: Blind;Mobility_x000D_
Impatto Utente: 2 - Serious_x000D_
_x000D_
Descrizione_x000D_
001 -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sull'oggetto:_x000D_
001 - https://posteinsurancebroker.poste.it/privacy-policy &lt;div class="panel-heading" role="tab" tabindex="0" id="heading-item-posteinsurancebrokerposteinsurancebroker-moduliprivacy-policy-accordionprivacy-policy-sito-internet-0-0"&gt; con selettore ["#heading-item-posteinsurancebrokerposteinsurancebroker-moduliprivacy-policy-accordionprivacy-policy-sito-internet-0-0"]_x000D_
_x000D_
Possibile Metodologia Risolutiva:_x000D_
001 -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Occorrenze rilevate: 1_x000D_
_x000D_
Link al dettaglio requisito WCAG: https://www.w3.org/WAI/WCAG21/quickref/_x000D_
</t>
  </si>
  <si>
    <t xml:space="preserve">Insurance Brocker - 9.1.4.3 Contrasto (minimo) - S005 Privacy Policy:: (#TM0081)_x000D_
S005 Privacy Policy_x000D_
Requisito WCAG: 1.4.3_x000D_
Disabilità afflitte: Colorblindness;Low Vision_x000D_
Impatto Utente: 2 - Serious_x000D_
_x000D_
Descrizione_x000D_
001 -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sull'oggetto:_x000D_
001 - https://posteinsurancebroker.poste.it/privacy-policy &lt;a tabindex="0" class="skip-link sr-only-focusable-abs" href="#accessibility-anchor"&gt;Passa al contenuto principale&lt;/a&gt; con selettore ["body#page &gt; nav#skiplink:nth-of-type(1) &gt; ul:nth-of-type(1) &gt; li:nth-of-type(1) &gt; a.skip-link.sr-only-focusable-abs:nth-of-type(1)"]_x000D_
_x000D_
Possibile Metodologia Risolutiva:_x000D_
001 - Modifica i colori del testo e/o dello sfondo dei controlli per garantire un rapporto di contrasto di almeno 4,5:1, inclusi gli stati attivo e hover._x000D_
_x000D_
Occorrenze rilevate: 1_x000D_
_x000D_
Link al dettaglio requisito WCAG: https://www.w3.org/WAI/WCAG21/quickref/_x000D_
</t>
  </si>
  <si>
    <t xml:space="preserve">Insurance Brocker - 9.1.3.1 Informazioni e correlazioni - S005 Privacy Policy:: (#TM0084)_x000D_
S005 Privacy Policy_x000D_
Requisito WCAG: 1.3.1_x000D_
Disabilità afflitte: Blind;Deafblind_x000D_
Impatto Utente: 3 - Moderate_x000D_
_x000D_
Descrizione_x000D_
001 - Il contenuto non è una list, ma è contrassegnato come tale - Il contenuto non è una list, ma è contrassegnato come tale. [Ulteriori informazioni] (https://docs.deque.com/issue-help/1.0.0/en/semantic-list-used-for-presentation)_x000D_
_x000D_
Esempio di violazione individuata sull'oggetto:_x000D_
001 - https://posteinsurancebroker.poste.it/privacy-policy &lt;ul&gt; con selettore ["body#page &gt; nav#skiplink:nth-of-type(1) &gt; ul:nth-of-type(1)"]_x000D_
_x000D_
Possibile Metodologia Risolutiva:_x000D_
001 - Usa elementi di lista come &lt;ul&gt;, &lt;ol&gt;, e &lt;li&gt; solo per contenuti che devono essere presentati in forma di elenco. Assicurati che le liste siano semanticamente corrette per evitare confusione_x000D_
_x000D_
Occorrenze rilevate: 1_x000D_
_x000D_
Link al dettaglio requisito WCAG: https://www.w3.org/WAI/WCAG21/quickref/_x000D_
</t>
  </si>
  <si>
    <t xml:space="preserve">Insurance Brocker - 9.2.5.3 Etichetta nel nome - S002 Poste Guidare Sicuri:: (#TM0085)_x000D_
S002 Poste Guidare Sicuri_x000D_
Requisito WCAG: 2.5.3_x000D_
Disabilità afflitte: Blind;Deafblind;Low Vision;Mobility_x000D_
Impatto Utente: 2 - Serious_x000D_
_x000D_
Descrizione_x000D_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sull'oggetto:_x000D_
001 - https://posteinsurancebroker.poste.it/poste-guidare-sicuri/ &lt;button id="business-button-open" class="offcanvas-toggle pi-targetarea" aria-label="Business" type="button" aria-haspopup="true" aria-controls="menu-siti" aria-expanded="false"&gt; con selettore ["#business-button-open"]_x000D_
_x000D_
Possibile Metodologia Risolutiva:_x000D_
001 - Correggi uno dei seguenti problemi:
Il testo all'interno dell'elemento non è incluso nel nome accessibile_x000D_
_x000D_
Occorrenze rilevate: 1_x000D_
_x000D_
Link al dettaglio requisito WCAG: https://www.w3.org/WAI/WCAG21/quickref/_x000D_
</t>
  </si>
  <si>
    <t xml:space="preserve">Insurance Brocker - 9.4.1.2 Nome, ruolo, valore - S002 Poste Guidare Sicuri:: (#TM0088)_x000D_
S002 Poste Guidare Sicuri_x000D_
Requisito WCAG: 4.1.2_x000D_
Disabilità afflitte: Blind;Mobility_x000D_
Impatto Utente: 2 - Serious_x000D_
_x000D_
Descrizione_x000D_
001 -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002 -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(https://web.dev/button-name/)_x000D_
_x000D_
Esempio di violazione individuata sull'oggetto:_x000D_
001 - https://posteinsurancebroker.poste.it/poste-guidare-sicuri/ &lt;div class="content concept-b content-bg display-pop mode-dark  mb-2 mb-sm-5" id="content-abstract" style="background-image: url(https://www.media.poste.it/9436e52d-f659-4318-8742-50b60b289b54/bg/svg/conceptb-background-posteguidaresicuri@1x);" role="img" aria-label="Una mano che mette uno scudo sull'auto"&gt; con selettore ["#content-abstract"]_x000D_
002 - https://posteinsurancebroker.poste.it/fastquote/index.html &lt;button _ngcontent-fkk-c2="" class="btn btn-default border-0" type="button"&gt;&lt;span _ngcontent-fkk-c2="" aria-hidden="true" class="poste poste-calendar"&gt;&lt;/span&gt;&lt;/button&gt; con selettore [".btn-default"]_x000D_
_x000D_
Possibile Metodologia Risolutiva:_x000D_
001 - Evita di nidificare elementi interattivi (es. un pulsante all'interno di un link). Ristruttura il codice per garantire che ogni controllo interattivo sia indipendente e non sovrapposto ad altri, ad esempio utilizzando uno stile o un elemento contenitore non interattivo._x000D_
002 - Assegna a ogni pulsante un nome accessibile utilizzando il contenuto visibile (es. testo) o attributi come aria-label o aria-labelledby. Ad esempio: &lt;button aria-label="Invia"&gt;._x000D_
_x000D_
Occorrenze rilevate: 2_x000D_
_x000D_
Link al dettaglio requisito WCAG: https://www.w3.org/WAI/WCAG21/quickref/_x000D_
</t>
  </si>
  <si>
    <t xml:space="preserve">Insurance Brocker - 9.1.4.3 Contrasto (minimo) - S002 Poste Guidare Sicuri:: (#TM0128)_x000D_
S002 Poste Guidare Sicuri_x000D_
Requisito WCAG: 1.4.3_x000D_
Disabilità afflitte: Colorblindness;Low Vision_x000D_
Impatto Utente: 2 - Serious_x000D_
_x000D_
Descrizione_x000D_
001 -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002 - I colori di sfondo e di primo piano non hanno un rapporto di contrasto sufficiente. - Il testo a basso contrasto è difficile o impossibile da leggere per molti utenti. [Ulteriori informazioni] (https://dequeuniversity.com/rules/axe/4.10/color-contrast)_x000D_
_x000D_
Esempio di violazione individuata sull'oggetto:_x000D_
001 - https://posteinsurancebroker.poste.it/poste-guidare-sicuri/ &lt;a tabindex="0" class="skip-link sr-only-focusable-abs" href="#accessibility-anchor"&gt;Passa al contenuto principale&lt;/a&gt; con selettore ["body#page.conceptB-con-fasciacolorata-in-alto &gt; nav#skiplink:nth-of-type(1) &gt; ul:nth-of-type(1) &gt; li:nth-of-type(1) &gt; a.skip-link.sr-only-focusable-abs:nth-of-type(1)"]_x000D_
002 - https://posteinsurancebroker.poste.it/fastquote/index.html &lt;label _ngcontent-fkk-c2="" for="plate"&gt;Targa del veicolo&lt;/label&gt; con selettore [".col-md-6.form-group:nth-child(1) &gt; label[for=\"plate\"]"]_x000D_
_x000D_
Possibile Metodologia Risolutiva:_x000D_
001 - Modifica i colori del testo e/o dello sfondo dei controlli per garantire un rapporto di contrasto di almeno 4,5:1, inclusi gli stati attivo e hover._x000D_
002 - Aumenta il contrasto tra testo e sfondo per rendere il contenuto leggibile da utenti con difficoltà visive. WCAG richiede un rapporto di almeno 4.5:1 per il testo normale e 3:1 per il testo grande, quindi scegli colori che rispettino queste soglie._x000D_
_x000D_
Occorrenze rilevate: 2_x000D_
_x000D_
Link al dettaglio requisito WCAG: https://www.w3.org/WAI/WCAG21/quickref/_x000D_
</t>
  </si>
  <si>
    <t xml:space="preserve">Insurance Brocker - 9.2.1.1 Tastiera - S002 Poste Guidare Sicuri:: (#TM0133)_x000D_
S002 Poste Guidare Sicuri_x000D_
Requisito WCAG: 2.1.1_x000D_
Disabilità afflitte: Blind;Deafblind;Mobility_x000D_
Impatto Utente: 1 - Critical_x000D_
_x000D_
Descrizione_x000D_
001 - La funzione non può essere eseguita dalla sola tastiera - Non è possibile eseguire la funzione utilizzando solo la tastiera sulla stessa schermata o su una versione alternativa conforme qualificata. [Ulteriori informazioni] (https://docs.deque.com/issue-help/1.0.0/en/keyboard-inaccessible)_x000D_
_x000D_
Esempio di violazione individuata sull'oggetto:_x000D_
001 - https://posteinsurancebroker.poste.it/poste-guidare-sicuri/  con selettore ["body#page.conceptB-con-fasciacolorata-in-alto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a.btn.btn-xs.btn-primary.header-extra-object.hidden-xs:nth-of-type(1)"]_x000D_
_x000D_
Possibile Metodologia Risolutiva:_x000D_
001 -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navigazione._x000D_
_x000D_
Occorrenze rilevate: 1_x000D_
_x000D_
Link al dettaglio requisito WCAG: https://www.w3.org/WAI/WCAG21/quickref/_x000D_
</t>
  </si>
  <si>
    <t xml:space="preserve">Insurance Brocker - 9.1.3.1 Informazioni e correlazioni - S002 Poste Guidare Sicuri:: (#TM0134)_x000D_
S002 Poste Guidare Sicuri_x000D_
Requisito WCAG: 1.3.1_x000D_
Disabilità afflitte: Blind;Deafblind_x000D_
Impatto Utente: 3 - Moderate_x000D_
_x000D_
Descrizione_x000D_
001 - Il contenuto non è una list, ma è contrassegnato come tale - Il contenuto non è una list, ma è contrassegnato come tale. [Ulteriori informazioni] (https://docs.deque.com/issue-help/1.0.0/en/semantic-list-used-for-presentation)_x000D_
002 - Agli elementi form non sono associate etichette - Le etichette assicurano che i controlli delle form vengano annunciati correttamente dalle tecnologie assistive, come gli screen reader. [Ulteriori informazioni] (https://web.dev/label/)_x000D_
_x000D_
Esempio di violazione individuata sull'oggetto:_x000D_
001 - https://posteinsurancebroker.poste.it/poste-guidare-sicuri/ &lt;ul&gt; con selettore ["body#page.conceptB-con-fasciacolorata-in-alto &gt; nav#skiplink:nth-of-type(1) &gt; ul:nth-of-type(1)"]_x000D_
002 - https://posteinsurancebroker.poste.it/fastquote/index.html &lt;textarea _ngcontent-fkk-c2="" class="form-control custom-control-textarea" readonly="" rows="3"&gt; con selettore ["textarea"]_x000D_
_x000D_
Possibile Metodologia Risolutiva:_x000D_
001 - Usa elementi di lista come &lt;ul&gt;, &lt;ol&gt;, e &lt;li&gt; solo per contenuti che devono essere presentati in forma di elenco. Assicurati che le liste siano semanticamente corrette per evitare confusione_x000D_
002 - Ogni campo del form dovrebbe avere un’etichetta associata tramite il tag &lt;label&gt; per facilitare l’interazione degli utenti che utilizzano tecnologie assistive. Le etichette devono descrivere chiaramente la funzione del campo._x000D_
_x000D_
Occorrenze rilevate: 2_x000D_
_x000D_
Link al dettaglio requisito WCAG: https://www.w3.org/WAI/WCAG21/quickref/_x000D_
</t>
  </si>
  <si>
    <t xml:space="preserve">Insurance Brocker - 9.2.5.3 Etichetta nel nome - S001 Homepage:: (#TM0135)_x000D_
S001 Homepage_x000D_
Requisito WCAG: 2.5.3_x000D_
Disabilità afflitte: Blind;Deafblind;Low Vision;Mobility_x000D_
Impatto Utente: 2 - Serious_x000D_
_x000D_
Descrizione_x000D_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sull'oggetto:_x000D_
001 - https://posteinsurancebroker.poste.it/ &lt;button id="business-button-open" class="offcanvas-toggle pi-targetarea" aria-label="Business" type="button" aria-haspopup="true" aria-controls="menu-siti" aria-expanded="false"&gt; con selettore ["#business-button-open"]_x000D_
_x000D_
Possibile Metodologia Risolutiva:_x000D_
001 - Correggi uno dei seguenti problemi:
Il testo all'interno dell'elemento non è incluso nel nome accessibile_x000D_
_x000D_
Occorrenze rilevate: 1_x000D_
_x000D_
Link al dettaglio requisito WCAG: https://www.w3.org/WAI/WCAG21/quickref/_x000D_
</t>
  </si>
  <si>
    <t xml:space="preserve">Insurance Brocker - 9.1.4.3 Contrasto (minimo) - S001 Homepage:: (#TM0138)_x000D_
S001 Homepage_x000D_
Requisito WCAG: 1.4.3_x000D_
Disabilità afflitte: Colorblindness;Low Vision_x000D_
Impatto Utente: 2 - Serious_x000D_
_x000D_
Descrizione_x000D_
001 -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sull'oggetto:_x000D_
001 - https://posteinsurancebroker.poste.it/ &lt;a tabindex="0" class="skip-link sr-only-focusable-abs" href="#accessibility-anchor"&gt;Passa al contenuto principale&lt;/a&gt; con selettore ["body#page.pattern-circle-01 &gt; nav#skiplink:nth-of-type(1) &gt; ul:nth-of-type(1) &gt; li:nth-of-type(1) &gt; a.skip-link.sr-only-focusable-abs:nth-of-type(1)"]_x000D_
_x000D_
Possibile Metodologia Risolutiva:_x000D_
001 - Modifica i colori del testo e/o dello sfondo dei controlli per garantire un rapporto di contrasto di almeno 4,5:1, inclusi gli stati attivo e hover._x000D_
_x000D_
Occorrenze rilevate: 1_x000D_
_x000D_
Link al dettaglio requisito WCAG: https://www.w3.org/WAI/WCAG21/quickref/_x000D_
</t>
  </si>
  <si>
    <t xml:space="preserve">Insurance Brocker - 9.2.1.1 Tastiera - S001 Homepage:: (#TM0143)_x000D_
S001 Homepage_x000D_
Requisito WCAG: 2.1.1_x000D_
Disabilità afflitte: Blind;Deafblind;Mobility_x000D_
Impatto Utente: 1 - Critical_x000D_
_x000D_
Descrizione_x000D_
001 - La funzione non può essere eseguita dalla sola tastiera - Non è possibile eseguire la funzione utilizzando solo la tastiera sulla stessa schermata o su una versione alternativa conforme qualificata. [Ulteriori informazioni] (https://docs.deque.com/issue-help/1.0.0/en/keyboard-inaccessible)_x000D_
_x000D_
Esempio di violazione individuata sull'oggetto:_x000D_
001 - https://posteinsurancebroker.poste.it/  con selettore ["body#page.pattern-circle-01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a.btn.btn-xs.btn-primary.header-extra-object.hidden-xs:nth-of-type(1)"]_x000D_
_x000D_
Possibile Metodologia Risolutiva:_x000D_
001 -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navigazione._x000D_
_x000D_
Occorrenze rilevate: 1_x000D_
_x000D_
Link al dettaglio requisito WCAG: https://www.w3.org/WAI/WCAG21/quickref/_x000D_
</t>
  </si>
  <si>
    <t xml:space="preserve">Insurance Brocker - 9.4.1.2 Nome, ruolo, valore - S001 Homepage:: (#TM0144)_x000D_
S001 Homepage_x000D_
Requisito WCAG: 4.1.2_x000D_
Disabilità afflitte: Blind;Deafblind;Mobility_x000D_
Impatto Utente: 1 - Critical_x000D_
_x000D_
Descrizione_x000D_
001 - Nome: il nome dell'elemento è mancante o errato - Il nome accessibile dell'elemento è mancante o non è appropriato per lo scopo dell'elemento. [Ulteriori informazioni] (https://docs.deque.com/issue-help/1.0.0/en/aria-name-missing-incorrect)_x000D_
_x000D_
Esempio di violazione individuata sull'oggetto:_x000D_
001 - https://posteinsurancebroker.poste.it/ &lt;a title="Vai alla pagina dedicata a Poste Guidare Sicuri" href="https://posteinsurancebroker.poste.it/poste-guidare-sicuri/" target="_self" class="btn btn-xs btn-default" rel="noopener noreferrer" data-activity-linkid="Scopri di pi&amp;amp;ugrave;-posteinsurancebroker-moduli-posteinsurancebroker-catalogo-prodotti-product-card-1-btn-default-posteguidaresicuri"&gt; con selettore ["body#page.pattern-circle-01 &gt; main#accessibility-anchor:nth-of-type(1) &gt; div#posteinsurancebroker-moduli-posteinsurancebroker-catalogo-prodotti.content.display-pop:nth-of-type(5) &gt; div.content-wrap:nth-of-type(1) &gt; div.container:nth-of-type(1) &gt; div.row.row-fix.mx-auto:nth-of-type(1) &gt; div.col-xs-12.px-0:nth-of-type(1) &gt; div.row.row-space:nth-of-type(2) &gt; div.col-sm-12:nth-of-type(1) &gt; div.panel.panel-cards.panel-cards-detailed-bg.mode-img-middle:nth-of-type(1) &gt; div.panel-wrap.cards-wrap.panel-wrap-right.ms-0:nth-of-type(2) &gt; div.panel-body:nth-of-type(1) &gt; div.cards-content:nth-of-type(1) &gt; div.row:nth-of-type(2) &gt; div.col-sm-7.col-sm-push-5.col-md-8.col-md-push-4.col-lg-9.col-lg-push-3:nth-of-type(4) &gt; div.btn-container.mt-2.clearfix:nth-of-type(1) &gt; a.btn.btn-xs.btn-default:nth-of-type(1)"]_x000D_
_x000D_
Possibile Metodologia Risolutiva:_x000D_
001 - Il nome accessibile dell'elemento non è presente o non è appropriato per lo scopo dell'elemento_x000D_
_x000D_
Occorrenze rilevate: 1_x000D_
_x000D_
Link al dettaglio requisito WCAG: https://www.w3.org/WAI/WCAG21/quickref/_x000D_
</t>
  </si>
  <si>
    <t xml:space="preserve">Insurance Brocker - 9.1.3.1 Informazioni e correlazioni - S001 Homepage:: (#TM0145)_x000D_
S001 Homepage_x000D_
Requisito WCAG: 1.3.1_x000D_
Disabilità afflitte: Blind;Deafblind_x000D_
Impatto Utente: 3 - Moderate_x000D_
_x000D_
Descrizione_x000D_
001 - Il testo dell'intestazione visiva non è contrassegnato come intestazione - Il testo viene visualizzato e funziona come un'intestazione di sezione, ma non viene contrassegnato come tale. [Ulteriori informazioni] (https://docs.deque.com/issue-help/1.0.0/en/semantic-heading)_x000D_
002 - Il contenuto non è una list, ma è contrassegnato come tale - Il contenuto non è una list, ma è contrassegnato come tale. [Ulteriori informazioni] (https://docs.deque.com/issue-help/1.0.0/en/semantic-list-used-for-presentation)_x000D_
_x000D_
Esempio di violazione individuata sull'oggetto:_x000D_
001 - https://posteinsurancebroker.poste.it/  con selettore ["body#page.pattern-circle-01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span.h6.block:nth-of-type(1)"]_x000D_
002 - https://posteinsurancebroker.poste.it/ &lt;ul&gt; con selettore ["body#page.pattern-circle-01 &gt; nav#skiplink:nth-of-type(1) &gt; ul:nth-of-type(1)"]_x000D_
_x000D_
Possibile Metodologia Risolutiva:_x000D_
001 - Il testo che agisce come intestazione visivamente o strutturalmente DOVREBBE essere designato come una intestazione nel markup (h1,h2,...).
Possibile soluzione:
Assicurarsi che il testo che funge da intestazione visiva sia marcato con i tag appropriati di intestazione HTML, come `&lt;h1&gt;`, `&lt;h2&gt;`, ecc. Questo aiuta a definire chiaramente la struttura della pagina per i lettori di schermo._x000D_
002 - Usa elementi di lista come &lt;ul&gt;, &lt;ol&gt;, e &lt;li&gt; solo per contenuti che devono essere presentati in forma di elenco. Assicurati che le liste siano semanticamente corrette per evitare confusione_x000D_
_x000D_
Occorrenze rilevate: 2_x000D_
_x000D_
Link al dettaglio requisito WCAG: https://www.w3.org/WAI/WCAG21/quickref/_x000D_
</t>
  </si>
  <si>
    <t xml:space="preserve">Insurance Brocker - 9.2.4.3 Ordine del focus - S002 Poste Guidare Sicuri:: (#TM0161)_x000D_
S002 Poste Guidare Sicuri_x000D_
Requisito WCAG: 2.4.3_x000D_
Disabilità afflitte: Blind;Deafblind;Mobility_x000D_
Impatto Utente: 2 - Serious_x000D_
_x000D_
Descrizione_x000D_
001 - L'elemento nascosto o vuoto riceve lo stato attivo - Lo stato attivo della tastiera o lo scorrimento del touch screen si verifica su un elemento nascosto o vuoto. [Ulteriori informazioni] (https://docs.deque.com/issue-help/1.0.0/en/focus-on-hidden-item)_x000D_
_x000D_
Esempio di violazione individuata sull'oggetto:_x000D_
001 - https://posteinsurancebroker.poste.it/fastquote/index.html &lt;input _ngcontent-fkk-c2="" class="custom-control-input ng-untouched ng-pristine ng-invalid" formcontrolname="commercial" id="commercial_yes" name="commercial" type="radio"&gt; con selettore ["body &gt; app-root:nth-of-type(1) &gt; main#main:nth-of-type(1) &gt; ng-component:nth-of-type(1) &gt; div.container.mt-5:nth-of-type(2) &gt; div.row:nth-of-type(1) &gt; div.col-12.col-lg-9:nth-of-type(1) &gt; form.ng-untouched.ng-pristine.ng-invalid:nth-of-type(1) &gt; div.card:nth-of-type(1) &gt; div.card-body:nth-of-type(1) &gt; div.form-group:nth-of-type(3) &gt; div.custom-control.custom-radio.custom-control-inline:nth-of-type(1) &gt; input#commercial_yes.custom-control-input.ng-untouched.ng-pristine.ng-invalid:nth-of-type(1)"]_x000D_
_x000D_
Possibile Metodologia Risolutiva:_x000D_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_x000D_
_x000D_
Occorrenze rilevate: 1_x000D_
_x000D_
Link al dettaglio requisito WCAG: https://www.w3.org/WAI/WCAG21/quickref/_x000D_
</t>
  </si>
  <si>
    <t xml:space="preserve">Insurance Brocker - 9.2.5.3 Etichetta nel nome - S006 L'azienda:: (#TM0175)_x000D_
S006 L'azienda_x000D_
Requisito WCAG: 2.5.3_x000D_
Disabilità afflitte: Blind;Deafblind;Low Vision;Mobility_x000D_
Impatto Utente: 2 - Serious_x000D_
_x000D_
Descrizione_x000D_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sull'oggetto:_x000D_
001 - https://posteinsurancebroker.poste.it/segnalazioni-anomalie/ &lt;button id="business-button-open" class="offcanvas-toggle pi-targetarea" aria-label="Business" type="button" aria-haspopup="true" aria-controls="menu-siti" aria-expanded="false"&gt; con selettore ["#business-button-open"]_x000D_
_x000D_
Possibile Metodologia Risolutiva:_x000D_
001 - Correggi uno dei seguenti problemi:
Il testo all'interno dell'elemento non è incluso nel nome accessibile_x000D_
_x000D_
Occorrenze rilevate: 1_x000D_
_x000D_
Link al dettaglio requisito WCAG: https://www.w3.org/WAI/WCAG21/quickref/_x000D_
</t>
  </si>
  <si>
    <t xml:space="preserve">Insurance Brocker - 9.4.1.2 Nome, ruolo, valore - S006 L'azienda:: (#TM0178)_x000D_
S006 L'azienda_x000D_
Requisito WCAG: 4.1.2_x000D_
Disabilità afflitte: Blind;Mobility_x000D_
Impatto Utente: 2 - Serious_x000D_
_x000D_
Descrizione_x000D_
001 -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sull'oggetto:_x000D_
001 - https://posteinsurancebroker.poste.it/segnalazioni-anomalie/ &lt;div class="panel-heading" role="tab" tabindex="0" id="heading-item-posteinsurancebrokerposteinsurancebroker-modulisegnalazioni-anomalie-accordion-faqchi-puo-inviare-una-segnalazione-0-0"&gt; con selettore ["#heading-item-posteinsurancebrokerposteinsurancebroker-modulisegnalazioni-anomalie-accordion-faqchi-puo-inviare-una-segnalazione-0-0"]_x000D_
_x000D_
Possibile Metodologia Risolutiva:_x000D_
001 -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Occorrenze rilevate: 1_x000D_
_x000D_
Link al dettaglio requisito WCAG: https://www.w3.org/WAI/WCAG21/quickref/_x000D_
</t>
  </si>
  <si>
    <t xml:space="preserve">Insurance Brocker - 9.1.4.3 Contrasto (minimo) - S006 L'azienda:: (#TM0208)_x000D_
S006 L'azienda_x000D_
Requisito WCAG: 1.4.3_x000D_
Disabilità afflitte: Colorblindness;Low Vision_x000D_
Impatto Utente: 2 - Serious_x000D_
_x000D_
Descrizione_x000D_
001 -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sull'oggetto:_x000D_
001 - https://posteinsurancebroker.poste.it/segnalazioni-anomalie/ &lt;a tabindex="0" class="skip-link sr-only-focusable-abs" href="#accessibility-anchor"&gt;Passa al contenuto principale&lt;/a&gt; con selettore ["body#page.Nessuno &gt; nav#skiplink:nth-of-type(1) &gt; ul:nth-of-type(1) &gt; li:nth-of-type(1) &gt; a.skip-link.sr-only-focusable-abs:nth-of-type(1)"]_x000D_
_x000D_
Possibile Metodologia Risolutiva:_x000D_
001 - Modifica i colori del testo e/o dello sfondo dei controlli per garantire un rapporto di contrasto di almeno 4,5:1, inclusi gli stati attivo e hover._x000D_
_x000D_
Occorrenze rilevate: 1_x000D_
_x000D_
Link al dettaglio requisito WCAG: https://www.w3.org/WAI/WCAG21/quickref/_x000D_
</t>
  </si>
  <si>
    <t xml:space="preserve">Insurance Brocker - 9.1.3.1 Informazioni e correlazioni - S006 L'azienda:: (#TM0211)_x000D_
S006 L'azienda_x000D_
Requisito WCAG: 1.3.1_x000D_
Disabilità afflitte: Blind;Deafblind_x000D_
Impatto Utente: 3 - Moderate_x000D_
_x000D_
Descrizione_x000D_
001 - Il contenuto non è una list, ma è contrassegnato come tale - Il contenuto non è una list, ma è contrassegnato come tale. [Ulteriori informazioni] (https://docs.deque.com/issue-help/1.0.0/en/semantic-list-used-for-presentation)_x000D_
_x000D_
Esempio di violazione individuata sull'oggetto:_x000D_
001 - https://posteinsurancebroker.poste.it/segnalazioni-anomalie/ &lt;ul&gt; con selettore ["body#page.Nessuno &gt; nav#skiplink:nth-of-type(1) &gt; ul:nth-of-type(1)"]_x000D_
_x000D_
Possibile Metodologia Risolutiva:_x000D_
001 - Usa elementi di lista come &lt;ul&gt;, &lt;ol&gt;, e &lt;li&gt; solo per contenuti che devono essere presentati in forma di elenco. Assicurati che le liste siano semanticamente corrette per evitare confusione_x000D_
_x000D_
Occorrenze rilevate: 1_x000D_
_x000D_
Link al dettaglio requisito WCAG: https://www.w3.org/WAI/WCAG21/quickref/_x000D_
</t>
  </si>
  <si>
    <t xml:space="preserve">Insurance Brocker - 10.1.3.1 Informazioni e correlazioni - D001 Modello CAI - LN (:: (#PDF0001)_x000D_
D001 Modello CAI - LN (_x000D_
Requisito WCAG: 1.3.1_x000D_
Disabilità afflitte: Blind;Deafblind;Mobility_x000D_
Impatto Utente: 2 - Serious_x000D_
_x000D_
Descrizione_x000D_
001 - Utilizza i tag per specificare la struttura logica del PDF  - Utilizza i tag per specificare la struttura logica del PDF (https://www.w3.org/TR/WCAG20-TECHS/pdf#pdf_notes_acc-sup_tagged)_x000D_
002 - Fornire intestazioni contrassegnando il contenuto con tag di intestazione nei documenti PDF  - Fornire intestazioni contrassegnando il contenuto con tag di intestazione nei documenti PDF (https://www.w3.org/WAI/WCAG22/Techniques/pdf/PDF9)_x000D_
003 - Documento non contrassegnato come taggato - Documento non contrassegnato come taggato (https://www.w3.org/WAI/WCAG21/Techniques/pdf/PDF1)_x000D_
004 - Oggetto di percorso non taggato - Oggetto di percorso non taggato (https://www.w3.org/WAI/WCAG21/Techniques/pdf/PDF1)_x000D_
005 - Oggetto immagine non taggato - Oggetto immagine non taggato (https://www.w3.org/WAI/WCAG21/Techniques/pdf/PDF1)_x000D_
006 - Oggetto testo non taggato - Oggetto testo non taggato (https://www.w3.org/WAI/WCAG21/Techniques/pdf/PDF1)_x000D_
_x000D_
Esempio di violazione individuata sull'oggetto:_x000D_
001 - https://www.media.poste.it/1723b746-4914-4076-ba5f-26946e1806ed/web/modello-cai-ln  con selettore_x000D_
002 - https://www.media.poste.it/1723b746-4914-4076-ba5f-26946e1806ed/web/modello-cai-ln  con selettore_x000D_
003 - https://www.media.poste.it/1723b746-4914-4076-ba5f-26946e1806ed/web/modello-cai-ln  con selettore_x000D_
004 - https://www.media.poste.it/1723b746-4914-4076-ba5f-26946e1806ed/web/modello-cai-ln  con selettore_x000D_
005 - https://www.media.poste.it/1723b746-4914-4076-ba5f-26946e1806ed/web/modello-cai-ln  con selettore_x000D_
006 - https://www.media.poste.it/1723b746-4914-4076-ba5f-26946e1806ed/web/modello-cai-ln  con selettore_x000D_
_x000D_
Possibile Metodologia Risolutiva:_x000D_
001 - Cambiare la struttura del PDF a Tagged PDF_x000D_
002 - I documenti pdf devono avere gli heading correttamente marcati:
- Aggiungendo o modificando i tag heading su prodotti di modifica PDF
- Creando documenti in programmi Word usando lo styling corretto per la conversione in PDF
- Marcando gli heading usando elementi /Hn_x000D_
003 - Contrassegnare tutto il documento come taggato per consentire l'accesso agli screen reader. In Adobe Acrobat, selezionare Aggiungi tag al documento._x000D_
004 - Assicurarsi che tutti gli oggetti grafici di tipo percorso siano taggati. In Adobe Acrobat, selezionare l'oggetto e aggiungere un tag appropriato nella struttura dei tag._x000D_
005 - Taggare ogni immagine e fornire una descrizione significativa per l'accesso tramite lettori di schermo. Usare Strumenti &gt; Accessibilità &gt; Aggiungi tag all'immagine_x000D_
006 - Assicurarsi che tutti i blocchi di testo siano taggati correttamente nella struttura PDF per l’accesso con screen reader. In Adobe Acrobat, usare l'opzione Aggiungi tag al documento._x000D_
_x000D_
Occorrenze rilevate: 6_x000D_
_x000D_
Link al dettaglio requisito WCAG: https://www.w3.org/WAI/WCAG21/quickref/_x000D_
</t>
  </si>
  <si>
    <t xml:space="preserve">Insurance Brocker - 10.1.3.2 Sequenza significativa - D001 Modello CAI - LN (:: (#PDF0003)_x000D_
D001 Modello CAI - LN (_x000D_
Requisito WCAG: 1.3.2_x000D_
Disabilità afflitte: Blind;Deafblind;Mobility_x000D_
Impatto Utente: 1 - Critical_x000D_
_x000D_
Descrizione_x000D_
001 - Garantire il corretto ordine di tabulazione e di lettura nei documenti PDF  - Garantire il corretto ordine di tabulazione e di lettura nei documenti PDF (https://www.w3.org/WAI/WCAG22/Techniques/pdf/PDF3)_x000D_
_x000D_
Esempio di violazione individuata sull'oggetto:_x000D_
001 - https://www.media.poste.it/1723b746-4914-4076-ba5f-26946e1806ed/web/modello-cai-ln  con selettore_x000D_
_x000D_
Possibile Metodologia Risolutiva:_x000D_
001 - Imposta l'ordine di scorrimento degli elementi su una pagina utilizzando l'opzione "Struttura documento"_x000D_
_x000D_
Occorrenze rilevate: 1_x000D_
_x000D_
Link al dettaglio requisito WCAG: https://www.w3.org/WAI/WCAG21/quickref/_x000D_
</t>
  </si>
  <si>
    <t xml:space="preserve">Insurance Brocker - 10.2.4.2 Titolazione della pagina - D001 Modello CAI - LN (:: (#PDF0004)_x000D_
D001 Modello CAI - LN (_x000D_
Requisito WCAG: 2.4.2_x000D_
Disabilità afflitte: Blind;Deafblind_x000D_
Impatto Utente: 4 - Minor_x000D_
_x000D_
Descrizione_x000D_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Titolo mancante nei metadati XMP del documento - Titolo mancante nei metadati XMP del documento (https://www.w3.org/WAI/WCAG21/Techniques/general/G88)_x000D_
003 - "DisplayDocTitle" non impostato - "DisplayDocTitle" non impostato (https://www.w3.org/WAI/WCAG21/Techniques/general/G88)_x000D_
_x000D_
Esempio di violazione individuata sull'oggetto:_x000D_
001 - https://www.media.poste.it/1723b746-4914-4076-ba5f-26946e1806ed/web/modello-cai-ln  con selettore_x000D_
002 - https://www.media.poste.it/1723b746-4914-4076-ba5f-26946e1806ed/web/modello-cai-ln  con selettore_x000D_
003 - https://www.media.poste.it/1723b746-4914-4076-ba5f-26946e1806ed/web/modello-cai-ln  con selettore_x000D_
_x000D_
Possibile Metodologia Risolutiva:_x000D_
001 - Imposta il nuovo titolo PDF_x000D_
002 - Aggiungere un titolo descrittivo nei metadati del documento (XMP), che aiuti gli utenti a identificare facilmente il contenuto. In Adobe Acrobat, andare su File &gt; Proprietà &gt; Descrizione e inserire un titolo._x000D_
003 - Impostare l’opzione "DisplayDocTitle" per mostrare il titolo del documento anziché il nome file. In Acrobat, andare su File &gt; Proprietà &gt; Visualizzazione iniziale e selezionare “Mostra titolo documento”._x000D_
_x000D_
Occorrenze rilevate: 3_x000D_
_x000D_
Link al dettaglio requisito WCAG: https://www.w3.org/WAI/WCAG21/quickref/_x000D_
</t>
  </si>
  <si>
    <t xml:space="preserve">Insurance Brocker - 10.3.1.1 Lingua della pagina - D001 Modello CAI - LN (:: (#PDF0005)_x000D_
D001 Modello CAI - LN (_x000D_
Requisito WCAG: 3.1.1_x000D_
Disabilità afflitte: Blind;Cognitive;Deafblind_x000D_
Impatto Utente: 3 - Moderate_x000D_
_x000D_
Descrizione_x000D_
001 - Impostazione della lingua predefinita utilizzando la voce /Lang nel catalogo documenti di un documento PDF - Impostazione della lingua predefinita utilizzando la voce /Lang nel catalogo documenti di un documento PDF (https://www.w3.org/WAI/WCAG22/Techniques/pdf/PDF16)_x000D_
002 - I metadati della lingua del documento contengono un errore di sintassi - I metadati della lingua del documento contengono un errore di sintassi (https://www.w3.org/WAI/WCAG21/Techniques/html/H57)_x000D_
_x000D_
Esempio di violazione individuata sull'oggetto:_x000D_
001 - https://www.media.poste.it/1723b746-4914-4076-ba5f-26946e1806ed/web/modello-cai-ln  con selettore_x000D_
002 - https://www.media.poste.it/1723b746-4914-4076-ba5f-26946e1806ed/web/modello-cai-ln  con selettore_x000D_
_x000D_
Possibile Metodologia Risolutiva:_x000D_
001 - Seleziona la lingua principale del PDF_x000D_
002 - Correggere l'errore di sintassi nei metadati della lingua per consentire ai lettori di schermo di riconoscere correttamente la lingua._x000D_
_x000D_
Occorrenze rilevate: 2_x000D_
_x000D_
Link al dettaglio requisito WCAG: https://www.w3.org/WAI/WCAG21/quickref/_x000D_
</t>
  </si>
  <si>
    <t xml:space="preserve">Insurance Brocker - 10.1.4.3 Contrasto (minimo) - D001 Modello CAI - LN (:: (#PDF0010)_x000D_
D001 Modello CAI - LN (_x000D_
Requisito WCAG: 1.4.3_x000D_
Disabilità afflitte: Blind;Cognitive;Deafblind_x000D_
Impatto Utente: 2 - Serious_x000D_
_x000D_
Descrizione_x000D_
001 - Testo con contrasto insufficiente - Testo con contrasto insufficiente (https://www.w3.org/WAI/WCAG21/Techniques/general/G18)_x000D_
_x000D_
Esempio di violazione individuata sull'oggetto:_x000D_
001 - https://www.media.poste.it/1723b746-4914-4076-ba5f-26946e1806ed/web/modello-cai-ln  con selettore_x000D_
_x000D_
Possibile Metodologia Risolutiva:_x000D_
001 - Regolare il contrasto tra testo e sfondo, assicurandosi che rispetti il rapporto minimo di contrasto di 4.5:1. Modificare il colore del testo o dello sfondo nel software di editing._x000D_
_x000D_
Occorrenze rilevate: 1_x000D_
_x000D_
Link al dettaglio requisito WCAG: https://www.w3.org/WAI/WCAG21/quickref/_x000D_
</t>
  </si>
  <si>
    <t xml:space="preserve">Insurance Brocker - 10.3.1.2 Parti in lingua - D001 Modello CAI - LN (:: (#PDF0014)_x000D_
D001 Modello CAI - LN (_x000D_
Requisito WCAG: 3.1.2_x000D_
Disabilità afflitte: Blind;Cognitive;Deafblind_x000D_
Impatto Utente: 2 - Serious_x000D_
_x000D_
Descrizione_x000D_
001 - La lingua naturale per un oggetto di testo non può essere determinata. - La lingua naturale per un oggetto di testo non può essere determinata. (https://www.w3.org/TR/WCAG20-TECHS/PDF19.html)_x000D_
_x000D_
Esempio di violazione individuata sull'oggetto:_x000D_
001 - https://www.media.poste.it/1723b746-4914-4076-ba5f-26946e1806ed/web/modello-cai-ln  con selettore_x000D_
_x000D_
Possibile Metodologia Risolutiva:_x000D_
001 - In Adobe Acrobat Pro, vai su File &gt; Proprietà &gt; Avanzate e imposta la lingua predefinita del documento. Usa strumenti di verifica per controllare che tutti gli oggetti di testo ereditino correttamente questa impostazione._x000D_
_x000D_
Occorrenze rilevate: 1_x000D_
_x000D_
Link al dettaglio requisito WCAG: https://www.w3.org/WAI/WCAG21/quickref/_x000D_
</t>
  </si>
  <si>
    <t>S0019.4.1.1</t>
  </si>
  <si>
    <t>S0039.4.1.1</t>
  </si>
  <si>
    <t>S0059.4.1.1</t>
  </si>
  <si>
    <t>S0049.4.1.1</t>
  </si>
  <si>
    <t>S0029.4.1.1</t>
  </si>
  <si>
    <t>S0029.1.1.1</t>
  </si>
  <si>
    <t>S0029.1.4.4</t>
  </si>
  <si>
    <t>S0039.4.1.2</t>
  </si>
  <si>
    <t>S0069.4.1.1</t>
  </si>
  <si>
    <t>S0039.2.5.3</t>
  </si>
  <si>
    <t>S0039.1.4.3</t>
  </si>
  <si>
    <t>S0039.1.3.1</t>
  </si>
  <si>
    <t>S0039.3.2.1</t>
  </si>
  <si>
    <t>S0059.2.5.3</t>
  </si>
  <si>
    <t>S0059.4.1.2</t>
  </si>
  <si>
    <t>S0059.1.4.3</t>
  </si>
  <si>
    <t>S0059.1.3.1</t>
  </si>
  <si>
    <t>S0029.2.5.3</t>
  </si>
  <si>
    <t>S0029.4.1.2</t>
  </si>
  <si>
    <t>S0029.1.4.3</t>
  </si>
  <si>
    <t>S0029.2.1.1</t>
  </si>
  <si>
    <t>S0029.1.3.1</t>
  </si>
  <si>
    <t>S0019.2.5.3</t>
  </si>
  <si>
    <t>S0019.1.4.3</t>
  </si>
  <si>
    <t>S0019.2.1.1</t>
  </si>
  <si>
    <t>S0019.4.1.2</t>
  </si>
  <si>
    <t>S0019.1.3.1</t>
  </si>
  <si>
    <t>S0029.2.4.3</t>
  </si>
  <si>
    <t>S0069.2.5.3</t>
  </si>
  <si>
    <t>S0069.4.1.2</t>
  </si>
  <si>
    <t>S0069.1.4.3</t>
  </si>
  <si>
    <t>S0069.1.3.1</t>
  </si>
  <si>
    <t>https://posteitaliane.sharepoint.com/:x:/r/teams/ACCESSIBILITRISULTATIVERIFICHETECNICHE-POSTEVITA/Shared%20Documents/POSTEVITA/POSTEINSURANCEBROKER/LOG/Log.xlsx?d=wf366087fe8434439bad12bec43ef8001&amp;csf=1&amp;web=1&amp;e=uRH2su</t>
  </si>
  <si>
    <t>AP-00749</t>
  </si>
  <si>
    <t>PK-02017</t>
  </si>
  <si>
    <t>Colonna1</t>
  </si>
  <si>
    <t>Servizio_digitale-pagina</t>
  </si>
  <si>
    <t>Requisito_criterio_violato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</si>
</sst>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0.00\ &quot;€&quot;_-;\-* #,##0.00\ &quot;€&quot;_-;_-* &quot;-&quot;??\ &quot;€&quot;_-;_-@_-"/>
  </numFmts>
  <fonts count="3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
      <sz val="11"/>
      <name val="Calibri"/>
      <family val="2"/>
      <scheme val="minor"/>
    </font>
    <font>
      <b/>
      <sz val="11"/>
      <color rgb="FFFFFFFF"/>
      <name val="Calibri"/>
      <family val="2"/>
    </font>
    <font>
      <b/>
      <sz val="11"/>
      <color rgb="FF006100"/>
      <name val="Calibri"/>
      <family val="2"/>
    </font>
    <font>
      <b/>
      <sz val="11"/>
      <color rgb="FF9C0006"/>
      <name val="Calibri"/>
      <family val="2"/>
    </font>
    <font>
      <b/>
      <sz val="11"/>
      <color rgb="FF9C5700"/>
      <name val="Calibri"/>
      <family val="2"/>
    </font>
    <font>
      <sz val="11"/>
      <color rgb="FF000000"/>
      <name val="Calibri"/>
      <family val="2"/>
      <scheme val="minor"/>
    </font>
    <font>
      <sz val="11"/>
      <color indexed="8"/>
      <name val="Calibri"/>
      <family val="2"/>
      <scheme val="minor"/>
    </font>
    <font>
      <b/>
      <sz val="11"/>
      <color rgb="FF242424"/>
      <name val="Calibri"/>
      <family val="2"/>
      <scheme val="minor"/>
    </font>
    <font>
      <sz val="12"/>
      <color theme="1"/>
      <name val="Calibri"/>
      <family val="2"/>
      <scheme val="minor"/>
    </font>
    <font>
      <b/>
      <sz val="12"/>
      <color theme="1"/>
      <name val="Calibri"/>
      <family val="2"/>
      <scheme val="minor"/>
    </font>
    <font>
      <sz val="11"/>
      <color theme="1"/>
      <name val="DINPro-Regular"/>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rgb="FFC00000"/>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rgb="FFFFC000"/>
        <bgColor indexed="64"/>
      </patternFill>
    </fill>
    <fill>
      <patternFill patternType="solid">
        <fgColor rgb="FFE7E6E6"/>
        <bgColor rgb="FF000000"/>
      </patternFill>
    </fill>
    <fill>
      <patternFill patternType="solid">
        <fgColor rgb="FFFFFF00"/>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thin">
        <color auto="1"/>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auto="1"/>
      </right>
      <top style="thin">
        <color auto="1"/>
      </top>
      <bottom style="thin">
        <color auto="1"/>
      </bottom>
      <diagonal/>
    </border>
    <border>
      <left/>
      <right/>
      <top style="thin">
        <color auto="1"/>
      </top>
      <bottom/>
      <diagonal/>
    </border>
    <border>
      <left/>
      <right/>
      <top/>
      <bottom style="thin">
        <color indexed="64"/>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right style="medium">
        <color indexed="64"/>
      </right>
      <top style="thin">
        <color indexed="64"/>
      </top>
      <bottom style="medium">
        <color indexed="64"/>
      </bottom>
      <diagonal/>
    </border>
    <border>
      <left/>
      <right style="thin">
        <color auto="1"/>
      </right>
      <top style="thin">
        <color indexed="64"/>
      </top>
      <bottom style="medium">
        <color indexed="64"/>
      </bottom>
      <diagonal/>
    </border>
    <border>
      <left/>
      <right/>
      <top style="thin">
        <color indexed="64"/>
      </top>
      <bottom style="medium">
        <color indexed="64"/>
      </bottom>
      <diagonal/>
    </border>
  </borders>
  <cellStyleXfs count="5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6" fillId="0" borderId="0"/>
    <xf numFmtId="0" fontId="19" fillId="0" borderId="0" applyNumberFormat="0" applyFill="0" applyBorder="0" applyAlignment="0" applyProtection="0"/>
    <xf numFmtId="0" fontId="29" fillId="0" borderId="9" applyNumberFormat="0" applyFill="0" applyAlignment="0" applyProtection="0"/>
    <xf numFmtId="0" fontId="28" fillId="10" borderId="0" applyNumberFormat="0" applyBorder="0" applyAlignment="0" applyProtection="0"/>
    <xf numFmtId="0" fontId="28" fillId="11" borderId="0" applyNumberFormat="0" applyBorder="0" applyAlignment="0" applyProtection="0"/>
    <xf numFmtId="0" fontId="28" fillId="19" borderId="0" applyNumberFormat="0" applyBorder="0" applyAlignment="0" applyProtection="0"/>
    <xf numFmtId="44" fontId="1" fillId="0" borderId="0" applyFont="0" applyFill="0" applyBorder="0" applyAlignment="0" applyProtection="0"/>
    <xf numFmtId="0" fontId="30" fillId="0" borderId="0"/>
  </cellStyleXfs>
  <cellXfs count="71">
    <xf numFmtId="0" fontId="0" fillId="0" borderId="0" xfId="0"/>
    <xf numFmtId="0" fontId="0" fillId="0" borderId="0" xfId="0" applyAlignment="1">
      <alignment horizontal="center"/>
    </xf>
    <xf numFmtId="0" fontId="16" fillId="0" borderId="0" xfId="0" applyFont="1"/>
    <xf numFmtId="0" fontId="0" fillId="0" borderId="0" xfId="0" applyAlignment="1">
      <alignment wrapText="1"/>
    </xf>
    <xf numFmtId="0" fontId="13" fillId="33" borderId="14" xfId="0" applyFont="1" applyFill="1" applyBorder="1" applyAlignment="1">
      <alignment wrapText="1"/>
    </xf>
    <xf numFmtId="0" fontId="25" fillId="0" borderId="17" xfId="0" applyFont="1" applyBorder="1" applyAlignment="1">
      <alignment vertical="center"/>
    </xf>
    <xf numFmtId="0" fontId="25" fillId="0" borderId="18" xfId="0" applyFont="1" applyBorder="1" applyAlignment="1">
      <alignment vertical="center"/>
    </xf>
    <xf numFmtId="0" fontId="25" fillId="0" borderId="20" xfId="0" applyFont="1" applyBorder="1" applyAlignment="1">
      <alignment vertical="center"/>
    </xf>
    <xf numFmtId="0" fontId="25" fillId="0" borderId="22" xfId="0" applyFont="1" applyBorder="1" applyAlignment="1">
      <alignment vertical="center"/>
    </xf>
    <xf numFmtId="0" fontId="25" fillId="0" borderId="24" xfId="0" applyFont="1" applyBorder="1" applyAlignment="1">
      <alignment vertical="center"/>
    </xf>
    <xf numFmtId="0" fontId="21" fillId="34" borderId="0" xfId="0" applyFont="1" applyFill="1"/>
    <xf numFmtId="0" fontId="21" fillId="34" borderId="0" xfId="0" applyFont="1" applyFill="1" applyAlignment="1">
      <alignment horizontal="left"/>
    </xf>
    <xf numFmtId="0" fontId="21" fillId="38" borderId="0" xfId="0" applyFont="1" applyFill="1"/>
    <xf numFmtId="0" fontId="0" fillId="0" borderId="25" xfId="0" applyBorder="1" applyAlignment="1">
      <alignment horizontal="center"/>
    </xf>
    <xf numFmtId="0" fontId="0" fillId="0" borderId="26" xfId="0" applyBorder="1" applyAlignment="1">
      <alignment horizontal="center"/>
    </xf>
    <xf numFmtId="0" fontId="21" fillId="34" borderId="14" xfId="0" applyFont="1" applyFill="1" applyBorder="1"/>
    <xf numFmtId="0" fontId="21" fillId="34" borderId="13" xfId="0" applyFont="1" applyFill="1" applyBorder="1"/>
    <xf numFmtId="0" fontId="20" fillId="0" borderId="12" xfId="0" applyFont="1" applyBorder="1" applyAlignment="1">
      <alignment horizontal="center"/>
    </xf>
    <xf numFmtId="1" fontId="20" fillId="0" borderId="10" xfId="0" applyNumberFormat="1" applyFont="1" applyBorder="1" applyAlignment="1">
      <alignment horizontal="center"/>
    </xf>
    <xf numFmtId="0" fontId="20" fillId="0" borderId="0" xfId="0" applyFont="1"/>
    <xf numFmtId="0" fontId="13" fillId="33" borderId="13" xfId="0" applyFont="1" applyFill="1" applyBorder="1" applyAlignment="1">
      <alignment horizontal="center"/>
    </xf>
    <xf numFmtId="0" fontId="13" fillId="39" borderId="13" xfId="0" applyFont="1" applyFill="1" applyBorder="1" applyAlignment="1">
      <alignment horizontal="center"/>
    </xf>
    <xf numFmtId="0" fontId="0" fillId="0" borderId="29"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28"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left" vertical="center"/>
    </xf>
    <xf numFmtId="0" fontId="19" fillId="0" borderId="0" xfId="43" applyAlignment="1">
      <alignment horizontal="left" vertical="center"/>
    </xf>
    <xf numFmtId="0" fontId="25" fillId="0" borderId="27" xfId="0" applyFont="1" applyBorder="1" applyAlignment="1">
      <alignment vertical="center"/>
    </xf>
    <xf numFmtId="0" fontId="25" fillId="0" borderId="19" xfId="0" applyFont="1" applyBorder="1" applyAlignment="1">
      <alignment vertical="center"/>
    </xf>
    <xf numFmtId="0" fontId="19" fillId="0" borderId="20" xfId="43" applyBorder="1"/>
    <xf numFmtId="0" fontId="20" fillId="0" borderId="0" xfId="11" applyFont="1" applyFill="1" applyBorder="1" applyAlignment="1">
      <alignment vertical="center"/>
    </xf>
    <xf numFmtId="0" fontId="20" fillId="0" borderId="0" xfId="0" applyFont="1" applyAlignment="1">
      <alignment vertical="center"/>
    </xf>
    <xf numFmtId="0" fontId="21" fillId="34" borderId="31" xfId="0" applyFont="1" applyFill="1" applyBorder="1"/>
    <xf numFmtId="0" fontId="22" fillId="35" borderId="31" xfId="0" applyFont="1" applyFill="1" applyBorder="1"/>
    <xf numFmtId="0" fontId="23" fillId="36" borderId="31" xfId="0" applyFont="1" applyFill="1" applyBorder="1"/>
    <xf numFmtId="0" fontId="24" fillId="37" borderId="31" xfId="0" applyFont="1" applyFill="1" applyBorder="1"/>
    <xf numFmtId="1" fontId="0" fillId="0" borderId="0" xfId="0" applyNumberFormat="1" applyAlignment="1">
      <alignment horizontal="center"/>
    </xf>
    <xf numFmtId="0" fontId="27" fillId="0" borderId="0" xfId="0" applyFont="1"/>
    <xf numFmtId="0" fontId="0" fillId="0" borderId="10" xfId="0" applyBorder="1" applyAlignment="1">
      <alignment horizontal="center"/>
    </xf>
    <xf numFmtId="0" fontId="25" fillId="0" borderId="0" xfId="0" applyFont="1" applyAlignment="1">
      <alignment vertical="center"/>
    </xf>
    <xf numFmtId="0" fontId="0" fillId="0" borderId="12" xfId="0" applyBorder="1" applyAlignment="1">
      <alignment vertical="center"/>
    </xf>
    <xf numFmtId="0" fontId="20" fillId="0" borderId="10" xfId="0" applyFont="1" applyBorder="1" applyAlignment="1">
      <alignment horizontal="center" vertical="center"/>
    </xf>
    <xf numFmtId="0" fontId="20" fillId="40" borderId="10" xfId="0" applyFont="1" applyFill="1" applyBorder="1" applyAlignment="1">
      <alignment horizontal="center" vertical="center"/>
    </xf>
    <xf numFmtId="0" fontId="21" fillId="34" borderId="10" xfId="0" applyFont="1" applyFill="1" applyBorder="1"/>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Border="1" applyAlignment="1">
      <alignment horizontal="left" indent="1"/>
    </xf>
    <xf numFmtId="0" fontId="0" fillId="41" borderId="10" xfId="0" applyFill="1" applyBorder="1" applyAlignment="1">
      <alignment horizontal="left"/>
    </xf>
    <xf numFmtId="0" fontId="0" fillId="41" borderId="10" xfId="0" applyFill="1" applyBorder="1"/>
    <xf numFmtId="0" fontId="0" fillId="39" borderId="0" xfId="0" applyFill="1"/>
    <xf numFmtId="1" fontId="20" fillId="0" borderId="0" xfId="0" applyNumberFormat="1" applyFont="1" applyAlignment="1">
      <alignment horizontal="center"/>
    </xf>
    <xf numFmtId="0" fontId="0" fillId="0" borderId="31" xfId="0" applyBorder="1"/>
    <xf numFmtId="0" fontId="20" fillId="0" borderId="0" xfId="0" applyFont="1" applyAlignment="1">
      <alignment horizontal="center"/>
    </xf>
    <xf numFmtId="0" fontId="20" fillId="0" borderId="11" xfId="0" applyFont="1" applyBorder="1" applyAlignment="1">
      <alignment horizontal="center"/>
    </xf>
    <xf numFmtId="0" fontId="20" fillId="0" borderId="33" xfId="0" applyFont="1" applyBorder="1" applyAlignment="1">
      <alignment horizontal="center"/>
    </xf>
    <xf numFmtId="0" fontId="20" fillId="0" borderId="34" xfId="0" applyFont="1" applyBorder="1" applyAlignment="1">
      <alignment horizontal="center"/>
    </xf>
    <xf numFmtId="0" fontId="20" fillId="0" borderId="34" xfId="0" applyFont="1" applyBorder="1"/>
    <xf numFmtId="0" fontId="0" fillId="0" borderId="32" xfId="0" applyBorder="1" applyAlignment="1">
      <alignment horizontal="center"/>
    </xf>
    <xf numFmtId="0" fontId="20" fillId="0" borderId="10" xfId="0" applyFont="1" applyBorder="1"/>
    <xf numFmtId="0" fontId="0" fillId="0" borderId="30" xfId="0" applyBorder="1" applyAlignment="1">
      <alignment horizontal="center" vertical="center"/>
    </xf>
    <xf numFmtId="0" fontId="0" fillId="0" borderId="27" xfId="0" applyBorder="1" applyAlignment="1">
      <alignment horizontal="center" vertical="center"/>
    </xf>
    <xf numFmtId="0" fontId="0" fillId="0" borderId="19" xfId="0" applyBorder="1" applyAlignment="1">
      <alignment horizontal="center" vertical="center"/>
    </xf>
    <xf numFmtId="0" fontId="25" fillId="0" borderId="21" xfId="0" applyFont="1" applyBorder="1" applyAlignment="1">
      <alignment horizontal="left" vertical="center" wrapText="1"/>
    </xf>
    <xf numFmtId="0" fontId="25" fillId="0" borderId="23" xfId="0" applyFont="1" applyBorder="1" applyAlignment="1">
      <alignment horizontal="left" vertical="center" wrapText="1"/>
    </xf>
    <xf numFmtId="0" fontId="21" fillId="34" borderId="15" xfId="0" applyFont="1" applyFill="1" applyBorder="1" applyAlignment="1">
      <alignment horizontal="center"/>
    </xf>
    <xf numFmtId="0" fontId="21" fillId="34" borderId="16" xfId="0" applyFont="1" applyFill="1" applyBorder="1" applyAlignment="1">
      <alignment horizontal="center"/>
    </xf>
    <xf numFmtId="0" fontId="21" fillId="34" borderId="12" xfId="0" applyFont="1" applyFill="1" applyBorder="1" applyAlignment="1">
      <alignment horizontal="center"/>
    </xf>
  </cellXfs>
  <cellStyles count="50">
    <cellStyle name="20% - Colore 1" xfId="19" builtinId="30" customBuiltin="1"/>
    <cellStyle name="20% - Colore 1 2" xfId="45" xr:uid="{190F3629-27DC-4FA7-B4F2-E859DE5F9758}"/>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1 2" xfId="46" xr:uid="{FF702E22-89BD-4B90-8B79-649CCABBB3A7}"/>
    <cellStyle name="40% - Colore 2" xfId="24" builtinId="35" customBuiltin="1"/>
    <cellStyle name="40% - Colore 3" xfId="28" builtinId="39" customBuiltin="1"/>
    <cellStyle name="40% - Colore 3 2" xfId="47" xr:uid="{5C50BE51-1D50-49B1-8985-7FA5CA4A79D6}"/>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3"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 2" xfId="42" xr:uid="{86D502C1-3074-4A08-AE91-AAD3BA02E768}"/>
    <cellStyle name="Normale" xfId="0" builtinId="0"/>
    <cellStyle name="Normale 2" xfId="49" xr:uid="{1FFDCAC2-6C2E-4E3E-A4C4-E680AD65EEB3}"/>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Totale 2" xfId="44" xr:uid="{73CCBDE5-3987-4CF0-B072-48896801FE98}"/>
    <cellStyle name="Valore non valido" xfId="7" builtinId="27" customBuiltin="1"/>
    <cellStyle name="Valore valido" xfId="6" builtinId="26" customBuiltin="1"/>
    <cellStyle name="Valuta 2" xfId="48" xr:uid="{C156AE3C-D086-4735-9826-BADA90372FF3}"/>
  </cellStyles>
  <dxfs count="15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alignment horizontal="general" vertical="center" textRotation="0" wrapText="0" indent="0" justifyLastLine="0" shrinkToFit="0" readingOrder="0"/>
      <border diagonalUp="0" diagonalDown="0">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C00000"/>
        </patternFill>
      </fill>
      <alignment horizontal="center" vertical="bottom" textRotation="0" wrapText="0" indent="0" justifyLastLine="0" shrinkToFit="0" readingOrder="0"/>
      <border diagonalUp="0" diagonalDown="0" outline="0">
        <left style="thin">
          <color auto="1"/>
        </left>
        <right style="thin">
          <color auto="1"/>
        </right>
        <top/>
        <bottom/>
      </border>
    </dxf>
    <dxf>
      <fill>
        <patternFill patternType="none">
          <fgColor indexed="64"/>
          <bgColor indexed="65"/>
        </patternFill>
      </fill>
      <alignment horizontal="center" vertical="bottom" textRotation="0" wrapText="0" indent="0" justifyLastLine="0" shrinkToFit="0" readingOrder="0"/>
      <border diagonalUp="0" diagonalDown="0" outline="0">
        <left/>
        <right style="medium">
          <color indexed="64"/>
        </right>
        <top/>
        <bottom/>
      </border>
    </dxf>
    <dxf>
      <fill>
        <patternFill patternType="none">
          <bgColor auto="1"/>
        </patternFill>
      </fill>
    </dxf>
    <dxf>
      <fill>
        <patternFill patternType="none">
          <bgColor auto="1"/>
        </patternFill>
      </fill>
    </dxf>
    <dxf>
      <font>
        <color auto="1"/>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style="thin">
          <color auto="1"/>
        </top>
        <bottom style="thin">
          <color auto="1"/>
        </bottom>
      </border>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numFmt numFmtId="0" formatCode="General"/>
      <fill>
        <patternFill patternType="none">
          <bgColor auto="1"/>
        </patternFill>
      </fill>
    </dxf>
    <dxf>
      <numFmt numFmtId="0" formatCode="General"/>
    </dxf>
    <dxf>
      <numFmt numFmtId="0" formatCode="General"/>
    </dxf>
    <dxf>
      <numFmt numFmtId="0" formatCode="General"/>
    </dxf>
    <dxf>
      <numFmt numFmtId="0" formatCode="General"/>
    </dxf>
    <dxf>
      <fill>
        <patternFill patternType="none">
          <fgColor indexed="64"/>
          <bgColor indexed="65"/>
        </patternFill>
      </fill>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family val="2"/>
        <scheme val="none"/>
      </font>
      <fill>
        <patternFill patternType="solid">
          <fgColor rgb="FF000000"/>
          <bgColor rgb="FFC00000"/>
        </patternFill>
      </fill>
      <border diagonalUp="0" diagonalDown="0" outline="0">
        <left style="thin">
          <color auto="1"/>
        </left>
        <right style="thin">
          <color auto="1"/>
        </right>
        <top/>
        <bottom/>
      </border>
    </dxf>
    <dxf>
      <numFmt numFmtId="0" formatCode="General"/>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font>
        <b val="0"/>
        <i val="0"/>
        <strike val="0"/>
        <condense val="0"/>
        <extend val="0"/>
        <outline val="0"/>
        <shadow val="0"/>
        <u/>
        <vertAlign val="baseline"/>
        <sz val="11"/>
        <color theme="10"/>
        <name val="Calibri"/>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top style="thin">
          <color auto="1"/>
        </top>
      </border>
    </dxf>
    <dxf>
      <fill>
        <patternFill patternType="none">
          <fgColor indexed="64"/>
          <bgColor auto="1"/>
        </patternFill>
      </fill>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FFFFFF"/>
        <name val="Calibri"/>
        <family val="2"/>
        <scheme val="none"/>
      </font>
      <fill>
        <patternFill patternType="solid">
          <fgColor rgb="FF000000"/>
          <bgColor rgb="FFC00000"/>
        </patternFill>
      </fill>
      <border diagonalUp="0" diagonalDown="0" outline="0">
        <left style="thin">
          <color auto="1"/>
        </left>
        <right style="thin">
          <color auto="1"/>
        </right>
        <top/>
        <bottom/>
      </border>
    </dxf>
    <dxf>
      <numFmt numFmtId="0" formatCode="General"/>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dxf>
    <dxf>
      <font>
        <b val="0"/>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000000"/>
          <bgColor rgb="FFC0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alignment horizontal="center"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fill>
        <patternFill>
          <bgColor theme="2"/>
        </patternFill>
      </fill>
    </dxf>
    <dxf>
      <font>
        <b/>
        <i val="0"/>
        <color theme="0"/>
      </font>
      <fill>
        <patternFill>
          <bgColor rgb="FFC00000"/>
        </patternFill>
      </fill>
      <border>
        <left style="thin">
          <color auto="1"/>
        </left>
        <right style="thin">
          <color auto="1"/>
        </right>
        <top style="thin">
          <color auto="1"/>
        </top>
        <bottom style="thin">
          <color auto="1"/>
        </bottom>
      </border>
    </dxf>
    <dxf>
      <font>
        <color auto="1"/>
      </font>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Cl" pivot="0" count="3" xr9:uid="{00000000-0011-0000-FFFF-FFFF00000000}">
      <tableStyleElement type="wholeTable" dxfId="155"/>
      <tableStyleElement type="headerRow" dxfId="154"/>
      <tableStyleElement type="secondRowStripe" dxfId="153"/>
    </tableStyle>
    <tableStyle name="Invisible" pivot="0" table="0" count="0" xr9:uid="{E4FE437B-1A9C-4E92-89B9-D0D81CF896A0}"/>
  </tableStyles>
  <colors>
    <mruColors>
      <color rgb="FFFFDB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ko Picciotto" refreshedDate="45671.628510995368" createdVersion="8" refreshedVersion="8" minRefreshableVersion="3" recordCount="268" xr:uid="{F0A92D24-0280-4034-BA2C-E2FF3E4077C2}">
  <cacheSource type="worksheet">
    <worksheetSource name="outTable"/>
  </cacheSource>
  <cacheFields count="11">
    <cacheField name="ID Silk" numFmtId="0">
      <sharedItems/>
    </cacheField>
    <cacheField name="Descrizione" numFmtId="0">
      <sharedItems longText="1"/>
    </cacheField>
    <cacheField name="Severity" numFmtId="0">
      <sharedItems containsSemiMixedTypes="0" containsString="0" containsNumber="1" containsInteger="1" minValue="0" maxValue="0" count="1">
        <n v="0"/>
      </sharedItems>
    </cacheField>
    <cacheField name="Identificativo in relazione  " numFmtId="0">
      <sharedItems/>
    </cacheField>
    <cacheField name="Numero ticket  " numFmtId="0">
      <sharedItems containsMixedTypes="1" containsNumber="1" containsInteger="1" minValue="2607" maxValue="5853" count="245">
        <n v="2711"/>
        <n v="2709"/>
        <n v="2714"/>
        <n v="2715"/>
        <s v="Non caricare su Silk"/>
        <n v="2712"/>
        <n v="2713"/>
        <n v="2619"/>
        <n v="2617"/>
        <n v="2622"/>
        <n v="2618"/>
        <n v="2620"/>
        <n v="2718"/>
        <n v="2716"/>
        <n v="2719"/>
        <n v="2726"/>
        <n v="2723"/>
        <n v="2720"/>
        <n v="2724"/>
        <n v="2721"/>
        <n v="2722"/>
        <n v="2657"/>
        <n v="2655"/>
        <n v="2658"/>
        <n v="2626"/>
        <n v="2623"/>
        <n v="2628"/>
        <n v="2624"/>
        <n v="2638"/>
        <n v="2634"/>
        <n v="2639"/>
        <n v="2637"/>
        <n v="2643"/>
        <n v="2641"/>
        <n v="2644"/>
        <n v="2642"/>
        <n v="2689"/>
        <n v="2687"/>
        <n v="2690"/>
        <n v="2688"/>
        <n v="2632"/>
        <n v="2630"/>
        <n v="2633"/>
        <n v="2616"/>
        <n v="2608"/>
        <n v="2611"/>
        <n v="2607"/>
        <n v="2610"/>
        <n v="2615"/>
        <n v="2613"/>
        <n v="2609"/>
        <n v="2612"/>
        <n v="2649"/>
        <n v="2645"/>
        <n v="2648"/>
        <n v="2652"/>
        <n v="2629"/>
        <n v="2625"/>
        <n v="2640"/>
        <n v="2656"/>
        <n v="2684"/>
        <n v="2682"/>
        <n v="2685"/>
        <n v="2683"/>
        <n v="2647"/>
        <n v="2679"/>
        <n v="2677"/>
        <n v="2680"/>
        <n v="2678"/>
        <n v="2669"/>
        <n v="2662"/>
        <n v="2659"/>
        <n v="2665"/>
        <n v="2661"/>
        <n v="2664"/>
        <n v="2667"/>
        <n v="2660"/>
        <n v="2676"/>
        <n v="2673"/>
        <n v="2674"/>
        <n v="2672"/>
        <n v="2675"/>
        <n v="2694"/>
        <n v="2695"/>
        <n v="2691"/>
        <n v="2692"/>
        <n v="2697"/>
        <n v="2699"/>
        <n v="2698"/>
        <n v="2693"/>
        <n v="2696"/>
        <n v="2621"/>
        <n v="2614"/>
        <n v="2707"/>
        <n v="2705"/>
        <n v="2708"/>
        <n v="2627"/>
        <n v="2725"/>
        <n v="2710"/>
        <n v="2654"/>
        <n v="2686"/>
        <n v="2651"/>
        <n v="2653"/>
        <n v="2702"/>
        <n v="2704"/>
        <n v="2700"/>
        <n v="2703"/>
        <n v="2663"/>
        <n v="2701"/>
        <n v="2631"/>
        <n v="2717"/>
        <n v="2706"/>
        <n v="2681"/>
        <n v="2650"/>
        <n v="2729"/>
        <n v="2730"/>
        <n v="2732"/>
        <n v="2733"/>
        <n v="2731"/>
        <n v="2805"/>
        <n v="2806"/>
        <n v="2807"/>
        <n v="2808"/>
        <n v="2809"/>
        <n v="2810"/>
        <n v="2811"/>
        <n v="2812"/>
        <n v="2734"/>
        <n v="2735"/>
        <n v="2736"/>
        <n v="2737"/>
        <n v="2813"/>
        <n v="2739"/>
        <n v="2738"/>
        <n v="2814"/>
        <n v="2815"/>
        <n v="2816"/>
        <n v="2817"/>
        <n v="2818"/>
        <n v="2819"/>
        <n v="2820"/>
        <n v="2821"/>
        <n v="2822"/>
        <n v="2823"/>
        <n v="2824"/>
        <n v="2825"/>
        <n v="2826"/>
        <n v="2827"/>
        <n v="2742"/>
        <n v="2743"/>
        <n v="2741"/>
        <n v="2744"/>
        <n v="2745"/>
        <n v="2746"/>
        <n v="2828"/>
        <n v="2830"/>
        <n v="2831"/>
        <n v="2829"/>
        <n v="2832"/>
        <n v="2833"/>
        <n v="2852"/>
        <n v="5853"/>
        <n v="2854"/>
        <n v="2834"/>
        <n v="2835"/>
        <n v="2836"/>
        <n v="2837"/>
        <n v="2838"/>
        <n v="2750"/>
        <n v="2751"/>
        <n v="2752"/>
        <n v="2753"/>
        <n v="2755"/>
        <n v="2758"/>
        <n v="2754"/>
        <n v="2757"/>
        <n v="2759"/>
        <n v="2756"/>
        <n v="2760"/>
        <n v="2761"/>
        <n v="2762"/>
        <n v="2763"/>
        <n v="2764"/>
        <n v="2765"/>
        <n v="2768"/>
        <n v="2766"/>
        <n v="2767"/>
        <n v="2769"/>
        <n v="2770"/>
        <n v="2771"/>
        <n v="2772"/>
        <n v="2773"/>
        <n v="2774"/>
        <n v="2775"/>
        <n v="2776"/>
        <n v="2777"/>
        <n v="2778"/>
        <n v="2779"/>
        <n v="2839"/>
        <n v="2840"/>
        <n v="2780"/>
        <n v="2781"/>
        <n v="2782"/>
        <n v="2784"/>
        <n v="2786"/>
        <n v="2783"/>
        <n v="2785"/>
        <n v="2787"/>
        <n v="2788"/>
        <n v="2789"/>
        <n v="2790"/>
        <n v="2841"/>
        <n v="2842"/>
        <n v="2843"/>
        <n v="2844"/>
        <n v="2845"/>
        <n v="2846"/>
        <n v="2792"/>
        <n v="2794"/>
        <n v="2791"/>
        <n v="2793"/>
        <n v="2847"/>
        <n v="2848"/>
        <n v="2849"/>
        <n v="2850"/>
        <n v="2851"/>
        <n v="2795"/>
        <n v="2796"/>
        <n v="2797"/>
        <n v="2898"/>
        <n v="2855"/>
        <n v="2856"/>
        <n v="2857"/>
        <n v="2858"/>
        <n v="2740"/>
        <n v="2799"/>
        <n v="2800"/>
        <n v="2801"/>
        <n v="2802"/>
        <n v="2804"/>
        <n v="2646"/>
        <n v="2636"/>
        <n v="2635"/>
        <n v="2727"/>
        <n v="2728"/>
      </sharedItems>
    </cacheField>
    <cacheField name="Priorità  " numFmtId="0">
      <sharedItems count="4">
        <s v="2 - Serious"/>
        <s v="1 - Critical"/>
        <s v="3 - Moderate"/>
        <s v="4 - Minor"/>
      </sharedItems>
    </cacheField>
    <cacheField name="Servizio digitale / pagina  " numFmtId="0">
      <sharedItems count="77">
        <s v="S019 Educazione Digitale"/>
        <s v="S002 Azienda"/>
        <s v="S020 Carriere"/>
        <s v="S021 Cerca nel sito"/>
        <s v="S008 Chi Siamo"/>
        <s v="S003 Investitori"/>
        <s v="S005 Media"/>
        <s v="S006 Contratti Trasparenti"/>
        <s v="S013 Debito e rating"/>
        <s v="S004 Governance"/>
        <s v="S001 Home"/>
        <s v="S007 Sostenibilità"/>
        <s v="S012 Bilanci e Relazioni"/>
        <s v="S011 Strategia del gruppo"/>
        <s v="S009 Vetrina Immobiliare"/>
        <s v="S010 Progetto Polis"/>
        <s v="S015 Presenta il tuo prgetto"/>
        <s v="S018 Sostenibilità -Calcolatore Interessi"/>
        <s v="S017 Sostenibilità- Bilancio Personale e Familiare"/>
        <s v="D001 Comunicato stampa"/>
        <s v="D002 Resoconto Intermedio di Gestione al 30 settembre 2024"/>
        <s v="D003 Relazione Finanziaria Semestrale al 30 giugno 2024"/>
        <s v="D004 Resoconto Intermedio di Gestione al 31 marzo 2024"/>
        <s v="D005 Relazione Finanziaria Annuale 2023 (file.pdf)"/>
        <s v="D006 Sono Presenti 48 File nella rella sezione Bilanci tutti con la stessa struttura dei resoconti già selezionati"/>
        <s v="D007 Company Profile 2023"/>
        <s v="D008 Spazi di Co-Working ultimati al 31 Ottobre 2024"/>
        <s v="D009 Uffici Postali Polis ultimati al 31 Ottobre 2024"/>
        <s v="D010 2024-2028 Strategic Plan"/>
        <s v="D011 2017-2022 Achievements &amp; 2023 Strategy Update"/>
        <s v="D012 2024 Sustain and Innovate Plus"/>
        <s v="D013 2024 Sustain &amp; Innovate Presentation (Capital Markets Day 2021)"/>
        <s v="D014 Poste Italiane in tre anni raddoppiato l'utile netto"/>
        <s v="D015 Capital Markets Day 2019 Full Presentation"/>
        <s v="D016 Capital Markets Day 2018 - Presentation"/>
        <s v="D017 Poste Italiane - Deliver 2022"/>
        <s v="D022 25 documenti nella sezione Debito e rating con la struttura del comunicat o stampa"/>
        <s v="D023 107 documenti nella sezione Governance "/>
        <s v="D024 27 documenti sulle Informative Privacy delle società del gruppo"/>
        <s v="D025 Strategia Fiscale del Gruppo Poste Italiane"/>
        <s v="D026 Politica di Sostenibilità Ambientale del Gruppo Poste Italiane"/>
        <s v="D027 Policy aziendale in materia di protezione dei dati personali"/>
        <s v="D028 Politica sulle iniziative per la comunità del Gruppo Poste Italiane"/>
        <s v="D029 Orientamenti sul numero massimo di incarichi esercitabili dagli Amministratori e dal responsabile BancoPosta"/>
        <s v="D030 14 documenti di certificazioni"/>
        <s v="D031 23 documenti sulla remunerazione"/>
        <s v="D032 106 documenti sulle operaioni compiute da soggetti vari (azionisti, management, etc.) "/>
        <s v="D033 Linee Guida SCIGR di Poste Italiane S.p.A."/>
        <s v="D034 Questionario Wolfsberg FCCQ"/>
        <s v="D035 Regolamento del Patrimonio BancoPosta"/>
        <s v="D036 18 documenti informativi Banco Posta"/>
        <s v="D037 180 documenti relaztivi alle assemblee azionarie (20 ducomenti per anno per 9 anni)"/>
        <s v="D038 5 documenti nella sezione media"/>
        <s v="D039 documento di approfondimento sostenibilità"/>
        <s v="D040 Politica Aziendale in materia di tutela e protezione dei Diritti Umani"/>
        <s v="D041 Politica Integrata del Gruppo Poste Italiane"/>
        <s v="D043 Compliance per la tutela della concorrenza e del consumatore - versione 2023"/>
        <s v="D044 Panoramica dati Valorizzazione delle persone"/>
        <s v="D045 Download dei dati ambientali del Gruppo Poste Italiane."/>
        <s v="D046 5 documenti sulla transazione green "/>
        <s v="D048 Panoramica sui dati di Diversità e Inclusione"/>
        <s v="D049 Policy Diversity and Inclusion"/>
        <s v="D050 Politica in materia di diversità degli organi di amministrazione e controllo di Poste Italiane"/>
        <s v="D054 14 documenti in finanza sostenibile"/>
        <s v="D055 6 Docuemnti sulle politoche attive del lavoro"/>
        <s v="D018 Poste Italiane - Q3 2024 Financial Database"/>
        <s v="V002 Video Super App"/>
        <s v="V003 Video PostePay Every Day"/>
        <s v="V004 Video Poste Micro-Fullfillment"/>
        <s v="V005 Resilienza"/>
        <s v="V006 Achievements"/>
        <s v="V007 C2X Services"/>
        <s v="V008 BancoPosta"/>
        <s v="V009 I terview with Sadya Nadella"/>
        <s v="V010 Sostenibilità Scelta Strategica"/>
        <s v="V011 Sezione Media : 7 video "/>
        <s v="UNICEIEN301549_Cap12 Documentazione e servizi di supporto"/>
      </sharedItems>
    </cacheField>
    <cacheField name="Requisito (criterio) violato  " numFmtId="0">
      <sharedItems count="26">
        <s v="9.1.4.3"/>
        <s v="9.1.1.1"/>
        <s v="9.2.4.4"/>
        <s v="9.4.1.2"/>
        <s v="9.2.5.8"/>
        <s v="9.2.1.1"/>
        <s v="9.2.4.3"/>
        <s v="9.1.3.1"/>
        <s v="9.1.4.5"/>
        <s v="9.1.4.1"/>
        <s v="9.1.3.2"/>
        <s v="9.3.3.2"/>
        <s v="9.2.4.2"/>
        <s v="9.4.1.1"/>
        <s v="9.3.1.1"/>
        <s v="10.1.3.1"/>
        <s v="10.2.4.2"/>
        <s v="10.1.1.1"/>
        <s v="10.3.1.1"/>
        <s v="10.1.4.3"/>
        <s v="10.4.1.1"/>
        <s v="10.1.4.1"/>
        <s v="9.1.2.1"/>
        <s v="9.1.2.2"/>
        <s v="12.2.2"/>
        <s v="12.2.3"/>
      </sharedItems>
    </cacheField>
    <cacheField name="Errore  " numFmtId="0">
      <sharedItems longText="1"/>
    </cacheField>
    <cacheField name="Soluzione  " numFmtId="0">
      <sharedItems longText="1"/>
    </cacheField>
    <cacheField name="Link screenshot / video  "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8">
  <r>
    <s v="S0199.1.4.3"/>
    <s v="POSTE ITALIANE.IT - 9.1.4.3 Contrasto (minimo) - S019 Educazione Digitale:: (#TM0023)_x000d__x000a_S019 Educazione Digitale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educazione-digitale/glossario?glossario=Link &lt;a role=&quot;link&quot; id=&quot;icon-id09312690202788401&quot; tabindex=&quot;0&quot; lang=&quot;it&quot; aria-haspopup=&quot;dialog&quot; aria-label=&quot;Cookie Preferences, opens a dedicated popup modal window&quot; class=&quot;truste_cursor_pointer&quot;&gt;Preferenze Cookie&lt;/a&gt; con selettore [&quot;#icon-id09312690202788401&quot;]_x000d__x000a__x000d__x000a_Dettaglio + screenshot (accedere con le seguenti credenziali: user, axeposte@gmail.com; password, Poste2024!)_x000d__x000a_001 - https://axe.deque.com/issues/37bdd2e8-2d3f-4254-88b3-6117f00835de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345 https://posteitaliane.sharepoint.com/:x:/r/teams/ACCESSIBILITRISULTATIVERIFICHETECNICHE/Shared%20Documents/POSTEITALIANE.IT/LOG/Log.xlsx?d=wf3c65046abcc49009aae265aacd619cd&amp;csf=1&amp;web=1&amp;e=knhQX7_x000d__x000a__x000d__x000a_Link al dettaglio requisito WCAG: NOT FOUND_x000d__x000a_"/>
    <x v="0"/>
    <s v="(#TM0023)"/>
    <x v="0"/>
    <x v="0"/>
    <x v="0"/>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37bdd2e8-2d3f-4254-88b3-6117f00835de"/>
  </r>
  <r>
    <s v="S0199.1.1.1"/>
    <s v="POSTE ITALIANE.IT - 9.1.1.1 Contenuti non testuali - S019 Educazione Digitale:: (#TM0027)_x000d__x000a_S019 Educazione Digitale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educazione-digitale/glossario?glossario=Link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c6676097-9ce4-4c5c-8006-b0ec85c2d9ae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120 https://posteitaliane.sharepoint.com/:x:/r/teams/ACCESSIBILITRISULTATIVERIFICHETECNICHE/Shared%20Documents/POSTEITALIANE.IT/LOG/Log.xlsx?d=wf3c65046abcc49009aae265aacd619cd&amp;csf=1&amp;web=1&amp;e=knhQX7_x000d__x000a__x000d__x000a_Link al dettaglio requisito WCAG: NOT FOUND_x000d__x000a_"/>
    <x v="0"/>
    <s v="(#TM0027)"/>
    <x v="1"/>
    <x v="1"/>
    <x v="0"/>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c6676097-9ce4-4c5c-8006-b0ec85c2d9ae"/>
  </r>
  <r>
    <s v="S0199.2.4.4"/>
    <s v="POSTE ITALIANE.IT - 9.2.4.4 Scopo del collegamento (nel contesto) - S019 Educazione Digitale:: (#TM0030)_x000d__x000a_S019 Educazione Digitale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educazione-digitale/glossario?glossario=Link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d6026684-0eb6-4347-bc1b-27bffe11b45b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298 https://posteitaliane.sharepoint.com/:x:/r/teams/ACCESSIBILITRISULTATIVERIFICHETECNICHE/Shared%20Documents/POSTEITALIANE.IT/LOG/Log.xlsx?d=wf3c65046abcc49009aae265aacd619cd&amp;csf=1&amp;web=1&amp;e=knhQX7_x000d__x000a__x000d__x000a_Link al dettaglio requisito WCAG: NOT FOUND_x000d__x000a_"/>
    <x v="0"/>
    <s v="(#TM0030)"/>
    <x v="2"/>
    <x v="0"/>
    <x v="0"/>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d6026684-0eb6-4347-bc1b-27bffe11b45b"/>
  </r>
  <r>
    <s v="S0199.4.1.2"/>
    <s v="POSTE ITALIANE.IT - 9.4.1.2 Nome, ruolo, valore - S019 Educazione Digitale:: (#TM0032)_x000d__x000a_S019 Educazione Digitale_x000d__x000a_Requisito WCAG: 4.1.2_x000d__x000a_Disabilità afflitte: Blind;Low Vision;Mobility_x000d__x000a_Impatto Utente: 1 - Critical_x000d__x000a__x000d__x000a_Descrizione_x000d__x000a_001 - L'elemento Select deve avere un nome accessibile-Assicurarsi che l'elemento select abbia un nome accessibile [Ulteriori informazioni] (https://dequeuniversity.com/rules/axe/4.8/select-name?application=AxeChrome)_x000d__x000a__x000d__x000a_Esempio di violazione individuata sull'oggetto:_x000d__x000a_001 - https://www.posteitaliane.it/educazione-digitale/glossario?glossario=Link &lt;select id=&quot;lettere-glossario&quot; name=&quot;lettere-glossario&quot; formcontrolname=&quot;indexSelected&quot; class=&quot;form-control ng-untouched ng-pristine ng-valid&quot;&gt; con selettore [&quot;#lettere-glossario&quot;]_x000d__x000a__x000d__x000a_Dettaglio + screenshot (accedere con le seguenti credenziali: user, axeposte@gmail.com; password, Poste2024!)_x000d__x000a_001 - https://axe.deque.com/issues/6fba34fe-6dcb-4fa6-b40d-39b3305f9d39_x000d__x000a__x000d__x000a_Possibile Metodologia Risolutiva:_x000d__x000a_001 - Associa l'elemento &lt;select&gt; a un'etichetta visibile utilizzando un elemento &lt;label&gt; o un attributo aria-label/aria-labelledby per garantire che i lettori di schermo possano identificare la funzione del campo._x000d__x000a__x000d__x000a_Occorrenze rilevate: 82 https://posteitaliane.sharepoint.com/:x:/r/teams/ACCESSIBILITRISULTATIVERIFICHETECNICHE/Shared%20Documents/POSTEITALIANE.IT/LOG/Log.xlsx?d=wf3c65046abcc49009aae265aacd619cd&amp;csf=1&amp;web=1&amp;e=knhQX7_x000d__x000a__x000d__x000a_Link al dettaglio requisito WCAG: NOT FOUND_x000d__x000a_"/>
    <x v="0"/>
    <s v="(#TM0032)"/>
    <x v="3"/>
    <x v="1"/>
    <x v="0"/>
    <x v="3"/>
    <s v="001 - L'elemento Select deve avere un nome accessibile-Assicurarsi che l'elemento select abbia un nome accessibile [Ulteriori informazioni] (https://dequeuniversity.com/rules/axe/4.8/select-name?application=AxeChrome)"/>
    <s v="001 - Associa l'elemento &lt;select&gt; a un'etichetta visibile utilizzando un elemento &lt;label&gt; o un attributo aria-label/aria-labelledby per garantire che i lettori di schermo possano identificare la funzione del campo."/>
    <s v="001 - https://axe.deque.com/issues/6fba34fe-6dcb-4fa6-b40d-39b3305f9d39"/>
  </r>
  <r>
    <s v="S0199.2.5.8"/>
    <s v="POSTE ITALIANE.IT - 9.2.5.8 Dimensione dell'obiettivo (minimo) - S019 Educazione Digitale:: (#TM0033)_x000d__x000a_S019 Educazione Digitale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educazione-digitale/glossario?glossario=Link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974fd3e1-c14e-4406-92b2-1acdd47a49f0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TM0033)"/>
    <x v="4"/>
    <x v="0"/>
    <x v="0"/>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974fd3e1-c14e-4406-92b2-1acdd47a49f0"/>
  </r>
  <r>
    <s v="S0199.2.1.1"/>
    <s v="POSTE ITALIANE.IT - 9.2.1.1 Tastiera - S019 Educazione Digitale:: (#TM0018)_x000d__x000a_S019 Educazione Digitale_x000d__x000a_Requisito WCAG: 2.1.1_x000d__x000a_Disabilità afflitte: Blind;Deafblind;Mobility_x000d__x000a_Impatto Utente: 1 - Critical_x000d__x000a__x000d__x000a_Descrizione_x000d__x000a_001 - La funzione non può essere eseguita dalla sola tastiera-Non è possibile eseguire la funzione utilizzando solo la tastiera sulla stessa schermata o su una versione alternativa conforme qualificata. [Ulteriori informazioni] (https://docs.deque.com/issue-help/1.0.0/en/keyboard-inaccessible)_x000d__x000a__x000d__x000a_Esempio di violazione individuata sull'oggetto:_x000d__x000a_001 - https://www.posteitaliane.it/educazione-digitale/glossario &lt;ul class=&quot;extra-footer-column list-unstyled&quot;&gt; con selettore [&quot;body &gt; div.content.content-footer.content-footer-pre:nth-of-type(7) &gt; div.container:nth-of-type(1) &gt; div.row:nth-of-type(1) &gt; div.col-md-12:nth-of-type(1) &gt; div.row.spacer-xs-bottom-30.spacer-sm-bottom-0:nth-of-type(1) &gt; div.col-sm-12:nth-of-type(1) &gt; div.row:nth-of-type(1) &gt; div.col-sm-5.col-md-4:nth-of-type(3) &gt; ul.extra-footer-column.list-unstyled:nth-of-type(1)&quot;]_x000d__x000a__x000d__x000a_Dettaglio + screenshot (accedere con le seguenti credenziali: user, axeposte@gmail.com; password, Poste2024!)_x000d__x000a_001 - https://axe.deque.com/issues/ed1dd0d1-d980-4dc5-9e9b-fcc11b47fa05_x000d__x000a__x000d__x000a_Possibile Metodologia Risolutiva:_x000d__x000a_001 -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TM0018)"/>
    <x v="5"/>
    <x v="1"/>
    <x v="0"/>
    <x v="5"/>
    <s v="001 - La funzione non può essere eseguita dalla sola tastiera-Non è possibile eseguire la funzione utilizzando solo la tastiera sulla stessa schermata o su una versione alternativa conforme qualificata. [Ulteriori informazioni] (https://docs.deque.com/issue-help/1.0.0/en/keyboard-inaccessible)"/>
    <s v="001 -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
    <s v="001 - https://axe.deque.com/issues/ed1dd0d1-d980-4dc5-9e9b-fcc11b47fa05"/>
  </r>
  <r>
    <s v="S0199.2.4.3"/>
    <s v="POSTE ITALIANE.IT - 9.2.4.3 Ordine del focus - S019 Educazione Digitale:: (#TM0034)_x000d__x000a_S019 Educazione Digitale_x000d__x000a_Requisito WCAG: 2.4.3_x000d__x000a_Disabilità afflitte: Blind;Deafblind;Mobility_x000d__x000a_Impatto Utente: 2 - Serious_x000d__x000a__x000d__x000a_Descrizione_x000d__x000a_001 - L'elemento nascosto o vuoto riceve lo stato attivo-Lo stato attivo della tastiera o lo scorrimento del touch screen si verifica su un elemento nascosto o vuoto. [Ulteriori informazioni] (https://docs.deque.com/issue-help/1.0.0/en/focus-on-hidden-item)_x000d__x000a__x000d__x000a_Esempio di violazione individuata sull'oggetto:_x000d__x000a_001 - https://www.posteitaliane.it/educazione-digitale/glossario?glossario=Link &lt;select id=&quot;lettere-glossario&quot; name=&quot;lettere-glossario&quot; formcontrolname=&quot;indexSelected&quot; class=&quot;form-control ng-untouched ng-pristine ng-valid&quot;&gt; con selettore [&quot;body &gt; div.content.content-main.border-xs-bottom.noanchor:nth-of-type(6) &gt; div.container:nth-of-type(1) &gt; div.row:nth-of-type(1) &gt; div#accessibility-anchor.col-md-12:nth-of-type(1) &gt; div.row:nth-of-type(1) &gt; div.col-md-9.col-md-push-3.col-structure:nth-of-type(1) &gt; div#main-dx:nth-of-type(1) &gt; app-root:nth-of-type(1) &gt; app-indice:nth-of-type(1) &gt; div.main-pills.main-pills-basic:nth-of-type(1) &gt; div.form-group.form-group-lg.hidden-md.hidden-lg:nth-of-type(1) &gt; form.ng-untouched.ng-pristine.ng-valid:nth-of-type(1) &gt; p:nth-of-type(1) &gt; span.select-wrapper.form-control:nth-of-type(1) &gt; select#lettere-glossario.form-control.ng-untouched.ng-pristine.ng-valid:nth-of-type(1)&quot;]_x000d__x000a__x000d__x000a_Dettaglio + screenshot (accedere con le seguenti credenziali: user, axeposte@gmail.com; password, Poste2024!)_x000d__x000a_001 - https://axe.deque.com/issues/c25e3a26-b262-4ba1-a2f1-46548206a193_x000d__x000a__x000d__x000a_Possibile Metodologia Risolutiva:_x000d__x000a_001 - Assicurati che gli elementi nascosti o non visibili non siano focalizzabili. Utilizza l'attributo aria-hidden=&quot;true&quot; per nascondere gli elementi che non devono essere percepiti dagli screen reader o ricevere focus. Rimuovi gli elementi nascosti dal flusso di navigazione della tastiera impostando l'attributo tabindex=&quot;-1&quot;.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_x000a__x000a_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TM0034)"/>
    <x v="6"/>
    <x v="0"/>
    <x v="0"/>
    <x v="6"/>
    <s v="001 - L'elemento nascosto o vuoto riceve lo stato attivo-Lo stato attivo della tastiera o lo scorrimento del touch screen si verifica su un elemento nascosto o vuoto. [Ulteriori informazioni] (https://docs.deque.com/issue-help/1.0.0/en/focus-on-hidden-item)"/>
    <s v="001 - Assicurati che gli elementi nascosti o non visibili non siano focalizzabili. Utilizza l'attributo aria-hidden=&quot;true&quot; per nascondere gli elementi che non devono essere percepiti dagli screen reader o ricevere focus. Rimuovi gli elementi nascosti dal flusso di navigazione della tastiera impostando l'attributo tabindex=&quot;-1&quot;.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_x000a__x000a_"/>
    <s v="001 - https://axe.deque.com/issues/c25e3a26-b262-4ba1-a2f1-46548206a193"/>
  </r>
  <r>
    <s v="S0029.1.4.3"/>
    <s v="POSTE ITALIANE.IT - 9.1.4.3 Contrasto (minimo) - S002 Azienda:: (#TM0038)_x000d__x000a_S002 Azienda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azienda.html &lt;a role=&quot;link&quot; id=&quot;icon-id05798761977173028&quot; tabindex=&quot;0&quot; lang=&quot;it&quot; aria-haspopup=&quot;dialog&quot; aria-label=&quot;Cookie Preferences, opens a dedicated popup modal window&quot; class=&quot;truste_cursor_pointer&quot;&gt;Preferenze Cookie&lt;/a&gt; con selettore [&quot;#icon-id05798761977173028&quot;]_x000d__x000a__x000d__x000a_Dettaglio + screenshot (accedere con le seguenti credenziali: user, axeposte@gmail.com; password, Poste2024!)_x000d__x000a_001 - https://axe.deque.com/issues/82dac2a6-88e6-4f93-9078-2327d2266c18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157 https://posteitaliane.sharepoint.com/:x:/r/teams/ACCESSIBILITRISULTATIVERIFICHETECNICHE/Shared%20Documents/POSTEITALIANE.IT/LOG/Log.xlsx?d=wf3c65046abcc49009aae265aacd619cd&amp;csf=1&amp;web=1&amp;e=knhQX7_x000d__x000a__x000d__x000a_Link al dettaglio requisito WCAG: NOT FOUND_x000d__x000a_"/>
    <x v="0"/>
    <s v="(#TM0038)"/>
    <x v="7"/>
    <x v="0"/>
    <x v="1"/>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82dac2a6-88e6-4f93-9078-2327d2266c18"/>
  </r>
  <r>
    <s v="S0029.1.1.1"/>
    <s v="POSTE ITALIANE.IT - 9.1.1.1 Contenuti non testuali - S002 Azienda:: (#TM0045)_x000d__x000a_S002 Azienda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azienda.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ac6e28f5-ed27-4826-91d4-e71cfa3d4f4d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151 https://posteitaliane.sharepoint.com/:x:/r/teams/ACCESSIBILITRISULTATIVERIFICHETECNICHE/Shared%20Documents/POSTEITALIANE.IT/LOG/Log.xlsx?d=wf3c65046abcc49009aae265aacd619cd&amp;csf=1&amp;web=1&amp;e=knhQX7_x000d__x000a__x000d__x000a_Link al dettaglio requisito WCAG: NOT FOUND_x000d__x000a_"/>
    <x v="0"/>
    <s v="(#TM0045)"/>
    <x v="8"/>
    <x v="1"/>
    <x v="1"/>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ac6e28f5-ed27-4826-91d4-e71cfa3d4f4d"/>
  </r>
  <r>
    <s v="S0029.2.4.4"/>
    <s v="POSTE ITALIANE.IT - 9.2.4.4 Scopo del collegamento (nel contesto) - S002 Azienda:: (#TM0049)_x000d__x000a_S002 Azienda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azienda.html &lt;a href=&quot;#&quot; class=&quot;btn btn-primary btn-cta back-to-top&quot; style=&quot;display: inline;&quot;&gt; &lt;span class=&quot;hide&quot;&gt;vai a inizio pagina&lt;/span&gt;_x000a__x0009__x0009__x0009__x0009__x0009_&lt;/a&gt; con selettore [&quot;.back-to-top&quot;]_x000d__x000a__x000d__x000a_Dettaglio + screenshot (accedere con le seguenti credenziali: user, axeposte@gmail.com; password, Poste2024!)_x000d__x000a_001 - https://axe.deque.com/issues/f5de4352-465c-4900-ac56-d7cb023461b6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139 https://posteitaliane.sharepoint.com/:x:/r/teams/ACCESSIBILITRISULTATIVERIFICHETECNICHE/Shared%20Documents/POSTEITALIANE.IT/LOG/Log.xlsx?d=wf3c65046abcc49009aae265aacd619cd&amp;csf=1&amp;web=1&amp;e=knhQX7_x000d__x000a__x000d__x000a_Link al dettaglio requisito WCAG: NOT FOUND_x000d__x000a_"/>
    <x v="0"/>
    <s v="(#TM0049)"/>
    <x v="9"/>
    <x v="0"/>
    <x v="1"/>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f5de4352-465c-4900-ac56-d7cb023461b6"/>
  </r>
  <r>
    <s v="S0029.2.5.8"/>
    <s v="POSTE ITALIANE.IT - 9.2.5.8 Dimensione dell'obiettivo (minimo) - S002 Azienda:: (#TM0051)_x000d__x000a_S002 Azienda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azienda.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53d01e2a-6b83-4f51-9bb6-854f8f816f29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051)"/>
    <x v="4"/>
    <x v="0"/>
    <x v="1"/>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53d01e2a-6b83-4f51-9bb6-854f8f816f29"/>
  </r>
  <r>
    <s v="S0029.1.3.1"/>
    <s v="POSTE ITALIANE.IT - 9.1.3.1 Informazioni e correlazioni - S002 Azienda:: (#TM0053)_x000d__x000a_S002 Azienda_x000d__x000a_Requisito WCAG: 1.3.1_x000d__x000a_Disabilità afflitte: Blind;Deafblind_x000d__x000a_Impatto Utente: 2 - Serious_x000d__x000a__x000d__x000a_Descrizione_x000d__x000a_001 - Il testo dell'intestazione visiva non è contrassegnato come intestazione-Il testo viene visualizzato e funziona come un'intestazione di sezione, ma non viene contrassegnato come tale. [Ulteriori informazioni] (https://docs.deque.com/issue-help/1.0.0/en/semantic-heading)_x000d__x000a__x000d__x000a_Esempio di violazione individuata sull'oggetto:_x000d__x000a_001 - https://www.posteitaliane.it/it/azienda.html  con selettore [&quot;body#homepage-corporate &gt; div.content.content-main.nobracket.border-xs-bottom:nth-of-type(6) &gt; div.container:nth-of-type(1) &gt; div.row.equalize-group.equalize-group-1473807365754:nth-of-type(1) &gt; div#accessibility-anchor.col-md-12:nth-of-type(1) &gt; div.row:nth-of-type(1) &gt; div.col-md-12.col-structure:nth-of-type(1) &gt; div.main-pills.main-pills-basic:nth-of-type(1) &gt; div.row:nth-of-type(1) &gt; div.col-sm-12:nth-of-type(1) &gt; div.row.equalize-group.equalize-group-1473807365754:nth-of-type(1) &gt; div.col-sm-6:nth-of-type(2) &gt; div.panel.panel-cards.panel-cards-news:nth-of-type(1) &gt; div.panel-wrap:nth-of-type(1) &gt; div.panel-heading:nth-of-type(1) &gt; div.panel-heading-subtitle.border-xs-bottom.border-sm-bottom.clearfix:nth-of-type(1) &gt; span.pull-xs-left:nth-of-type(1)&quot;]_x000d__x000a__x000d__x000a_Dettaglio + screenshot (accedere con le seguenti credenziali: user, axeposte@gmail.com; password, Poste2024!)_x000d__x000a_001 - https://axe.deque.com/issues/97835a74-0099-44a9-9ba5-49a57d7dd0a7_x000d__x000a__x000d__x000a_Possibile Metodologia Risolutiva:_x000d__x000a_001 - Il testo che agisce come intestazione visivamente o strutturalmente DOVREBBE essere designato come una intestazione nel markup (h1,h2,...)._x000a_Possibile soluzione:_x000a_Assicurarsi che il testo che funge da intestazione visiva sia marcato con i tag appropriati di intestazione HTML, come `&lt;h1&gt;`, `&lt;h2&gt;`, ecc. Questo aiuta a definire chiaramente la struttura della pagina per i lettori di schermo._x000d__x000a__x000d__x000a_Occorrenze rilevate: 170 https://posteitaliane.sharepoint.com/:x:/r/teams/ACCESSIBILITRISULTATIVERIFICHETECNICHE/Shared%20Documents/POSTEITALIANE.IT/LOG/Log.xlsx?d=wf3c65046abcc49009aae265aacd619cd&amp;csf=1&amp;web=1&amp;e=knhQX7_x000d__x000a__x000d__x000a_Link al dettaglio requisito WCAG: NOT FOUND_x000d__x000a_"/>
    <x v="0"/>
    <s v="(#TM0053)"/>
    <x v="10"/>
    <x v="0"/>
    <x v="1"/>
    <x v="7"/>
    <s v="001 - Il testo dell'intestazione visiva non è contrassegnato come intestazione-Il testo viene visualizzato e funziona come un'intestazione di sezione, ma non viene contrassegnato come tale. [Ulteriori informazioni] (https://docs.deque.com/issue-help/1.0.0/en/semantic-heading)"/>
    <s v="001 - Il testo che agisce come intestazione visivamente o strutturalmente DOVREBBE essere designato come una intestazione nel markup (h1,h2,...)._x000a_Possibile soluzione:_x000a_Assicurarsi che il testo che funge da intestazione visiva sia marcato con i tag appropriati di intestazione HTML, come `&lt;h1&gt;`, `&lt;h2&gt;`, ecc. Questo aiuta a definire chiaramente la struttura della pagina per i lettori di schermo."/>
    <s v="001 - https://axe.deque.com/issues/97835a74-0099-44a9-9ba5-49a57d7dd0a7"/>
  </r>
  <r>
    <s v="S0029.1.4.5"/>
    <s v="POSTE ITALIANE.IT - 9.1.4.5 Immagini di testo - S002 Azienda:: (#TM0055)_x000d__x000a_S002 Azienda_x000d__x000a_Requisito WCAG: 1.4.5_x000d__x000a_Disabilità afflitte: Blind;Deafblind;Low Vision_x000d__x000a_Impatto Utente: 2 - Serious_x000d__x000a__x000d__x000a_Descrizione_x000d__x000a_001 - L'immagine del testo viene utilizzata al posto del testo reale-L'immagine contiene testo incorporato. [Ulteriori informazioni] (https://docs.deque.com/issue-help/1.0.0/en/image-of-text)_x000d__x000a__x000d__x000a_Esempio di violazione individuata sull'oggetto:_x000d__x000a_001 - https://www.posteitaliane.it/it/azienda.html &lt;div class=&quot;panel panel-cards panel-cards-opacity&quot; style=&quot;background-image: url(&amp;quot;https://www.posteitaliane.it/img/1476464877804/codice-etico-cxl.jpg&amp;quot;); min-height: 320px;&quot;&gt; con selettore [&quot;body#homepage-corporate &gt; div.content.content-post-main:nth-of-type(7) &gt; div.container:nth-of-type(1) &gt; div.row.spacer-xs-top-30.equalize-group.equalize-group-1473807366395:nth-of-type(1) &gt; div.col-sm-6:nth-of-type(2) &gt; div.panel.panel-cards.panel-cards-opacity:nth-of-type(1)&quot;]_x000d__x000a__x000d__x000a_Dettaglio + screenshot (accedere con le seguenti credenziali: user, axeposte@gmail.com; password, Poste2024!)_x000d__x000a_001 - https://axe.deque.com/issues/55086a57-5610-4800-bd1e-b279bf60625f_x000d__x000a__x000d__x000a_Possibile Metodologia Risolutiva:_x000d__x000a_001 - Sostituire le immagini di testo con testo reale, utilizzando HTML per il contenuto e CSS per la personalizzazione visiva.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TM0055)"/>
    <x v="11"/>
    <x v="0"/>
    <x v="1"/>
    <x v="8"/>
    <s v="001 - L'immagine del testo viene utilizzata al posto del testo reale-L'immagine contiene testo incorporato. [Ulteriori informazioni] (https://docs.deque.com/issue-help/1.0.0/en/image-of-text)"/>
    <s v="001 - Sostituire le immagini di testo con testo reale, utilizzando HTML per il contenuto e CSS per la personalizzazione visiva."/>
    <s v="001 - https://axe.deque.com/issues/55086a57-5610-4800-bd1e-b279bf60625f"/>
  </r>
  <r>
    <s v="S0209.1.4.3"/>
    <s v="POSTE ITALIANE.IT - 9.1.4.3 Contrasto (minimo) - S020 Carriere:: (#TM0059)_x000d__x000a_S020 Carriere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carriere.html &lt;a role=&quot;link&quot; id=&quot;icon-id02477708514653083&quot; tabindex=&quot;0&quot; lang=&quot;it&quot; aria-haspopup=&quot;dialog&quot; aria-label=&quot;Cookie Preferences, opens a dedicated popup modal window&quot; class=&quot;truste_cursor_pointer&quot;&gt;Preferenze Cookie&lt;/a&gt; con selettore [&quot;#icon-id02477708514653083&quot;]_x000d__x000a__x000d__x000a_Dettaglio + screenshot (accedere con le seguenti credenziali: user, axeposte@gmail.com; password, Poste2024!)_x000d__x000a_001 - https://axe.deque.com/issues/56b3512b-d9bc-474e-955f-ddfe6c55b181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165 https://posteitaliane.sharepoint.com/:x:/r/teams/ACCESSIBILITRISULTATIVERIFICHETECNICHE/Shared%20Documents/POSTEITALIANE.IT/LOG/Log.xlsx?d=wf3c65046abcc49009aae265aacd619cd&amp;csf=1&amp;web=1&amp;e=knhQX7_x000d__x000a__x000d__x000a_Link al dettaglio requisito WCAG: NOT FOUND_x000d__x000a_"/>
    <x v="0"/>
    <s v="(#TM0059)"/>
    <x v="12"/>
    <x v="0"/>
    <x v="2"/>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56b3512b-d9bc-474e-955f-ddfe6c55b181"/>
  </r>
  <r>
    <s v="S0209.1.1.1"/>
    <s v="POSTE ITALIANE.IT - 9.1.1.1 Contenuti non testuali - S020 Carriere:: (#TM0066)_x000d__x000a_S020 Carriere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carriere.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76977737-16c6-4b5b-9aa5-351cbaf4f88e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193 https://posteitaliane.sharepoint.com/:x:/r/teams/ACCESSIBILITRISULTATIVERIFICHETECNICHE/Shared%20Documents/POSTEITALIANE.IT/LOG/Log.xlsx?d=wf3c65046abcc49009aae265aacd619cd&amp;csf=1&amp;web=1&amp;e=knhQX7_x000d__x000a__x000d__x000a_Link al dettaglio requisito WCAG: NOT FOUND_x000d__x000a_"/>
    <x v="0"/>
    <s v="(#TM0066)"/>
    <x v="13"/>
    <x v="1"/>
    <x v="2"/>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76977737-16c6-4b5b-9aa5-351cbaf4f88e"/>
  </r>
  <r>
    <s v="S0209.2.4.4"/>
    <s v="POSTE ITALIANE.IT - 9.2.4.4 Scopo del collegamento (nel contesto) - S020 Carriere:: (#TM0069)_x000d__x000a_S020 Carriere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carriere.html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2451bbf9-4266-42c2-a5a6-0d20d367c2a5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152 https://posteitaliane.sharepoint.com/:x:/r/teams/ACCESSIBILITRISULTATIVERIFICHETECNICHE/Shared%20Documents/POSTEITALIANE.IT/LOG/Log.xlsx?d=wf3c65046abcc49009aae265aacd619cd&amp;csf=1&amp;web=1&amp;e=knhQX7_x000d__x000a__x000d__x000a_Link al dettaglio requisito WCAG: NOT FOUND_x000d__x000a_"/>
    <x v="0"/>
    <s v="(#TM0069)"/>
    <x v="14"/>
    <x v="0"/>
    <x v="2"/>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2451bbf9-4266-42c2-a5a6-0d20d367c2a5"/>
  </r>
  <r>
    <s v="S0209.2.5.8"/>
    <s v="POSTE ITALIANE.IT - 9.2.5.8 Dimensione dell'obiettivo (minimo) - S020 Carriere:: (#TM0071)_x000d__x000a_S020 Carriere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carriere.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f55f4a83-b1f2-4ab9-b96a-f3c81e7c5002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071)"/>
    <x v="4"/>
    <x v="0"/>
    <x v="2"/>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f55f4a83-b1f2-4ab9-b96a-f3c81e7c5002"/>
  </r>
  <r>
    <s v="S0219.4.1.2"/>
    <s v="POSTE ITALIANE.IT - 9.4.1.2 Nome, ruolo, valore - S021 Cerca nel sito:: (#TM0072)_x000d__x000a_S021 Cerca nel sito_x000d__x000a_Requisito WCAG: 4.1.2_x000d__x000a_Disabilità afflitte: Blind;Deafblind;Mobility_x000d__x000a_Impatto Utente: 1 - Critical_x000d__x000a__x000d__x000a_Descrizione_x000d__x000a_001 - Gli elementi devono utilizzare solo attributi ARIA ammissibili-Assicurarsi che gli attributi ARIA siano consentiti per il ruolo di un elemento [Ulteriori informazioni] (https://dequeuniversity.com/rules/axe/4.7/aria-allowed-attr?application=drwright)_x000d__x000a__x000d__x000a_Esempio di violazione individuata sull'oggetto:_x000d__x000a_001 - https://www.posteitaliane.it/it/cerca/index.html#/ &lt;input placeholder=&quot;Cerca nel sito&quot; type=&quot;text&quot; ng-model=&quot;campoCercaProdottiServizi&quot; class=&quot;form-control ng-pristine ng-untouched ng-valid ng-empty&quot; id=&quot;campo-prova02&quot; uib-typeahead=&quot;s as s.name for s in suggest($viewValue)&quot; typeahead-loading=&quot;loadingLocations&quot; typeahead-min-length=&quot;suggestMinCharNum&quot; autocomplete=&quot;off&quot; typeahead-on-select=&quot;suggestSelected()&quot; typeahead-focus-first=&quot;false&quot; aria-autocomplete=&quot;list&quot; aria-expanded=&quot;false&quot; aria-owns=&quot;typeahead-14-4641&quot;&gt; con selettore [&quot;#campo-prova02&quot;]_x000d__x000a__x000d__x000a_Dettaglio + screenshot (accedere con le seguenti credenziali: user, axeposte@gmail.com; password, Poste2024!)_x000d__x000a_001 - https://axe.deque.com/issues/e5d7f98f-00f2-4dc8-a0f0-d8043cb77452_x000d__x000a__x000d__x000a_Possibile Metodologia Risolutiva:_x000d__x000a_001 - Verificare che gli attributi ARIA utilizzati siano ammessi per i ruoli specificati negli elementi, consultando la documentazione ufficiale WAI-ARIA. Rimuovere o correggere gli attributi non validi per garantire conformità e compatibilità.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TM0072)"/>
    <x v="15"/>
    <x v="1"/>
    <x v="3"/>
    <x v="3"/>
    <s v="001 - Gli elementi devono utilizzare solo attributi ARIA ammissibili-Assicurarsi che gli attributi ARIA siano consentiti per il ruolo di un elemento [Ulteriori informazioni] (https://dequeuniversity.com/rules/axe/4.7/aria-allowed-attr?application=drwright)"/>
    <s v="001 - Verificare che gli attributi ARIA utilizzati siano ammessi per i ruoli specificati negli elementi, consultando la documentazione ufficiale WAI-ARIA. Rimuovere o correggere gli attributi non validi per garantire conformità e compatibilità."/>
    <s v="001 - https://axe.deque.com/issues/e5d7f98f-00f2-4dc8-a0f0-d8043cb77452"/>
  </r>
  <r>
    <s v="S0219.1.4.3"/>
    <s v="POSTE ITALIANE.IT - 9.1.4.3 Contrasto (minimo) - S021 Cerca nel sito:: (#TM0076)_x000d__x000a_S021 Cerca nel sito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cerca/index.html#/ &lt;a role=&quot;link&quot; id=&quot;icon-id04968020557667092&quot; tabindex=&quot;0&quot; lang=&quot;it&quot; aria-haspopup=&quot;dialog&quot; aria-label=&quot;Cookie Preferences, opens a dedicated popup modal window&quot; class=&quot;truste_cursor_pointer&quot;&gt;Preferenze Cookie&lt;/a&gt; con selettore [&quot;#icon-id04968020557667092&quot;]_x000d__x000a__x000d__x000a_Dettaglio + screenshot (accedere con le seguenti credenziali: user, axeposte@gmail.com; password, Poste2024!)_x000d__x000a_001 - https://axe.deque.com/issues/ab16a8dd-3087-449a-8e8c-b2b1e0082593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11 https://posteitaliane.sharepoint.com/:x:/r/teams/ACCESSIBILITRISULTATIVERIFICHETECNICHE/Shared%20Documents/POSTEITALIANE.IT/LOG/Log.xlsx?d=wf3c65046abcc49009aae265aacd619cd&amp;csf=1&amp;web=1&amp;e=knhQX7_x000d__x000a__x000d__x000a_Link al dettaglio requisito WCAG: NOT FOUND_x000d__x000a_"/>
    <x v="0"/>
    <s v="(#TM0076)"/>
    <x v="16"/>
    <x v="0"/>
    <x v="3"/>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ab16a8dd-3087-449a-8e8c-b2b1e0082593"/>
  </r>
  <r>
    <s v="S0219.1.1.1"/>
    <s v="POSTE ITALIANE.IT - 9.1.1.1 Contenuti non testuali - S021 Cerca nel sito:: (#TM0080)_x000d__x000a_S021 Cerca nel sito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cerca/index.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c45f5369-8c90-4704-ae4c-9b4c1ca866ee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10 https://posteitaliane.sharepoint.com/:x:/r/teams/ACCESSIBILITRISULTATIVERIFICHETECNICHE/Shared%20Documents/POSTEITALIANE.IT/LOG/Log.xlsx?d=wf3c65046abcc49009aae265aacd619cd&amp;csf=1&amp;web=1&amp;e=knhQX7_x000d__x000a__x000d__x000a_Link al dettaglio requisito WCAG: NOT FOUND_x000d__x000a_"/>
    <x v="0"/>
    <s v="(#TM0080)"/>
    <x v="17"/>
    <x v="1"/>
    <x v="3"/>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c45f5369-8c90-4704-ae4c-9b4c1ca866ee"/>
  </r>
  <r>
    <s v="S0219.2.4.4"/>
    <s v="POSTE ITALIANE.IT - 9.2.4.4 Scopo del collegamento (nel contesto) - S021 Cerca nel sito:: (#TM0083)_x000d__x000a_S021 Cerca nel sito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cerca/index.html#/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0505b716-0a76-4d01-9613-cebbd6f23742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13 https://posteitaliane.sharepoint.com/:x:/r/teams/ACCESSIBILITRISULTATIVERIFICHETECNICHE/Shared%20Documents/POSTEITALIANE.IT/LOG/Log.xlsx?d=wf3c65046abcc49009aae265aacd619cd&amp;csf=1&amp;web=1&amp;e=knhQX7_x000d__x000a__x000d__x000a_Link al dettaglio requisito WCAG: NOT FOUND_x000d__x000a_"/>
    <x v="0"/>
    <s v="(#TM0083)"/>
    <x v="18"/>
    <x v="0"/>
    <x v="3"/>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0505b716-0a76-4d01-9613-cebbd6f23742"/>
  </r>
  <r>
    <s v="S0219.2.5.8"/>
    <s v="POSTE ITALIANE.IT - 9.2.5.8 Dimensione dell'obiettivo (minimo) - S021 Cerca nel sito:: (#TM0085)_x000d__x000a_S021 Cerca nel sito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cerca/index.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f00550f0-5a30-4094-a7a2-d7ffbf0588e2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085)"/>
    <x v="4"/>
    <x v="0"/>
    <x v="3"/>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f00550f0-5a30-4094-a7a2-d7ffbf0588e2"/>
  </r>
  <r>
    <s v="S0219.1.3.1"/>
    <s v="POSTE ITALIANE.IT - 9.1.3.1 Informazioni e correlazioni - S021 Cerca nel sito:: (#TM0086)_x000d__x000a_S021 Cerca nel sito_x000d__x000a_Requisito WCAG: 1.3.1_x000d__x000a_Disabilità afflitte: Blind;Deafblind_x000d__x000a_Impatto Utente: 2 - Serious_x000d__x000a__x000d__x000a_Descrizione_x000d__x000a_001 - Il testo dell'intestazione visiva non è contrassegnato come intestazione-Il testo viene visualizzato e funziona come un'intestazione di sezione, ma non viene contrassegnato come tale. [Ulteriori informazioni] (https://docs.deque.com/issue-help/1.0.0/en/semantic-heading)_x000d__x000a__x000d__x000a_Esempio di violazione individuata sull'oggetto:_x000d__x000a_001 - https://www.posteitaliane.it/it/cerca/index.html#/  con selettore [&quot;body &gt; ng-app.ng-scope:nth-of-type(1) &gt; div.ng-scope:nth-of-type(2) &gt; div.content.content-applicative.content-white.ng-scope:nth-of-type(1) &gt; div.container:nth-of-type(1) &gt; forms-ricerche-directive.ng-isolate-scope:nth-of-type(1) &gt; div.row.content-search.search-delivery:nth-of-type(1) &gt; div#accessibility-anchor.col-md-12:nth-of-type(1) &gt; div.row:nth-of-type(1) &gt; div:nth-of-type(1) &gt; div.form-group.form-group-lg:nth-of-type(1) &gt; form.ng-pristine.ng-valid:nth-of-type(1) &gt; label.h3.spacer-xs-bottom-30.ng-binding:nth-of-type(1)&quot;]_x000d__x000a__x000d__x000a_Dettaglio + screenshot (accedere con le seguenti credenziali: user, axeposte@gmail.com; password, Poste2024!)_x000d__x000a_001 - https://axe.deque.com/issues/023c376b-1455-4bb3-906c-d945b2683a4f_x000d__x000a__x000d__x000a_Possibile Metodologia Risolutiva:_x000d__x000a_001 - Il testo che agisce come intestazione visivamente o strutturalmente DOVREBBE essere designato come una intestazione nel markup (h1,h2,...)._x000a_Possibile soluzione:_x000a_Assicurarsi che il testo che funge da intestazione visiva sia marcato con i tag appropriati di intestazione HTML, come `&lt;h1&gt;`, `&lt;h2&gt;`, ecc. Questo aiuta a definire chiaramente la struttura della pagina per i lettori di schermo._x000d__x000a__x000d__x000a_Occorrenze rilevate: 19 https://posteitaliane.sharepoint.com/:x:/r/teams/ACCESSIBILITRISULTATIVERIFICHETECNICHE/Shared%20Documents/POSTEITALIANE.IT/LOG/Log.xlsx?d=wf3c65046abcc49009aae265aacd619cd&amp;csf=1&amp;web=1&amp;e=knhQX7_x000d__x000a__x000d__x000a_Link al dettaglio requisito WCAG: NOT FOUND_x000d__x000a_"/>
    <x v="0"/>
    <s v="(#TM0086)"/>
    <x v="19"/>
    <x v="0"/>
    <x v="3"/>
    <x v="7"/>
    <s v="001 - Il testo dell'intestazione visiva non è contrassegnato come intestazione-Il testo viene visualizzato e funziona come un'intestazione di sezione, ma non viene contrassegnato come tale. [Ulteriori informazioni] (https://docs.deque.com/issue-help/1.0.0/en/semantic-heading)"/>
    <s v="001 - Il testo che agisce come intestazione visivamente o strutturalmente DOVREBBE essere designato come una intestazione nel markup (h1,h2,...)._x000a_Possibile soluzione:_x000a_Assicurarsi che il testo che funge da intestazione visiva sia marcato con i tag appropriati di intestazione HTML, come `&lt;h1&gt;`, `&lt;h2&gt;`, ecc. Questo aiuta a definire chiaramente la struttura della pagina per i lettori di schermo."/>
    <s v="001 - https://axe.deque.com/issues/023c376b-1455-4bb3-906c-d945b2683a4f"/>
  </r>
  <r>
    <s v="S0219.1.4.1"/>
    <s v="POSTE ITALIANE.IT - 9.1.4.1 Uso del colore - S021 Cerca nel sito:: (#TM0096)_x000d__x000a_S021 Cerca nel sito_x000d__x000a_Requisito WCAG: 1.4.1_x000d__x000a_Disabilità afflitte: Colorblindness;Low Vision_x000d__x000a_Impatto Utente: 2 - Serious_x000d__x000a__x000d__x000a_Descrizione_x000d__x000a_001 - Il colore da solo viene utilizzato per trasmettere le informazioni-Il colore da solo viene utilizzato per trasmettere informazioni [Ulteriori informazioni] (https://docs.deque.com/issue-help/1.0.0/en/information-color)_x000d__x000a__x000d__x000a_Esempio di violazione individuata sull'oggetto:_x000d__x000a_001 - https://www.posteitaliane.it/it/cerca/index.html#/ &lt;a class=&quot;ng-binding&quot;&gt; con selettore [&quot;body &gt; ng-app.ng-scope:nth-of-type(1) &gt; div.content.content-post-main:nth-of-type(3) &gt; div.container:nth-of-type(1) &gt; footer01.ng-isolate-scope:nth-of-type(1) &gt; div.row.content-search-correlated:nth-of-type(1) &gt; div.col-md-12:nth-of-type(1) &gt; div.row:nth-of-type(1) &gt; div.col-md-4:nth-of-type(3) &gt; div.box-search-correlated:nth-of-type(1) &gt; ul.list-unstyled.spacer-xs-bottom-20.spacer-sm-bottom-30:nth-of-type(1) &gt; li.ng-scope:nth-of-type(5) &gt; a.ng-binding:nth-of-type(1)&quot;]_x000d__x000a__x000d__x000a_Dettaglio + screenshot (accedere con le seguenti credenziali: user, axeposte@gmail.com; password, Poste2024!)_x000d__x000a_001 - https://axe.deque.com/issues/309d7bec-3ce4-416d-8e1d-e5da38d53fb5_x000d__x000a__x000d__x000a_Possibile Metodologia Risolutiva:_x000d__x000a_001 - Quando il colore serve a comunicare un'informazione importante (ad esempio per indicare errori o stati come &quot;completo&quot; o &quot;in corso&quot;), aggiungi simboli o testo che rafforzi il messaggio. Ad esempio, puoi usare un’icona (come un segno di spunta per &quot;completo&quot;) o testo esplicativo. Questo garantisce che l’informazione sia comprensibile anche a chi ha difficoltà nella percezione dei colori o usa screen reader._x000d__x000a__x000d__x000a_Occorrenze rilevate: 10 https://posteitaliane.sharepoint.com/:x:/r/teams/ACCESSIBILITRISULTATIVERIFICHETECNICHE/Shared%20Documents/POSTEITALIANE.IT/LOG/Log.xlsx?d=wf3c65046abcc49009aae265aacd619cd&amp;csf=1&amp;web=1&amp;e=knhQX7_x000d__x000a__x000d__x000a_Link al dettaglio requisito WCAG: NOT FOUND_x000d__x000a_"/>
    <x v="0"/>
    <s v="(#TM0096)"/>
    <x v="20"/>
    <x v="0"/>
    <x v="3"/>
    <x v="9"/>
    <s v="001 - Il colore da solo viene utilizzato per trasmettere le informazioni-Il colore da solo viene utilizzato per trasmettere informazioni [Ulteriori informazioni] (https://docs.deque.com/issue-help/1.0.0/en/information-color)"/>
    <s v="001 - Quando il colore serve a comunicare un'informazione importante (ad esempio per indicare errori o stati come &quot;completo&quot; o &quot;in corso&quot;), aggiungi simboli o testo che rafforzi il messaggio. Ad esempio, puoi usare un’icona (come un segno di spunta per &quot;completo&quot;) o testo esplicativo. Questo garantisce che l’informazione sia comprensibile anche a chi ha difficoltà nella percezione dei colori o usa screen reader."/>
    <s v="001 - https://axe.deque.com/issues/309d7bec-3ce4-416d-8e1d-e5da38d53fb5"/>
  </r>
  <r>
    <s v="S0089.1.4.3"/>
    <s v="POSTE ITALIANE.IT - 9.1.4.3 Contrasto (minimo) - S008 Chi Siamo:: (#TM0428)_x000d__x000a_S008 Chi Siamo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purpose.html &lt;a role=&quot;link&quot; id=&quot;icon-id07232933462527047&quot; tabindex=&quot;0&quot; lang=&quot;it&quot; aria-haspopup=&quot;dialog&quot; aria-label=&quot;Cookie Preferences, opens a dedicated popup modal window&quot; class=&quot;truste_cursor_pointer&quot;&gt;Preferenze Cookie&lt;/a&gt; con selettore [&quot;#icon-id07232933462527047&quot;]_x000d__x000a__x000d__x000a_Dettaglio + screenshot (accedere con le seguenti credenziali: user, axeposte@gmail.com; password, Poste2024!)_x000d__x000a_001 - https://axe.deque.com/issues/a5ae8296-74da-4cd0-9351-e0b1e45a4ecc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107 https://posteitaliane.sharepoint.com/:x:/r/teams/ACCESSIBILITRISULTATIVERIFICHETECNICHE/Shared%20Documents/POSTEITALIANE.IT/LOG/Log.xlsx?d=wf3c65046abcc49009aae265aacd619cd&amp;csf=1&amp;web=1&amp;e=knhQX7_x000d__x000a__x000d__x000a_Link al dettaglio requisito WCAG: NOT FOUND_x000d__x000a_"/>
    <x v="0"/>
    <s v="(#TM0428)"/>
    <x v="21"/>
    <x v="0"/>
    <x v="4"/>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a5ae8296-74da-4cd0-9351-e0b1e45a4ecc"/>
  </r>
  <r>
    <s v="S0089.1.1.1"/>
    <s v="POSTE ITALIANE.IT - 9.1.1.1 Contenuti non testuali - S008 Chi Siamo:: (#TM0444)_x000d__x000a_S008 Chi Siamo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purpose.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6628c72d-9b98-472b-8c43-5849b448cdc7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111 https://posteitaliane.sharepoint.com/:x:/r/teams/ACCESSIBILITRISULTATIVERIFICHETECNICHE/Shared%20Documents/POSTEITALIANE.IT/LOG/Log.xlsx?d=wf3c65046abcc49009aae265aacd619cd&amp;csf=1&amp;web=1&amp;e=knhQX7_x000d__x000a__x000d__x000a_Link al dettaglio requisito WCAG: NOT FOUND_x000d__x000a_"/>
    <x v="0"/>
    <s v="(#TM0444)"/>
    <x v="22"/>
    <x v="1"/>
    <x v="4"/>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6628c72d-9b98-472b-8c43-5849b448cdc7"/>
  </r>
  <r>
    <s v="S0089.2.4.4"/>
    <s v="POSTE ITALIANE.IT - 9.2.4.4 Scopo del collegamento (nel contesto) - S008 Chi Siamo:: (#TM0448)_x000d__x000a_S008 Chi Siamo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purpose.html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c21b22f2-9050-4c9b-adcc-a92f3cd2c72a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77 https://posteitaliane.sharepoint.com/:x:/r/teams/ACCESSIBILITRISULTATIVERIFICHETECNICHE/Shared%20Documents/POSTEITALIANE.IT/LOG/Log.xlsx?d=wf3c65046abcc49009aae265aacd619cd&amp;csf=1&amp;web=1&amp;e=knhQX7_x000d__x000a__x000d__x000a_Link al dettaglio requisito WCAG: NOT FOUND_x000d__x000a_"/>
    <x v="0"/>
    <s v="(#TM0448)"/>
    <x v="23"/>
    <x v="0"/>
    <x v="4"/>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c21b22f2-9050-4c9b-adcc-a92f3cd2c72a"/>
  </r>
  <r>
    <s v="S0089.2.5.8"/>
    <s v="POSTE ITALIANE.IT - 9.2.5.8 Dimensione dell'obiettivo (minimo) - S008 Chi Siamo:: (#TM0450)_x000d__x000a_S008 Chi Siamo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purpose.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62db8e75-4c6d-43d1-925a-70e33c828c64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TM0450)"/>
    <x v="4"/>
    <x v="0"/>
    <x v="4"/>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62db8e75-4c6d-43d1-925a-70e33c828c64"/>
  </r>
  <r>
    <s v="S0039.1.4.3"/>
    <s v="POSTE ITALIANE.IT - 9.1.4.3 Contrasto (minimo) - S003 Investitori:: (#TM0366)_x000d__x000a_S003 Investitori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investitori.html &lt;a role=&quot;link&quot; id=&quot;icon-id08239754808319293&quot; tabindex=&quot;0&quot; lang=&quot;it&quot; aria-haspopup=&quot;dialog&quot; aria-label=&quot;Cookie Preferences, opens a dedicated popup modal window&quot; class=&quot;truste_cursor_pointer&quot;&gt;Preferenze Cookie&lt;/a&gt; con selettore [&quot;#icon-id08239754808319293&quot;]_x000d__x000a__x000d__x000a_Dettaglio + screenshot (accedere con le seguenti credenziali: user, axeposte@gmail.com; password, Poste2024!)_x000d__x000a_001 - https://axe.deque.com/issues/8dbfc888-c7fa-4e1c-adb4-dcd3e592d220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325 https://posteitaliane.sharepoint.com/:x:/r/teams/ACCESSIBILITRISULTATIVERIFICHETECNICHE/Shared%20Documents/POSTEITALIANE.IT/LOG/Log.xlsx?d=wf3c65046abcc49009aae265aacd619cd&amp;csf=1&amp;web=1&amp;e=knhQX7_x000d__x000a__x000d__x000a_Link al dettaglio requisito WCAG: NOT FOUND_x000d__x000a_"/>
    <x v="0"/>
    <s v="(#TM0366)"/>
    <x v="24"/>
    <x v="0"/>
    <x v="5"/>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8dbfc888-c7fa-4e1c-adb4-dcd3e592d220"/>
  </r>
  <r>
    <s v="S0039.1.1.1"/>
    <s v="POSTE ITALIANE.IT - 9.1.1.1 Contenuti non testuali - S003 Investitori:: (#TM0375)_x000d__x000a_S003 Investitori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investitori.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d3d25eeb-1b05-4c99-80de-f950a75d5451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237 https://posteitaliane.sharepoint.com/:x:/r/teams/ACCESSIBILITRISULTATIVERIFICHETECNICHE/Shared%20Documents/POSTEITALIANE.IT/LOG/Log.xlsx?d=wf3c65046abcc49009aae265aacd619cd&amp;csf=1&amp;web=1&amp;e=knhQX7_x000d__x000a__x000d__x000a_Link al dettaglio requisito WCAG: NOT FOUND_x000d__x000a_"/>
    <x v="0"/>
    <s v="(#TM0375)"/>
    <x v="25"/>
    <x v="1"/>
    <x v="5"/>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d3d25eeb-1b05-4c99-80de-f950a75d5451"/>
  </r>
  <r>
    <s v="S0039.2.4.4"/>
    <s v="POSTE ITALIANE.IT - 9.2.4.4 Scopo del collegamento (nel contesto) - S003 Investitori:: (#TM0380)_x000d__x000a_S003 Investitori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investitori.html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073799b6-fa9f-4249-bf31-c00a37e61480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259 https://posteitaliane.sharepoint.com/:x:/r/teams/ACCESSIBILITRISULTATIVERIFICHETECNICHE/Shared%20Documents/POSTEITALIANE.IT/LOG/Log.xlsx?d=wf3c65046abcc49009aae265aacd619cd&amp;csf=1&amp;web=1&amp;e=knhQX7_x000d__x000a__x000d__x000a_Link al dettaglio requisito WCAG: NOT FOUND_x000d__x000a_"/>
    <x v="0"/>
    <s v="(#TM0380)"/>
    <x v="26"/>
    <x v="0"/>
    <x v="5"/>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073799b6-fa9f-4249-bf31-c00a37e61480"/>
  </r>
  <r>
    <s v="S0039.2.5.8"/>
    <s v="POSTE ITALIANE.IT - 9.2.5.8 Dimensione dell'obiettivo (minimo) - S003 Investitori:: (#TM0386)_x000d__x000a_S003 Investitori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investitori.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feb74fce-e306-448b-aa4e-17ad126c7bfc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TM0386)"/>
    <x v="4"/>
    <x v="0"/>
    <x v="5"/>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feb74fce-e306-448b-aa4e-17ad126c7bfc"/>
  </r>
  <r>
    <s v="S0039.1.3.1"/>
    <s v="POSTE ITALIANE.IT - 9.1.3.1 Informazioni e correlazioni - S003 Investitori:: (#TM0383)_x000d__x000a_S003 Investitori_x000d__x000a_Requisito WCAG: 1.3.1_x000d__x000a_Disabilità afflitte: Blind;Deaf;Mobility_x000d__x000a_Impatto Utente: 2 - Serious_x000d__x000a__x000d__x000a_Descrizione_x000d__x000a_001 - Le voci di elenco (&lt;li&gt;) non sono contenuti negli elementi parent '&lt;ul&gt;', '&lt;ol&gt;' o '&lt;menu&gt;' .-Gli screen reader richiedono che le voci di elenco (''&lt;li&gt;) siano contenute all'interno di un padre '&lt;ul&gt;', '&lt;ol&gt;'  o '&lt;menu&gt;' per essere annunciate correttamente. [Ulteriori informazioni] (https://dequeuniversity.com/rules/axe/4.10/listitem)_x000d__x000a__x000d__x000a_Esempio di violazione individuata sull'oggetto:_x000d__x000a_001 - https://www.posteitaliane.it/it/investitori.html &lt;li class=&quot;&quot;&gt;&lt;a href=&quot;#tab-Risultati&quot; aria-controls=&quot;tab-Risultati&quot; role=&quot;tab&quot; data-toggle=&quot;tab&quot;&gt; &lt;span class=&quot;segment-content&quot;&gt; &lt;span class=&quot;segment-number visible-xs-inline-block&quot;&gt;1&amp;nbsp;&lt;/span&gt;_x000a__x0009__x0009__x0009__x0009__x0009__x0009__x0009__x0009__x0009__x0009__x0009_&lt;span class=&quot;segment-desc&quot;&gt;Risultati&lt;/span&gt;_x000a__x0009__x0009__x0009__x0009__x0009__x0009__x0009__x0009__x0009_&lt;/span&gt;_x000a__x0009__x0009__x0009__x0009__x0009__x0009__x0009__x0009_&lt;/a&gt;&lt;/li&gt; con selettore [&quot;#list-1473806464737 &gt; li:nth-child(3)&quot;]_x000d__x000a__x000d__x000a_Dettaglio + screenshot (accedere con le seguenti credenziali: user, axeposte@gmail.com; password, Poste2024!)_x000d__x000a_001 - https://axe.deque.com/issues/b159f327-924a-41c0-bb0c-bfb16ddcebd7_x000d__x000a__x000d__x000a_Possibile Metodologia Risolutiva:_x000d__x000a_001 - Assicurati che ogni elemento &lt;li&gt; sia contenuto all'interno di un elemento &lt;ul&gt;, &lt;ol&gt;, o &lt;menu&gt;. Se necessario, aggiungi un elemento genitore attorno ai &lt;li&gt; o correggi eventuali errori di nidificazione nel codice HTML._x000d__x000a__x000d__x000a_Occorrenze rilevate: 466 https://posteitaliane.sharepoint.com/:x:/r/teams/ACCESSIBILITRISULTATIVERIFICHETECNICHE/Shared%20Documents/POSTEITALIANE.IT/LOG/Log.xlsx?d=wf3c65046abcc49009aae265aacd619cd&amp;csf=1&amp;web=1&amp;e=knhQX7_x000d__x000a__x000d__x000a_Link al dettaglio requisito WCAG: NOT FOUND_x000d__x000a_"/>
    <x v="0"/>
    <s v="(#TM0383)"/>
    <x v="27"/>
    <x v="0"/>
    <x v="5"/>
    <x v="7"/>
    <s v="001 - Le voci di elenco (&lt;li&gt;) non sono contenuti negli elementi parent '&lt;ul&gt;', '&lt;ol&gt;' o '&lt;menu&gt;' .-Gli screen reader richiedono che le voci di elenco (''&lt;li&gt;) siano contenute all'interno di un padre '&lt;ul&gt;', '&lt;ol&gt;'  o '&lt;menu&gt;' per essere annunciate correttamente. [Ulteriori informazioni] (https://dequeuniversity.com/rules/axe/4.10/listitem)"/>
    <s v="001 - Assicurati che ogni elemento &lt;li&gt; sia contenuto all'interno di un elemento &lt;ul&gt;, &lt;ol&gt;, o &lt;menu&gt;. Se necessario, aggiungi un elemento genitore attorno ai &lt;li&gt; o correggi eventuali errori di nidificazione nel codice HTML."/>
    <s v="001 - https://axe.deque.com/issues/b159f327-924a-41c0-bb0c-bfb16ddcebd7"/>
  </r>
  <r>
    <s v="S0059.1.4.3"/>
    <s v="POSTE ITALIANE.IT - 9.1.4.3 Contrasto (minimo) - S005 Media:: (#TM0403)_x000d__x000a_S005 Media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media.html &lt;a role=&quot;link&quot; id=&quot;icon-id09647747157596345&quot; tabindex=&quot;0&quot; lang=&quot;it&quot; aria-haspopup=&quot;dialog&quot; aria-label=&quot;Cookie Preferences, opens a dedicated popup modal window&quot; class=&quot;truste_cursor_pointer&quot;&gt;Preferenze Cookie&lt;/a&gt; con selettore [&quot;#icon-id09647747157596345&quot;]_x000d__x000a__x000d__x000a_Dettaglio + screenshot (accedere con le seguenti credenziali: user, axeposte@gmail.com; password, Poste2024!)_x000d__x000a_001 - https://axe.deque.com/issues/7f0ab744-8b4d-44e3-b0f6-77912ed62c71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380 https://posteitaliane.sharepoint.com/:x:/r/teams/ACCESSIBILITRISULTATIVERIFICHETECNICHE/Shared%20Documents/POSTEITALIANE.IT/LOG/Log.xlsx?d=wf3c65046abcc49009aae265aacd619cd&amp;csf=1&amp;web=1&amp;e=knhQX7_x000d__x000a__x000d__x000a_Link al dettaglio requisito WCAG: NOT FOUND_x000d__x000a_"/>
    <x v="0"/>
    <s v="(#TM0403)"/>
    <x v="28"/>
    <x v="0"/>
    <x v="6"/>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7f0ab744-8b4d-44e3-b0f6-77912ed62c71"/>
  </r>
  <r>
    <s v="S0059.1.1.1"/>
    <s v="POSTE ITALIANE.IT - 9.1.1.1 Contenuti non testuali - S005 Media:: (#TM0412)_x000d__x000a_S005 Media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media.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8fcb5b00-ccb9-4cb4-9d9f-5f08e4af5949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293 https://posteitaliane.sharepoint.com/:x:/r/teams/ACCESSIBILITRISULTATIVERIFICHETECNICHE/Shared%20Documents/POSTEITALIANE.IT/LOG/Log.xlsx?d=wf3c65046abcc49009aae265aacd619cd&amp;csf=1&amp;web=1&amp;e=knhQX7_x000d__x000a__x000d__x000a_Link al dettaglio requisito WCAG: NOT FOUND_x000d__x000a_"/>
    <x v="0"/>
    <s v="(#TM0412)"/>
    <x v="29"/>
    <x v="1"/>
    <x v="6"/>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8fcb5b00-ccb9-4cb4-9d9f-5f08e4af5949"/>
  </r>
  <r>
    <s v="S0059.2.4.4"/>
    <s v="POSTE ITALIANE.IT - 9.2.4.4 Scopo del collegamento (nel contesto) - S005 Media:: (#TM0417)_x000d__x000a_S005 Media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media.html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e9dda04c-ec98-489f-bd9b-185108dcb67a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376 https://posteitaliane.sharepoint.com/:x:/r/teams/ACCESSIBILITRISULTATIVERIFICHETECNICHE/Shared%20Documents/POSTEITALIANE.IT/LOG/Log.xlsx?d=wf3c65046abcc49009aae265aacd619cd&amp;csf=1&amp;web=1&amp;e=knhQX7_x000d__x000a__x000d__x000a_Link al dettaglio requisito WCAG: NOT FOUND_x000d__x000a_"/>
    <x v="0"/>
    <s v="(#TM0417)"/>
    <x v="30"/>
    <x v="0"/>
    <x v="6"/>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e9dda04c-ec98-489f-bd9b-185108dcb67a"/>
  </r>
  <r>
    <s v="S0059.2.5.8"/>
    <s v="POSTE ITALIANE.IT - 9.2.5.8 Dimensione dell'obiettivo (minimo) - S005 Media:: (#TM0424)_x000d__x000a_S005 Media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media.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c785436c-33ae-4b56-8b89-d899ebab14d1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TM0424)"/>
    <x v="4"/>
    <x v="0"/>
    <x v="6"/>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c785436c-33ae-4b56-8b89-d899ebab14d1"/>
  </r>
  <r>
    <s v="S0059.1.3.1"/>
    <s v="POSTE ITALIANE.IT - 9.1.3.1 Informazioni e correlazioni - S005 Media:: (#TM0420)_x000d__x000a_S005 Media_x000d__x000a_Requisito WCAG: 1.3.1_x000d__x000a_Disabilità afflitte: Blind;Deaf;Mobility_x000d__x000a_Impatto Utente: 2 - Serious_x000d__x000a__x000d__x000a_Descrizione_x000d__x000a_001 - Le voci di elenco (&lt;li&gt;) non sono contenuti negli elementi parent '&lt;ul&gt;', '&lt;ol&gt;' o '&lt;menu&gt;' .-Gli screen reader richiedono che le voci di elenco (''&lt;li&gt;) siano contenute all'interno di un padre '&lt;ul&gt;', '&lt;ol&gt;'  o '&lt;menu&gt;' per essere annunciate correttamente. [Ulteriori informazioni] (https://dequeuniversity.com/rules/axe/4.10/listitem)_x000d__x000a__x000d__x000a_Esempio di violazione individuata sull'oggetto:_x000d__x000a_001 - https://www.posteitaliane.it/it/media.html &lt;li class=&quot;&quot;&gt;&lt;a href=&quot;#tab-Eventi&quot; aria-controls=&quot;tab-Eventi&quot; role=&quot;tab&quot; data-toggle=&quot;tab&quot;&gt; &lt;span class=&quot;segment-content&quot;&gt; &lt;span class=&quot;segment-number visible-xs-inline-block&quot;&gt;1&amp;nbsp;&lt;/span&gt;_x000a__x0009__x0009__x0009__x0009__x0009__x0009__x0009__x0009__x0009__x0009__x0009_&lt;span class=&quot;segment-desc&quot;&gt;Eventi&lt;/span&gt;_x000a__x0009__x0009__x0009__x0009__x0009__x0009__x0009__x0009__x0009_&lt;/span&gt;_x000a__x0009__x0009__x0009__x0009__x0009__x0009__x0009__x0009_&lt;/a&gt;&lt;/li&gt; con selettore [&quot;#list-1476464870815 &gt; li:nth-child(3)&quot;]_x000d__x000a__x000d__x000a_Dettaglio + screenshot (accedere con le seguenti credenziali: user, axeposte@gmail.com; password, Poste2024!)_x000d__x000a_001 - https://axe.deque.com/issues/79b65103-2af7-4c5c-a054-414b18bc7622_x000d__x000a__x000d__x000a_Possibile Metodologia Risolutiva:_x000d__x000a_001 - Assicurati che ogni elemento &lt;li&gt; sia contenuto all'interno di un elemento &lt;ul&gt;, &lt;ol&gt;, o &lt;menu&gt;. Se necessario, aggiungi un elemento genitore attorno ai &lt;li&gt; o correggi eventuali errori di nidificazione nel codice HTML._x000d__x000a__x000d__x000a_Occorrenze rilevate: 1141 https://posteitaliane.sharepoint.com/:x:/r/teams/ACCESSIBILITRISULTATIVERIFICHETECNICHE/Shared%20Documents/POSTEITALIANE.IT/LOG/Log.xlsx?d=wf3c65046abcc49009aae265aacd619cd&amp;csf=1&amp;web=1&amp;e=knhQX7_x000d__x000a__x000d__x000a_Link al dettaglio requisito WCAG: NOT FOUND_x000d__x000a_"/>
    <x v="0"/>
    <s v="(#TM0420)"/>
    <x v="31"/>
    <x v="0"/>
    <x v="6"/>
    <x v="7"/>
    <s v="001 - Le voci di elenco (&lt;li&gt;) non sono contenuti negli elementi parent '&lt;ul&gt;', '&lt;ol&gt;' o '&lt;menu&gt;' .-Gli screen reader richiedono che le voci di elenco (''&lt;li&gt;) siano contenute all'interno di un padre '&lt;ul&gt;', '&lt;ol&gt;'  o '&lt;menu&gt;' per essere annunciate correttamente. [Ulteriori informazioni] (https://dequeuniversity.com/rules/axe/4.10/listitem)"/>
    <s v="001 - Assicurati che ogni elemento &lt;li&gt; sia contenuto all'interno di un elemento &lt;ul&gt;, &lt;ol&gt;, o &lt;menu&gt;. Se necessario, aggiungi un elemento genitore attorno ai &lt;li&gt; o correggi eventuali errori di nidificazione nel codice HTML."/>
    <s v="001 - https://axe.deque.com/issues/79b65103-2af7-4c5c-a054-414b18bc7622"/>
  </r>
  <r>
    <s v="S0069.1.4.3"/>
    <s v="POSTE ITALIANE.IT - 9.1.4.3 Contrasto (minimo) - S006 Contratti Trasparenti:: (#TM0161)_x000d__x000a_S006 Contratti Trasparenti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contratti/index.html#/contrattiAnnuali &lt;a role=&quot;link&quot; id=&quot;icon-id08294673251986933&quot; tabindex=&quot;0&quot; lang=&quot;it&quot; aria-haspopup=&quot;dialog&quot; aria-label=&quot;Cookie Preferences, opens a dedicated popup modal window&quot; class=&quot;truste_cursor_pointer&quot;&gt;Preferenze Cookie&lt;/a&gt; con selettore [&quot;#icon-id08294673251986933&quot;]_x000d__x000a__x000d__x000a_Dettaglio + screenshot (accedere con le seguenti credenziali: user, axeposte@gmail.com; password, Poste2024!)_x000d__x000a_001 - https://axe.deque.com/issues/e3987a5e-76c4-410b-b232-9d3d3194d220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18 https://posteitaliane.sharepoint.com/:x:/r/teams/ACCESSIBILITRISULTATIVERIFICHETECNICHE/Shared%20Documents/POSTEITALIANE.IT/LOG/Log.xlsx?d=wf3c65046abcc49009aae265aacd619cd&amp;csf=1&amp;web=1&amp;e=knhQX7_x000d__x000a__x000d__x000a_Link al dettaglio requisito WCAG: NOT FOUND_x000d__x000a_"/>
    <x v="0"/>
    <s v="(#TM0161)"/>
    <x v="32"/>
    <x v="0"/>
    <x v="7"/>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e3987a5e-76c4-410b-b232-9d3d3194d220"/>
  </r>
  <r>
    <s v="S0069.1.1.1"/>
    <s v="POSTE ITALIANE.IT - 9.1.1.1 Contenuti non testuali - S006 Contratti Trasparenti:: (#TM0165)_x000d__x000a_S006 Contratti Trasparenti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contratti/index.html#/contrattiAnnuali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80555288-e6d4-4dcb-9a89-96ccec20b175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7 https://posteitaliane.sharepoint.com/:x:/r/teams/ACCESSIBILITRISULTATIVERIFICHETECNICHE/Shared%20Documents/POSTEITALIANE.IT/LOG/Log.xlsx?d=wf3c65046abcc49009aae265aacd619cd&amp;csf=1&amp;web=1&amp;e=knhQX7_x000d__x000a__x000d__x000a_Link al dettaglio requisito WCAG: NOT FOUND_x000d__x000a_"/>
    <x v="0"/>
    <s v="(#TM0165)"/>
    <x v="33"/>
    <x v="1"/>
    <x v="7"/>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80555288-e6d4-4dcb-9a89-96ccec20b175"/>
  </r>
  <r>
    <s v="S0069.2.4.4"/>
    <s v="POSTE ITALIANE.IT - 9.2.4.4 Scopo del collegamento (nel contesto) - S006 Contratti Trasparenti:: (#TM0168)_x000d__x000a_S006 Contratti Trasparenti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contratti/index.html#/contrattiAnnuali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4e175e3f-41d8-46b4-a34e-8600da112526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15 https://posteitaliane.sharepoint.com/:x:/r/teams/ACCESSIBILITRISULTATIVERIFICHETECNICHE/Shared%20Documents/POSTEITALIANE.IT/LOG/Log.xlsx?d=wf3c65046abcc49009aae265aacd619cd&amp;csf=1&amp;web=1&amp;e=knhQX7_x000d__x000a__x000d__x000a_Link al dettaglio requisito WCAG: NOT FOUND_x000d__x000a_"/>
    <x v="0"/>
    <s v="(#TM0168)"/>
    <x v="34"/>
    <x v="0"/>
    <x v="7"/>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4e175e3f-41d8-46b4-a34e-8600da112526"/>
  </r>
  <r>
    <s v="S0069.2.5.8"/>
    <s v="POSTE ITALIANE.IT - 9.2.5.8 Dimensione dell'obiettivo (minimo) - S006 Contratti Trasparenti:: (#TM0170)_x000d__x000a_S006 Contratti Trasparenti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contratti/index.html#/contrattiAnnuali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655f2c51-af25-43e8-8e0b-db8657e2062f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170)"/>
    <x v="4"/>
    <x v="0"/>
    <x v="7"/>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655f2c51-af25-43e8-8e0b-db8657e2062f"/>
  </r>
  <r>
    <s v="S0069.1.3.1"/>
    <s v="POSTE ITALIANE.IT - 9.1.3.1 Informazioni e correlazioni - S006 Contratti Trasparenti:: (#TM0171)_x000d__x000a_S006 Contratti Trasparenti_x000d__x000a_Requisito WCAG: 1.3.1_x000d__x000a_Disabilità afflitte: Blind;Deafblind_x000d__x000a_Impatto Utente: 2 - Serious_x000d__x000a__x000d__x000a_Descrizione_x000d__x000a_001 - Il testo non deve essere contrassegnato come intestazione-Il testo che non funge da intestazione di sezione viene codificato in modo inappropriato come intestazione. [Ulteriori informazioni] (https://docs.deque.com/issue-help/1.0.0/en/semantic-heading-misused)_x000d__x000a__x000d__x000a_Esempio di violazione individuata sull'oggetto:_x000d__x000a_001 - https://www.posteitaliane.it/it/contratti/index.html#/contrattiAnnuali &lt;h5 ng-class=&quot;{ 'pull-xs-right text-right': !$root.removeTitleClass }&quot; ng-show=&quot;$root.lastUpdate&quot;&gt; _x000a__x0009__x0009__x0009__x0009_&lt;i class=&quot;ng-binding&quot;&gt; (Dati aggiornati al 31/10/24) &lt;/i&gt;_x000a__x0009__x0009__x0009_&lt;/h5&gt; con selettore [&quot;body &gt; main:nth-of-type(1) &gt; div.content.content-main.nobracket.noanchor:nth-of-type(2) &gt; div.container:nth-of-type(1) &gt; div.row:nth-of-type(1) &gt; div#accessibility-anchor.col-md-12:nth-of-type(1) &gt; div.row:nth-of-type(1) &gt; div.col-md-12.col-structure:nth-of-type(1) &gt; div#main:nth-of-type(1) &gt; ng-app.ng-scope:nth-of-type(1) &gt; div.main-pills-group.tab-content:nth-of-type(3) &gt; div.ng-scope:nth-of-type(1) &gt; div.main-pills.tab-pane.active.ng-scope:nth-of-type(1) &gt; div.main-pills-wrap:nth-of-type(1) &gt; fieldset#yearContracts.ng-scope:nth-of-type(1) &gt; div.row:nth-of-type(1) &gt; div.col-sm-12:nth-of-type(1) &gt; h5:nth-of-type(1)&quot;]_x000d__x000a__x000d__x000a_Dettaglio + screenshot (accedere con le seguenti credenziali: user, axeposte@gmail.com; password, Poste2024!)_x000d__x000a_001 - https://axe.deque.com/issues/2e83c3f4-630f-41bd-909c-9c442e1baa12_x000d__x000a__x000d__x000a_Possibile Metodologia Risolutiva:_x000d__x000a_001 - Usa le intestazioni (&lt;h1&gt; - &lt;h6&gt;) per strutturare il contenuto e non solo per modificare l’aspetto. Questo aiuta gli utenti di screen reader a navigare meglio nella pagina._x000d__x000a__x000d__x000a_Occorrenze rilevate: 20 https://posteitaliane.sharepoint.com/:x:/r/teams/ACCESSIBILITRISULTATIVERIFICHETECNICHE/Shared%20Documents/POSTEITALIANE.IT/LOG/Log.xlsx?d=wf3c65046abcc49009aae265aacd619cd&amp;csf=1&amp;web=1&amp;e=knhQX7_x000d__x000a__x000d__x000a_Link al dettaglio requisito WCAG: NOT FOUND_x000d__x000a_"/>
    <x v="0"/>
    <s v="(#TM0171)"/>
    <x v="35"/>
    <x v="0"/>
    <x v="7"/>
    <x v="7"/>
    <s v="001 - Il testo non deve essere contrassegnato come intestazione-Il testo che non funge da intestazione di sezione viene codificato in modo inappropriato come intestazione. [Ulteriori informazioni] (https://docs.deque.com/issue-help/1.0.0/en/semantic-heading-misused)"/>
    <s v="001 - Usa le intestazioni (&lt;h1&gt; - &lt;h6&gt;) per strutturare il contenuto e non solo per modificare l’aspetto. Questo aiuta gli utenti di screen reader a navigare meglio nella pagina."/>
    <s v="001 - https://axe.deque.com/issues/2e83c3f4-630f-41bd-909c-9c442e1baa12"/>
  </r>
  <r>
    <s v="S0139.1.4.3"/>
    <s v="POSTE ITALIANE.IT - 9.1.4.3 Contrasto (minimo) - S013 Debito e rating:: (#TM0175)_x000d__x000a_S013 Debito e rating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debito-e-rating.html &lt;a role=&quot;link&quot; id=&quot;icon-id047105056456306693&quot; tabindex=&quot;0&quot; lang=&quot;it&quot; aria-haspopup=&quot;dialog&quot; aria-label=&quot;Cookie Preferences, opens a dedicated popup modal window&quot; class=&quot;truste_cursor_pointer&quot;&gt;Preferenze Cookie&lt;/a&gt; con selettore [&quot;#icon-id047105056456306693&quot;]_x000d__x000a__x000d__x000a_Dettaglio + screenshot (accedere con le seguenti credenziali: user, axeposte@gmail.com; password, Poste2024!)_x000d__x000a_001 - https://axe.deque.com/issues/d3b4912f-9185-4918-ae69-e01551354981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8 https://posteitaliane.sharepoint.com/:x:/r/teams/ACCESSIBILITRISULTATIVERIFICHETECNICHE/Shared%20Documents/POSTEITALIANE.IT/LOG/Log.xlsx?d=wf3c65046abcc49009aae265aacd619cd&amp;csf=1&amp;web=1&amp;e=knhQX7_x000d__x000a__x000d__x000a_Link al dettaglio requisito WCAG: NOT FOUND_x000d__x000a_"/>
    <x v="0"/>
    <s v="(#TM0175)"/>
    <x v="36"/>
    <x v="0"/>
    <x v="8"/>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d3b4912f-9185-4918-ae69-e01551354981"/>
  </r>
  <r>
    <s v="S0139.1.1.1"/>
    <s v="POSTE ITALIANE.IT - 9.1.1.1 Contenuti non testuali - S013 Debito e rating:: (#TM0179)_x000d__x000a_S013 Debito e rating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debito-e-rating.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1dc7edc7-e4a2-4f88-892a-fcd482fc87e5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7 https://posteitaliane.sharepoint.com/:x:/r/teams/ACCESSIBILITRISULTATIVERIFICHETECNICHE/Shared%20Documents/POSTEITALIANE.IT/LOG/Log.xlsx?d=wf3c65046abcc49009aae265aacd619cd&amp;csf=1&amp;web=1&amp;e=knhQX7_x000d__x000a__x000d__x000a_Link al dettaglio requisito WCAG: NOT FOUND_x000d__x000a_"/>
    <x v="0"/>
    <s v="(#TM0179)"/>
    <x v="37"/>
    <x v="1"/>
    <x v="8"/>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1dc7edc7-e4a2-4f88-892a-fcd482fc87e5"/>
  </r>
  <r>
    <s v="S0139.2.4.4"/>
    <s v="POSTE ITALIANE.IT - 9.2.4.4 Scopo del collegamento (nel contesto) - S013 Debito e rating:: (#TM0182)_x000d__x000a_S013 Debito e rating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debito-e-rating.html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366d5b96-71f2-4ee7-94ce-598998044ae4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7 https://posteitaliane.sharepoint.com/:x:/r/teams/ACCESSIBILITRISULTATIVERIFICHETECNICHE/Shared%20Documents/POSTEITALIANE.IT/LOG/Log.xlsx?d=wf3c65046abcc49009aae265aacd619cd&amp;csf=1&amp;web=1&amp;e=knhQX7_x000d__x000a__x000d__x000a_Link al dettaglio requisito WCAG: NOT FOUND_x000d__x000a_"/>
    <x v="0"/>
    <s v="(#TM0182)"/>
    <x v="38"/>
    <x v="0"/>
    <x v="8"/>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366d5b96-71f2-4ee7-94ce-598998044ae4"/>
  </r>
  <r>
    <s v="S0139.2.5.8"/>
    <s v="POSTE ITALIANE.IT - 9.2.5.8 Dimensione dell'obiettivo (minimo) - S013 Debito e rating:: (#TM0184)_x000d__x000a_S013 Debito e rating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debito-e-rating.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906b4d4b-b10e-47cb-8db3-9784636ca5ce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184)"/>
    <x v="4"/>
    <x v="0"/>
    <x v="8"/>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906b4d4b-b10e-47cb-8db3-9784636ca5ce"/>
  </r>
  <r>
    <s v="S0139.1.3.1"/>
    <s v="POSTE ITALIANE.IT - 9.1.3.1 Informazioni e correlazioni - S013 Debito e rating:: (#TM0187)_x000d__x000a_S013 Debito e rating_x000d__x000a_Requisito WCAG: 1.3.1_x000d__x000a_Disabilità afflitte: Blind;Deafblind;Mobility_x000d__x000a_Impatto Utente: 1 - Critical_x000d__x000a__x000d__x000a_Descrizione_x000d__x000a_001 - La tabella dati presenta un markup della cella di intestazione mancante o incompleto-La tabella dati presenta un markup della cella di intestazione mancante o incompleto. [Ulteriori informazioni] (https://docs.deque.com/issue-help/1.0.0/en/semantic-data-table-headers)_x000d__x000a__x000d__x000a_Esempio di violazione individuata sull'oggetto:_x000d__x000a_001 - https://www.posteitaliane.it/it/debito-e-rating.html &lt;td nowrap=&quot;nowrap&quot; style=&quot;width: 89px; height: 20px; text-align: center;&quot;&gt;&lt;strong&gt;Action&lt;/strong&gt;&lt;/td&gt; con selettore [&quot;body &gt; main:nth-of-type(1) &gt; div.content.content-main.nobracket.noanchor:nth-of-type(2) &gt; div.container:nth-of-type(1) &gt; div.row:nth-of-type(1) &gt; div#accessibility-anchor.col-md-12:nth-of-type(1) &gt; div.row:nth-of-type(1) &gt; div.col-md-12.col-structure:nth-of-type(1) &gt; div#main:nth-of-type(1) &gt; div.main-pills:nth-of-type(4) &gt; div#rating.main-pills-wrap:nth-of-type(1) &gt; div#\\31 476484936135-parent.panel-group.panel-group-unique.panel-group-accordion:nth-of-type(1) &gt; div.panel:nth-of-type(2) &gt; div#\\31 476484936135-cronologia_variazioni_ratingoutlook_e_ultime_rating_actions-collapse-1.panel-collapse.collapse.in:nth-of-type(2) &gt; div.panel-body:nth-of-type(1) &gt; table.table.table-bordered:nth-of-type(1) &gt; tbody:nth-of-type(1) &gt; tr:nth-of-type(1) &gt; td:nth-of-type(3)&quot;]_x000d__x000a__x000d__x000a_Dettaglio + screenshot (accedere con le seguenti credenziali: user, axeposte@gmail.com; password, Poste2024!)_x000d__x000a_001 - https://axe.deque.com/issues/d613410d-ca29-450b-a091-74051ad53a5a_x000d__x000a__x000d__x000a_Possibile Metodologia Risolutiva:_x000d__x000a_001 - Utilizza i tag `&lt;th&gt;` per definire le intestazioni delle tabelle e collega ogni cella dati (`&lt;td&gt;`) alle relative intestazioni tramite gli attributi `scope` o `headers`, assicurando una struttura semantica corretta._x000d__x000a__x000d__x000a_Occorrenze rilevate: 16 https://posteitaliane.sharepoint.com/:x:/r/teams/ACCESSIBILITRISULTATIVERIFICHETECNICHE/Shared%20Documents/POSTEITALIANE.IT/LOG/Log.xlsx?d=wf3c65046abcc49009aae265aacd619cd&amp;csf=1&amp;web=1&amp;e=knhQX7_x000d__x000a__x000d__x000a_Link al dettaglio requisito WCAG: NOT FOUND_x000d__x000a_"/>
    <x v="0"/>
    <s v="(#TM0187)"/>
    <x v="39"/>
    <x v="1"/>
    <x v="8"/>
    <x v="7"/>
    <s v="001 - La tabella dati presenta un markup della cella di intestazione mancante o incompleto-La tabella dati presenta un markup della cella di intestazione mancante o incompleto. [Ulteriori informazioni] (https://docs.deque.com/issue-help/1.0.0/en/semantic-data-table-headers)"/>
    <s v="001 - Utilizza i tag `&lt;th&gt;` per definire le intestazioni delle tabelle e collega ogni cella dati (`&lt;td&gt;`) alle relative intestazioni tramite gli attributi `scope` o `headers`, assicurando una struttura semantica corretta."/>
    <s v="001 - https://axe.deque.com/issues/d613410d-ca29-450b-a091-74051ad53a5a"/>
  </r>
  <r>
    <s v="S0049.1.4.3"/>
    <s v="POSTE ITALIANE.IT - 9.1.4.3 Contrasto (minimo) - S004 Governance:: (#TM0191)_x000d__x000a_S004 Governance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governance.html &lt;a role=&quot;link&quot; id=&quot;icon-id07356295374781674&quot; tabindex=&quot;0&quot; lang=&quot;it&quot; aria-haspopup=&quot;dialog&quot; aria-label=&quot;Cookie Preferences, opens a dedicated popup modal window&quot; class=&quot;truste_cursor_pointer&quot;&gt;Preferenze Cookie&lt;/a&gt; con selettore [&quot;#icon-id07356295374781674&quot;]_x000d__x000a__x000d__x000a_Dettaglio + screenshot (accedere con le seguenti credenziali: user, axeposte@gmail.com; password, Poste2024!)_x000d__x000a_001 - https://axe.deque.com/issues/194d2248-e90b-46f8-90cc-382aabef20d9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252 https://posteitaliane.sharepoint.com/:x:/r/teams/ACCESSIBILITRISULTATIVERIFICHETECNICHE/Shared%20Documents/POSTEITALIANE.IT/LOG/Log.xlsx?d=wf3c65046abcc49009aae265aacd619cd&amp;csf=1&amp;web=1&amp;e=knhQX7_x000d__x000a__x000d__x000a_Link al dettaglio requisito WCAG: NOT FOUND_x000d__x000a_"/>
    <x v="0"/>
    <s v="(#TM0191)"/>
    <x v="40"/>
    <x v="0"/>
    <x v="9"/>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194d2248-e90b-46f8-90cc-382aabef20d9"/>
  </r>
  <r>
    <s v="S0049.1.1.1"/>
    <s v="POSTE ITALIANE.IT - 9.1.1.1 Contenuti non testuali - S004 Governance:: (#TM0198)_x000d__x000a_S004 Governance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governance.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3c142ecd-7639-4eb9-b2ad-c1ec68c68bc8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166 https://posteitaliane.sharepoint.com/:x:/r/teams/ACCESSIBILITRISULTATIVERIFICHETECNICHE/Shared%20Documents/POSTEITALIANE.IT/LOG/Log.xlsx?d=wf3c65046abcc49009aae265aacd619cd&amp;csf=1&amp;web=1&amp;e=knhQX7_x000d__x000a__x000d__x000a_Link al dettaglio requisito WCAG: NOT FOUND_x000d__x000a_"/>
    <x v="0"/>
    <s v="(#TM0198)"/>
    <x v="41"/>
    <x v="1"/>
    <x v="9"/>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3c142ecd-7639-4eb9-b2ad-c1ec68c68bc8"/>
  </r>
  <r>
    <s v="S0049.2.4.4"/>
    <s v="POSTE ITALIANE.IT - 9.2.4.4 Scopo del collegamento (nel contesto) - S004 Governance:: (#TM0201)_x000d__x000a_S004 Governance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governance.html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691b73a4-9c21-49d5-9e48-6eaef3775e78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220 https://posteitaliane.sharepoint.com/:x:/r/teams/ACCESSIBILITRISULTATIVERIFICHETECNICHE/Shared%20Documents/POSTEITALIANE.IT/LOG/Log.xlsx?d=wf3c65046abcc49009aae265aacd619cd&amp;csf=1&amp;web=1&amp;e=knhQX7_x000d__x000a__x000d__x000a_Link al dettaglio requisito WCAG: NOT FOUND_x000d__x000a_"/>
    <x v="0"/>
    <s v="(#TM0201)"/>
    <x v="42"/>
    <x v="0"/>
    <x v="9"/>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691b73a4-9c21-49d5-9e48-6eaef3775e78"/>
  </r>
  <r>
    <s v="S0049.2.5.8"/>
    <s v="POSTE ITALIANE.IT - 9.2.5.8 Dimensione dell'obiettivo (minimo) - S004 Governance:: (#TM0203)_x000d__x000a_S004 Governance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governance.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88084a48-a55a-4b3b-861f-3bc3b873523d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203)"/>
    <x v="4"/>
    <x v="0"/>
    <x v="9"/>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88084a48-a55a-4b3b-861f-3bc3b873523d"/>
  </r>
  <r>
    <s v="S0019.4.1.2"/>
    <s v="POSTE ITALIANE.IT - 9.4.1.2 Nome, ruolo, valore - S001 Home:: (#TM0326)_x000d__x000a_S001 Home_x000d__x000a_Requisito WCAG: 4.1.2_x000d__x000a_Disabilità afflitte: Blind;Deafblind;Mobility_x000d__x000a_Impatto Utente: 1 - Critical_x000d__x000a__x000d__x000a_Descrizione_x000d__x000a_001 - Stati/Proprietà: l'elemento ha stati o proprietà mancanti o non corretti-L'elemento presenta stati o proprietà mancanti o non corretti necessari per consentire agli utenti dell'utilità per la lettura dello schermo di interagire o comprendere il contenuto trasmesso dall'elemento. [Ulteriori informazioni] (https://docs.deque.com/issue-help/1.0.0/en/aria-state-property-missing)_x000d__x000a__x000d__x000a_Esempio di violazione individuata sull'oggetto:_x000d__x000a_001 - https://www.posteitaliane.it/it/index.html &lt;button type=&quot;button&quot; data-role=&quot;none&quot; role=&quot;button&quot; tabindex=&quot;0&quot;&gt;5&lt;/button&gt; con selettore [&quot;body#homepage-corporate &gt; div.content.content-post-main.content-white.innerspacer-xs-bottom-20:nth-of-type(7) &gt; div.container:nth-of-type(1) &gt; div.main-pills.main-pills-basic:nth-of-type(1) &gt; div.row:nth-of-type(2) &gt; div.col-sm-12:nth-of-type(1) &gt; div#carosello-comunicati:nth-of-type(1) &gt; div.row.equalize-group.equalize-group-1476569181814.slick-initialized.slick-slider.slick-dotted:nth-of-type(1) &gt; ul.slick-dots:nth-of-type(1) &gt; li#slick-slide04:nth-of-type(5) &gt; button:nth-of-type(1)&quot;]_x000d__x000a__x000d__x000a_Dettaglio + screenshot (accedere con le seguenti credenziali: user, axeposte@gmail.com; password, Poste2024!)_x000d__x000a_001 - https://axe.deque.com/issues/25cf6193-61bd-43d9-81c6-a155bfd8c2ac_x000d__x000a__x000d__x000a_Possibile Metodologia Risolutiva:_x000d__x000a_001 - Per garantire che un componente dell'interfaccia utente in un'interfaccia web abbia gli stati e le proprietà ARIA (Accessible Rich Internet Applications) appropriati, segui questi passaggi:_x000a_- Determina il ruolo del componente: Identifica il ruolo del componente osservando il codice HTML e verificando se ha l'attributo role appropriato. L'attributo role definisce il tipo di componente e il suo comportamento previsto._x000a_- Identifica gli stati e le proprietà richiesti: Consulta la documentazione ARIA per identificare gli &quot;stati e proprietà richiesti&quot; per il componente, in base al suo ruolo. Ad esempio, un componente con il ruolo &quot;option&quot; deve avere un valore per la proprietà aria-selected._x000a_- Applica gli attributi ARIA: Applica al componente gli attributi ARIA appropriati utilizzando HTML. Ad esempio, se un componente &quot;textbox&quot; è in uno stato di errore, puoi aggiungere l'attributo aria-invalid con valore &quot;true&quot;._x000a_- Testa il componente: Testa il componente utilizzando uno screen reader per assicurarti che gli attributi ARIA vengano correttamente comunicati._x000d__x000a__x000d__x000a_Occorrenze rilevate: 71 https://posteitaliane.sharepoint.com/:x:/r/teams/ACCESSIBILITRISULTATIVERIFICHETECNICHE/Shared%20Documents/POSTEITALIANE.IT/LOG/Log.xlsx?d=wf3c65046abcc49009aae265aacd619cd&amp;csf=1&amp;web=1&amp;e=knhQX7_x000d__x000a__x000d__x000a_Link al dettaglio requisito WCAG: NOT FOUND_x000d__x000a_"/>
    <x v="0"/>
    <s v="(#TM0326)"/>
    <x v="43"/>
    <x v="1"/>
    <x v="10"/>
    <x v="3"/>
    <s v="001 - Stati/Proprietà: l'elemento ha stati o proprietà mancanti o non corretti-L'elemento presenta stati o proprietà mancanti o non corretti necessari per consentire agli utenti dell'utilità per la lettura dello schermo di interagire o comprendere il contenuto trasmesso dall'elemento. [Ulteriori informazioni] (https://docs.deque.com/issue-help/1.0.0/en/aria-state-property-missing)"/>
    <s v="001 - Per garantire che un componente dell'interfaccia utente in un'interfaccia web abbia gli stati e le proprietà ARIA (Accessible Rich Internet Applications) appropriati, segui questi passaggi:_x000a_- Determina il ruolo del componente: Identifica il ruolo del componente osservando il codice HTML e verificando se ha l'attributo role appropriato. L'attributo role definisce il tipo di componente e il suo comportamento previsto._x000a_- Identifica gli stati e le proprietà richiesti: Consulta la documentazione ARIA per identificare gli &quot;stati e proprietà richiesti&quot; per il componente, in base al suo ruolo. Ad esempio, un componente con il ruolo &quot;option&quot; deve avere un valore per la proprietà aria-selected._x000a_- Applica gli attributi ARIA: Applica al componente gli attributi ARIA appropriati utilizzando HTML. Ad esempio, se un componente &quot;textbox&quot; è in uno stato di errore, puoi aggiungere l'attributo aria-invalid con valore &quot;true&quot;._x000a_- Testa il componente: Testa il componente utilizzando uno screen reader per assicurarti che gli attributi ARIA vengano correttamente comunicati."/>
    <s v="001 - https://axe.deque.com/issues/25cf6193-61bd-43d9-81c6-a155bfd8c2ac"/>
  </r>
  <r>
    <s v="S0019.1.3.1"/>
    <s v="POSTE ITALIANE.IT - 9.1.3.1 Informazioni e correlazioni - S001 Home:: (#TM0327)_x000d__x000a_S001 Home_x000d__x000a_Requisito WCAG: 1.3.1_x000d__x000a_Disabilità afflitte: Blind;Deafblind_x000d__x000a_Impatto Utente: 1 - Critical_x000d__x000a__x000d__x000a_Descrizione_x000d__x000a_001 - Il contenuto non è una list, ma è contrassegnato come tale-Il contenuto non è una list, ma è contrassegnato come tale. [Ulteriori informazioni] (https://docs.deque.com/issue-help/1.0.0/en/semantic-list-used-for-presentation)_x000d__x000a__x000d__x000a_Esempio di violazione individuata sull'oggetto:_x000d__x000a_001 - https://www.posteitaliane.it/it/index.html &lt;ul class=&quot;submenu-mobile list-inline pull-xs-right pull-md-not spacer-xs-bottom-0&quot; style=&quot;margin-top: 3px;&quot;&gt; con selettore [&quot;body#homepage-corporate &gt; div#navbarHeader.content.content-header-federation-bar.content-header-federation-bar-transparent:nth-of-type(3) &gt; div.content.content-header:nth-of-type(2) &gt; div.container.container-extended:nth-of-type(1) &gt; div.row:nth-of-type(1) &gt; div.col-md-12:nth-of-type(1) &gt; nav.navbar.navbar-default:nth-of-type(1) &gt; div.navbar-header.text-xs-center.hidden-md.hidden-lg:nth-of-type(1) &gt; ul.submenu-mobile.list-inline.pull-xs-right.pull-md-not.spacer-xs-bottom-0:nth-of-type(1)&quot;]_x000d__x000a__x000d__x000a_Dettaglio + screenshot (accedere con le seguenti credenziali: user, axeposte@gmail.com; password, Poste2024!)_x000d__x000a_001 - https://axe.deque.com/issues/1b07eb10-84e4-4d36-ba7f-a1931ace5376_x000d__x000a__x000d__x000a_Possibile Metodologia Risolutiva:_x000d__x000a_001 - Usa elementi di lista come &lt;ul&gt;, &lt;ol&gt;, e &lt;li&gt; solo per contenuti che devono essere presentati in forma di elenco. Assicurati che le liste siano semanticamente corrette per evitare confusione_x000d__x000a__x000d__x000a_Occorrenze rilevate: 134 https://posteitaliane.sharepoint.com/:x:/r/teams/ACCESSIBILITRISULTATIVERIFICHETECNICHE/Shared%20Documents/POSTEITALIANE.IT/LOG/Log.xlsx?d=wf3c65046abcc49009aae265aacd619cd&amp;csf=1&amp;web=1&amp;e=knhQX7_x000d__x000a__x000d__x000a_Link al dettaglio requisito WCAG: NOT FOUND_x000d__x000a_"/>
    <x v="0"/>
    <s v="(#TM0327)"/>
    <x v="44"/>
    <x v="1"/>
    <x v="10"/>
    <x v="7"/>
    <s v="001 - Il contenuto non è una list, ma è contrassegnato come tale-Il contenuto non è una list, ma è contrassegnato come tale. [Ulteriori informazioni] (https://docs.deque.com/issue-help/1.0.0/en/semantic-list-used-for-presentation)"/>
    <s v="001 - Usa elementi di lista come &lt;ul&gt;, &lt;ol&gt;, e &lt;li&gt; solo per contenuti che devono essere presentati in forma di elenco. Assicurati che le liste siano semanticamente corrette per evitare confusione"/>
    <s v="001 - https://axe.deque.com/issues/1b07eb10-84e4-4d36-ba7f-a1931ace5376"/>
  </r>
  <r>
    <s v="S0019.1.4.3"/>
    <s v="POSTE ITALIANE.IT - 9.1.4.3 Contrasto (minimo) - S001 Home:: (#TM0219)_x000d__x000a_S001 Home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index.html &lt;a role=&quot;link&quot; id=&quot;icon-id00509327347087436&quot; tabindex=&quot;0&quot; lang=&quot;it&quot; aria-haspopup=&quot;dialog&quot; aria-label=&quot;Cookie Preferences, opens a dedicated popup modal window&quot; class=&quot;truste_cursor_pointer&quot;&gt;Preferenze Cookie&lt;/a&gt; con selettore [&quot;#icon-id00509327347087436&quot;]_x000d__x000a__x000d__x000a_Dettaglio + screenshot (accedere con le seguenti credenziali: user, axeposte@gmail.com; password, Poste2024!)_x000d__x000a_001 - https://axe.deque.com/issues/638c3ce4-6d58-4534-9def-bc01ca797dda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110 https://posteitaliane.sharepoint.com/:x:/r/teams/ACCESSIBILITRISULTATIVERIFICHETECNICHE/Shared%20Documents/POSTEITALIANE.IT/LOG/Log.xlsx?d=wf3c65046abcc49009aae265aacd619cd&amp;csf=1&amp;web=1&amp;e=knhQX7_x000d__x000a__x000d__x000a_Link al dettaglio requisito WCAG: NOT FOUND_x000d__x000a_"/>
    <x v="0"/>
    <s v="(#TM0219)"/>
    <x v="45"/>
    <x v="0"/>
    <x v="10"/>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638c3ce4-6d58-4534-9def-bc01ca797dda"/>
  </r>
  <r>
    <s v="S0019.1.1.1"/>
    <s v="POSTE ITALIANE.IT - 9.1.1.1 Contenuti non testuali - S001 Home:: (#TM0337)_x000d__x000a_S001 Home_x000d__x000a_Requisito WCAG: 1.1.1_x000d__x000a_Disabilità afflitte: Blind;Deafblind;Low Vision_x000d__x000a_Impatto Utente: 1 - Critical_x000d__x000a__x000d__x000a_Descrizione_x000d__x000a_001 - Manca l'alternativa testuale-Manca l'alternativa testuale. [Ulteriori informazioni] (https://docs.deque.com/issue-help/1.0.0/en/alt-text-missing)_x000d__x000a__x000d__x000a_Esempio di violazione individuata sull'oggetto:_x000d__x000a_001 - https://www.posteitaliane.it/it/index.html &lt;span&gt;&amp;nbsp;&lt;/span&gt; con selettore [&quot;body#homepage-corporate &gt; div.content.content-post-main.content-white.innerspacer-xs-bottom-20:nth-of-type(7) &gt; div.container:nth-of-type(1) &gt; div.main-pills.main-pills-basic:nth-of-type(1) &gt; div.row:nth-of-type(2) &gt; div.col-sm-12:nth-of-type(1) &gt; div#carosello-comunicati:nth-of-type(1) &gt; div.row.equalize-group.equalize-group-1476569181814.slick-initialized.slick-slider.slick-dotted:nth-of-type(1) &gt; div.slick-list.draggable:nth-of-type(1) &gt; div.slick-track:nth-of-type(1) &gt; div.slick-elem.col-xs-12.col-lg-3.col-md-4.slick-slide.slick-current.slick-active:nth-of-type(9) &gt; div.panel.panel-cards.panel-cards-news:nth-of-type(1) &gt; div.panel-wrap:nth-of-type(1) &gt; div.panel-link.panel-link-pos1:nth-of-type(3) &gt; a.btn-card:nth-of-type(1) &gt; span:nth-of-type(1)&quot;]_x000d__x000a__x000d__x000a_Dettaglio + screenshot (accedere con le seguenti credenziali: user, axeposte@gmail.com; password, Poste2024!)_x000d__x000a_001 - https://axe.deque.com/issues/03cc77ac-29a8-478d-b95d-83bed90ed771_x000d__x000a__x000d__x000a_Possibile Metodologia Risolutiva:_x000d__x000a_001 - Aggiungi un attributo alt descrittivo per ogni immagine utilizzando il codice HTML o l'editor del tuo CMS._x000d__x000a__x000d__x000a_Occorrenze rilevate: 93 https://posteitaliane.sharepoint.com/:x:/r/teams/ACCESSIBILITRISULTATIVERIFICHETECNICHE/Shared%20Documents/POSTEITALIANE.IT/LOG/Log.xlsx?d=wf3c65046abcc49009aae265aacd619cd&amp;csf=1&amp;web=1&amp;e=knhQX7_x000d__x000a__x000d__x000a_Link al dettaglio requisito WCAG: NOT FOUND_x000d__x000a_"/>
    <x v="0"/>
    <s v="(#TM0337)"/>
    <x v="46"/>
    <x v="1"/>
    <x v="10"/>
    <x v="1"/>
    <s v="001 - Manca l'alternativa testuale-Manca l'alternativa testuale. [Ulteriori informazioni] (https://docs.deque.com/issue-help/1.0.0/en/alt-text-missing)"/>
    <s v="001 - Aggiungi un attributo alt descrittivo per ogni immagine utilizzando il codice HTML o l'editor del tuo CMS."/>
    <s v="001 - https://axe.deque.com/issues/03cc77ac-29a8-478d-b95d-83bed90ed771"/>
  </r>
  <r>
    <s v="S0019.1.4.1"/>
    <s v="POSTE ITALIANE.IT - 9.1.4.1 Uso del colore - S001 Home:: (#TM0228)_x000d__x000a_S001 Home_x000d__x000a_Requisito WCAG: 1.4.1_x000d__x000a_Disabilità afflitte: Colorblindness;Low Vision_x000d__x000a_Impatto Utente: 2 - Serious_x000d__x000a__x000d__x000a_Descrizione_x000d__x000a_001 - I link si basano sul colore per essere distinguibili.-Il testo a basso contrasto è difficile o impossibile da leggere per molti utenti. Il testo del collegamento che è distinguibile migliora l'esperienza per gli utenti ipovedenti. [Ulteriori informazioni] (https://dequeuniversity.com/rules/axe/4.10/link-in-text-block)_x000d__x000a__x000d__x000a_Esempio di violazione individuata sull'oggetto:_x000d__x000a_001 - https://www.posteitaliane.it/it/index.html &lt;a href=&quot;https://www.posteitaliane.it/it/comunicati/posteitalianelap-1476630039928.html&quot; class=&quot;underline-link&quot; tabindex=&quot;0&quot;&gt;(...)&lt;/a&gt; con selettore [&quot;div[aria-describedby=\&quot;slick-slide01\&quot;] &gt; .panel-cards-news.panel.panel-cards &gt; .panel-wrap &gt; .panel-body &gt; p &gt; .underline-link&quot;]_x000d__x000a__x000d__x000a_Dettaglio + screenshot (accedere con le seguenti credenziali: user, axeposte@gmail.com; password, Poste2024!)_x000d__x000a_001 - https://axe.deque.com/issues/c6d2209d-08ba-462a-b2eb-85b55601c693_x000d__x000a__x000d__x000a_Possibile Metodologia Risolutiva:_x000d__x000a_001 - Non usare solo il colore per distinguere i link; aggiungi sottolineature o icone che rendano evidente quali parti del testo sono interattive. Questo aiuta gli utenti con daltonismo a identificare i link._x000d__x000a__x000d__x000a_Occorrenze rilevate: 5 https://posteitaliane.sharepoint.com/:x:/r/teams/ACCESSIBILITRISULTATIVERIFICHETECNICHE/Shared%20Documents/POSTEITALIANE.IT/LOG/Log.xlsx?d=wf3c65046abcc49009aae265aacd619cd&amp;csf=1&amp;web=1&amp;e=knhQX7_x000d__x000a__x000d__x000a_Link al dettaglio requisito WCAG: NOT FOUND_x000d__x000a_"/>
    <x v="0"/>
    <s v="(#TM0228)"/>
    <x v="47"/>
    <x v="0"/>
    <x v="10"/>
    <x v="9"/>
    <s v="001 - I link si basano sul colore per essere distinguibili.-Il testo a basso contrasto è difficile o impossibile da leggere per molti utenti. Il testo del collegamento che è distinguibile migliora l'esperienza per gli utenti ipovedenti. [Ulteriori informazioni] (https://dequeuniversity.com/rules/axe/4.10/link-in-text-block)"/>
    <s v="001 - Non usare solo il colore per distinguere i link; aggiungi sottolineature o icone che rendano evidente quali parti del testo sono interattive. Questo aiuta gli utenti con daltonismo a identificare i link."/>
    <s v="001 - https://axe.deque.com/issues/c6d2209d-08ba-462a-b2eb-85b55601c693"/>
  </r>
  <r>
    <s v="S0019.2.4.4"/>
    <s v="POSTE ITALIANE.IT - 9.2.4.4 Scopo del collegamento (nel contesto) - S001 Home:: (#TM0233)_x000d__x000a_S001 Home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index.html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cebb0cd8-23d0-470b-94e5-580382702310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108 https://posteitaliane.sharepoint.com/:x:/r/teams/ACCESSIBILITRISULTATIVERIFICHETECNICHE/Shared%20Documents/POSTEITALIANE.IT/LOG/Log.xlsx?d=wf3c65046abcc49009aae265aacd619cd&amp;csf=1&amp;web=1&amp;e=knhQX7_x000d__x000a__x000d__x000a_Link al dettaglio requisito WCAG: NOT FOUND_x000d__x000a_"/>
    <x v="0"/>
    <s v="(#TM0233)"/>
    <x v="48"/>
    <x v="0"/>
    <x v="10"/>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cebb0cd8-23d0-470b-94e5-580382702310"/>
  </r>
  <r>
    <s v="S0019.2.5.8"/>
    <s v="POSTE ITALIANE.IT - 9.2.5.8 Dimensione dell'obiettivo (minimo) - S001 Home:: (#TM0241)_x000d__x000a_S001 Home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index.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64695e0c-3e2e-4d46-abb8-adec039c9246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TM0241)"/>
    <x v="4"/>
    <x v="0"/>
    <x v="10"/>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64695e0c-3e2e-4d46-abb8-adec039c9246"/>
  </r>
  <r>
    <s v="S0019.2.1.1"/>
    <s v="POSTE ITALIANE.IT - 9.2.1.1 Tastiera - S001 Home:: (#TM0312)_x000d__x000a_S001 Home_x000d__x000a_Requisito WCAG: 2.1.1_x000d__x000a_Disabilità afflitte: Blind;Deafblind;Mobility_x000d__x000a_Impatto Utente: 1 - Critical_x000d__x000a__x000d__x000a_Descrizione_x000d__x000a_001 - La funzione non può essere eseguita dalla sola tastiera-Non è possibile eseguire la funzione utilizzando solo la tastiera sulla stessa schermata o su una versione alternativa conforme qualificata. [Ulteriori informazioni] (https://docs.deque.com/issue-help/1.0.0/en/keyboard-inaccessible)_x000d__x000a__x000d__x000a_Esempio di violazione individuata sull'oggetto:_x000d__x000a_001 - https://www.posteitaliane.it/it/index.html  con selettore [&quot;body#homepage-corporate &gt; div.content.content-footer.content-footer-post:nth-of-type(14) &gt; div.container:nth-of-type(1) &gt; div.row:nth-of-type(1) &gt; div.col-md-12:nth-of-type(1) &gt; a.btn.btn-primary.btn-cta.back-to-top:nth-of-type(1)&quot;]_x000d__x000a__x000d__x000a_Dettaglio + screenshot (accedere con le seguenti credenziali: user, axeposte@gmail.com; password, Poste2024!)_x000d__x000a_001 - https://axe.deque.com/issues/9ab3badb-147b-431d-8122-1891d628227b_x000d__x000a__x000d__x000a_Possibile Metodologia Risolutiva:_x000d__x000a_001 -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_x000d__x000a__x000d__x000a_Occorrenze rilevate: 71 https://posteitaliane.sharepoint.com/:x:/r/teams/ACCESSIBILITRISULTATIVERIFICHETECNICHE/Shared%20Documents/POSTEITALIANE.IT/LOG/Log.xlsx?d=wf3c65046abcc49009aae265aacd619cd&amp;csf=1&amp;web=1&amp;e=knhQX7_x000d__x000a__x000d__x000a_Link al dettaglio requisito WCAG: NOT FOUND_x000d__x000a_"/>
    <x v="0"/>
    <s v="(#TM0312)"/>
    <x v="49"/>
    <x v="1"/>
    <x v="10"/>
    <x v="5"/>
    <s v="001 - La funzione non può essere eseguita dalla sola tastiera-Non è possibile eseguire la funzione utilizzando solo la tastiera sulla stessa schermata o su una versione alternativa conforme qualificata. [Ulteriori informazioni] (https://docs.deque.com/issue-help/1.0.0/en/keyboard-inaccessible)"/>
    <s v="001 -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
    <s v="001 - https://axe.deque.com/issues/9ab3badb-147b-431d-8122-1891d628227b"/>
  </r>
  <r>
    <s v="S0019.1.3.2"/>
    <s v="POSTE ITALIANE.IT - 9.1.3.2 Sequenza significativa - S001 Home:: (#TM0328)_x000d__x000a_S001 Home_x000d__x000a_Requisito WCAG: 1.3.2_x000d__x000a_Disabilità afflitte: Blind;Deafblind;Mobility_x000d__x000a_Impatto Utente: 1 - Critical_x000d__x000a__x000d__x000a_Descrizione_x000d__x000a_001 - aria-hidden=&quot;true&quot; è usato in modo errato-aria-hidden=&quot;true&quot; viene utilizzato per i contenuti informativi, rendendoli inaccessibili alle tecnologie assistive. [Ulteriori informazioni] (https://docs.deque.com/issue-help/1.0.0/en/semantic-hidden)_x000d__x000a__x000d__x000a_Esempio di violazione individuata sull'oggetto:_x000d__x000a_001 - https://www.posteitaliane.it/it/index.html &lt;span&gt;&amp;nbsp;&lt;/span&gt; con selettore [&quot;body#homepage-corporate &gt; div.content.content-post-main.content-white.innerspacer-xs-bottom-20:nth-of-type(7) &gt; div.container:nth-of-type(1) &gt; div.main-pills.main-pills-basic:nth-of-type(1) &gt; div.row:nth-of-type(2) &gt; div.col-sm-12:nth-of-type(1) &gt; div#carosello-comunicati:nth-of-type(1) &gt; div.row.equalize-group.equalize-group-1476569181814.slick-initialized.slick-slider.slick-dotted:nth-of-type(1) &gt; div.slick-list.draggable:nth-of-type(1) &gt; div.slick-track:nth-of-type(1) &gt; div.slick-elem.col-xs-12.col-lg-3.col-md-4.slick-slide:nth-of-type(3) &gt; div.panel.panel-cards.panel-cards-news:nth-of-type(1) &gt; div.panel-wrap:nth-of-type(1) &gt; div.panel-link.panel-link-pos1:nth-of-type(3) &gt; a.btn-card:nth-of-type(1) &gt; span:nth-of-type(1)&quot;]_x000d__x000a__x000d__x000a_Dettaglio + screenshot (accedere con le seguenti credenziali: user, axeposte@gmail.com; password, Poste2024!)_x000d__x000a_001 - https://axe.deque.com/issues/375ec5c6-22d8-4450-8f6d-f125cb9b4c1d_x000d__x000a__x000d__x000a_Possibile Metodologia Risolutiva:_x000d__x000a_001 - 0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328)"/>
    <x v="50"/>
    <x v="1"/>
    <x v="10"/>
    <x v="10"/>
    <s v="001 - aria-hidden=&quot;true&quot; è usato in modo errato-aria-hidden=&quot;true&quot; viene utilizzato per i contenuti informativi, rendendoli inaccessibili alle tecnologie assistive. [Ulteriori informazioni] (https://docs.deque.com/issue-help/1.0.0/en/semantic-hidden)"/>
    <s v="001 - 0"/>
    <s v="001 - https://axe.deque.com/issues/375ec5c6-22d8-4450-8f6d-f125cb9b4c1d"/>
  </r>
  <r>
    <s v="S0019.1.4.5"/>
    <s v="POSTE ITALIANE.IT - 9.1.4.5 Immagini di testo - S001 Home:: (#TM0333)_x000d__x000a_S001 Home_x000d__x000a_Requisito WCAG: 1.4.5_x000d__x000a_Disabilità afflitte: Blind;Deafblind;Low Vision_x000d__x000a_Impatto Utente: 2 - Serious_x000d__x000a__x000d__x000a_Descrizione_x000d__x000a_001 - L'immagine del testo viene utilizzata al posto del testo reale-L'immagine contiene testo incorporato. [Ulteriori informazioni] (https://docs.deque.com/issue-help/1.0.0/en/image-of-text)_x000d__x000a__x000d__x000a_Esempio di violazione individuata sull'oggetto:_x000d__x000a_001 - https://www.posteitaliane.it/it/index.html &lt;div data-wtac-container=&quot;1476627114225-1476624838280&quot; data-wtad=&quot;true&quot; class=&quot;item active&quot; style=&quot;background-image:url(https://www.posteitaliane.it/img/1476624838280/A2-FavaroVeneto-ViaMonteCelo.jpg); &quot;&gt; con selettore [&quot;body#homepage-corporate &gt; div.content.content-hero:nth-of-type(11) &gt; div.container-fluid.innerspacer-xs-0:nth-of-type(1) &gt; div.row.spacer-xs-0:nth-of-type(1) &gt; div.col-md-12.innerspacer-xs-0:nth-of-type(1) &gt; div#carousel-hero-1473807803535.carousel.carousel-a2.slide:nth-of-type(1) &gt; div.carousel-inner:nth-of-type(1) &gt; div.item.active:nth-of-type(1)&quot;]_x000d__x000a__x000d__x000a_Dettaglio + screenshot (accedere con le seguenti credenziali: user, axeposte@gmail.com; password, Poste2024!)_x000d__x000a_001 - https://axe.deque.com/issues/9d8a1903-f338-409c-ad8a-3f3c1d4a5b1b_x000d__x000a__x000d__x000a_Possibile Metodologia Risolutiva:_x000d__x000a_001 - Sostituire le immagini di testo con testo reale, utilizzando HTML per il contenuto e CSS per la personalizzazione visiva.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TM0333)"/>
    <x v="51"/>
    <x v="0"/>
    <x v="10"/>
    <x v="8"/>
    <s v="001 - L'immagine del testo viene utilizzata al posto del testo reale-L'immagine contiene testo incorporato. [Ulteriori informazioni] (https://docs.deque.com/issue-help/1.0.0/en/image-of-text)"/>
    <s v="001 - Sostituire le immagini di testo con testo reale, utilizzando HTML per il contenuto e CSS per la personalizzazione visiva."/>
    <s v="001 - https://axe.deque.com/issues/9d8a1903-f338-409c-ad8a-3f3c1d4a5b1b"/>
  </r>
  <r>
    <s v="S0079.1.4.3"/>
    <s v="POSTE ITALIANE.IT - 9.1.4.3 Contrasto (minimo) - S007 Sostenibilità:: (#TM0469)_x000d__x000a_S007 Sostenibilità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sostenibilita.html &lt;a role=&quot;link&quot; id=&quot;icon-id07599284290034232&quot; tabindex=&quot;0&quot; lang=&quot;it&quot; aria-haspopup=&quot;dialog&quot; aria-label=&quot;Cookie Preferences, opens a dedicated popup modal window&quot; class=&quot;truste_cursor_pointer&quot;&gt;Preferenze Cookie&lt;/a&gt; con selettore [&quot;#icon-id07599284290034232&quot;]_x000d__x000a__x000d__x000a_Dettaglio + screenshot (accedere con le seguenti credenziali: user, axeposte@gmail.com; password, Poste2024!)_x000d__x000a_001 - https://axe.deque.com/issues/60673ddb-02a1-4f5d-ad60-fda9b3445fcd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508 https://posteitaliane.sharepoint.com/:x:/r/teams/ACCESSIBILITRISULTATIVERIFICHETECNICHE/Shared%20Documents/POSTEITALIANE.IT/LOG/Log.xlsx?d=wf3c65046abcc49009aae265aacd619cd&amp;csf=1&amp;web=1&amp;e=knhQX7_x000d__x000a__x000d__x000a_Link al dettaglio requisito WCAG: NOT FOUND_x000d__x000a_"/>
    <x v="0"/>
    <s v="(#TM0469)"/>
    <x v="52"/>
    <x v="0"/>
    <x v="11"/>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60673ddb-02a1-4f5d-ad60-fda9b3445fcd"/>
  </r>
  <r>
    <s v="S0079.1.1.1"/>
    <s v="POSTE ITALIANE.IT - 9.1.1.1 Contenuti non testuali - S007 Sostenibilità:: (#TM0476)_x000d__x000a_S007 Sostenibilità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sostenibilita.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a868923e-7acf-4fcf-8244-69db88ebb9bf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367 https://posteitaliane.sharepoint.com/:x:/r/teams/ACCESSIBILITRISULTATIVERIFICHETECNICHE/Shared%20Documents/POSTEITALIANE.IT/LOG/Log.xlsx?d=wf3c65046abcc49009aae265aacd619cd&amp;csf=1&amp;web=1&amp;e=knhQX7_x000d__x000a__x000d__x000a_Link al dettaglio requisito WCAG: NOT FOUND_x000d__x000a_"/>
    <x v="0"/>
    <s v="(#TM0476)"/>
    <x v="53"/>
    <x v="1"/>
    <x v="11"/>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a868923e-7acf-4fcf-8244-69db88ebb9bf"/>
  </r>
  <r>
    <s v="S0079.1.4.1"/>
    <s v="POSTE ITALIANE.IT - 9.1.4.1 Uso del colore - S007 Sostenibilità:: (#TM0351)_x000d__x000a_S007 Sostenibilità_x000d__x000a_Requisito WCAG: 1.4.1_x000d__x000a_Disabilità afflitte: Colorblindness;Low Vision_x000d__x000a_Impatto Utente: 2 - Serious_x000d__x000a__x000d__x000a_Descrizione_x000d__x000a_001 - I link si basano sul colore per essere distinguibili.-Il testo a basso contrasto è difficile o impossibile da leggere per molti utenti. Il testo del collegamento che è distinguibile migliora l'esperienza per gli utenti ipovedenti. [Ulteriori informazioni] (https://dequeuniversity.com/rules/axe/4.10/link-in-text-block)_x000d__x000a__x000d__x000a_Esempio di violazione individuata sull'oggetto:_x000d__x000a_001 - https://www.posteitaliane.it/it/integrita-trasparenza.html &lt;a href=&quot;https://tgposte.poste.it/2024/03/15/sicurezza-formazione-poste-cybercrime&quot;&gt;iniziative&lt;/a&gt; con selettore [&quot;.col-md-12:nth-child(2) &gt; a:nth-child(7)&quot;]_x000d__x000a__x000d__x000a_Dettaglio + screenshot (accedere con le seguenti credenziali: user, axeposte@gmail.com; password, Poste2024!)_x000d__x000a_001 - https://axe.deque.com/issues/00ca2231-ba0f-447c-a3a6-bcfabf842d7b_x000d__x000a__x000d__x000a_Possibile Metodologia Risolutiva:_x000d__x000a_001 - Non usare solo il colore per distinguere i link; aggiungi sottolineature o icone che rendano evidente quali parti del testo sono interattive. Questo aiuta gli utenti con daltonismo a identificare i link.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TM0351)"/>
    <x v="54"/>
    <x v="0"/>
    <x v="11"/>
    <x v="9"/>
    <s v="001 - I link si basano sul colore per essere distinguibili.-Il testo a basso contrasto è difficile o impossibile da leggere per molti utenti. Il testo del collegamento che è distinguibile migliora l'esperienza per gli utenti ipovedenti. [Ulteriori informazioni] (https://dequeuniversity.com/rules/axe/4.10/link-in-text-block)"/>
    <s v="001 - Non usare solo il colore per distinguere i link; aggiungi sottolineature o icone che rendano evidente quali parti del testo sono interattive. Questo aiuta gli utenti con daltonismo a identificare i link."/>
    <s v="001 - https://axe.deque.com/issues/00ca2231-ba0f-447c-a3a6-bcfabf842d7b"/>
  </r>
  <r>
    <s v="S0079.2.4.4"/>
    <s v="POSTE ITALIANE.IT - 9.2.4.4 Scopo del collegamento (nel contesto) - S007 Sostenibilità:: (#TM0480)_x000d__x000a_S007 Sostenibilità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sostenibilita.html &lt;a href=&quot;#&quot; class=&quot;btn btn-primary btn-cta back-to-top&quot; style=&quot;display: inline; opacity: 0.601394;&quot;&gt; &lt;span class=&quot;hide&quot;&gt;vai a inizio pagina&lt;/span&gt;_x000a__x0009__x0009__x0009__x0009__x0009_&lt;/a&gt; con selettore [&quot;.back-to-top&quot;]_x000d__x000a__x000d__x000a_Dettaglio + screenshot (accedere con le seguenti credenziali: user, axeposte@gmail.com; password, Poste2024!)_x000d__x000a_001 - https://axe.deque.com/issues/34bc7724-10e4-44f5-8fb7-5c4e51a582e4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364 https://posteitaliane.sharepoint.com/:x:/r/teams/ACCESSIBILITRISULTATIVERIFICHETECNICHE/Shared%20Documents/POSTEITALIANE.IT/LOG/Log.xlsx?d=wf3c65046abcc49009aae265aacd619cd&amp;csf=1&amp;web=1&amp;e=knhQX7_x000d__x000a__x000d__x000a_Link al dettaglio requisito WCAG: NOT FOUND_x000d__x000a_"/>
    <x v="0"/>
    <s v="(#TM0480)"/>
    <x v="55"/>
    <x v="0"/>
    <x v="11"/>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34bc7724-10e4-44f5-8fb7-5c4e51a582e4"/>
  </r>
  <r>
    <s v="S0079.2.5.8"/>
    <s v="POSTE ITALIANE.IT - 9.2.5.8 Dimensione dell'obiettivo (minimo) - S007 Sostenibilità:: (#TM0482)_x000d__x000a_S007 Sostenibilità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sostenibilita.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978df839-a0b2-4779-830d-636e1dee3752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TM0482)"/>
    <x v="4"/>
    <x v="0"/>
    <x v="11"/>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978df839-a0b2-4779-830d-636e1dee3752"/>
  </r>
  <r>
    <s v="S0039.4.1.2"/>
    <s v="POSTE ITALIANE.IT - 9.4.1.2 Nome, ruolo, valore - S003 Investitori:: (#TM0367)_x000d__x000a_S003 Investitori_x000d__x000a_Requisito WCAG: 4.1.2_x000d__x000a_Disabilità afflitte: Blind;Deafblind;Mobility_x000d__x000a_Impatto Utente: 2 - Serious_x000d__x000a__x000d__x000a_Descrizione_x000d__x000a_001 - Gli elementi '&lt;frame&gt;' o '&lt;iframe&gt;' non hanno un titolo-Gli utenti di screen reader si affidano ai titoli dei frame per descrivere il contenuto dei frame. [Ulteriori informazioni] (https://web.dev/frame-title/)_x000d__x000a__x000d__x000a_Esempio di violazione individuata sull'oggetto:_x000d__x000a_001 - https://www.posteitaliane.it/it/investitori.html &lt;iframe width=&quot;100%&quot; height=&quot;360.0&quot; frameborder=&quot;0&quot; src=&quot;https://syndication.teleborsa.it/posteitaliane/2017/IT/plus.html&quot; scrolling=&quot;no&quot; allowtransparency=&quot;true&quot;&gt;&lt;/iframe&gt; con selettore [&quot;iframe&quot;]_x000d__x000a__x000d__x000a_Dettaglio + screenshot (accedere con le seguenti credenziali: user, axeposte@gmail.com; password, Poste2024!)_x000d__x000a_001 - https://axe.deque.com/issues/13dd6a78-e056-4884-be27-11e467930f67_x000d__x000a__x000d__x000a_Possibile Metodologia Risolutiva:_x000d__x000a_001 - Assegna titoli descrittivi agli elementi &lt;frame&gt; e &lt;iframe&gt; per consentire agli utenti di capire il contenuto all'interno del frame e facilitare la navigazione._x000d__x000a__x000d__x000a_Occorrenze rilevate: 6 https://posteitaliane.sharepoint.com/:x:/r/teams/ACCESSIBILITRISULTATIVERIFICHETECNICHE/Shared%20Documents/POSTEITALIANE.IT/LOG/Log.xlsx?d=wf3c65046abcc49009aae265aacd619cd&amp;csf=1&amp;web=1&amp;e=knhQX7_x000d__x000a__x000d__x000a_Link al dettaglio requisito WCAG: NOT FOUND_x000d__x000a_"/>
    <x v="0"/>
    <s v="(#TM0367)"/>
    <x v="56"/>
    <x v="0"/>
    <x v="5"/>
    <x v="3"/>
    <s v="001 - Gli elementi '&lt;frame&gt;' o '&lt;iframe&gt;' non hanno un titolo-Gli utenti di screen reader si affidano ai titoli dei frame per descrivere il contenuto dei frame. [Ulteriori informazioni] (https://web.dev/frame-title/)"/>
    <s v="001 - Assegna titoli descrittivi agli elementi &lt;frame&gt; e &lt;iframe&gt; per consentire agli utenti di capire il contenuto all'interno del frame e facilitare la navigazione."/>
    <s v="001 - https://axe.deque.com/issues/13dd6a78-e056-4884-be27-11e467930f67"/>
  </r>
  <r>
    <s v="S0039.1.4.1"/>
    <s v="POSTE ITALIANE.IT - 9.1.4.1 Uso del colore - S003 Investitori:: (#TM0377)_x000d__x000a_S003 Investitori_x000d__x000a_Requisito WCAG: 1.4.1_x000d__x000a_Disabilità afflitte: Colorblindness;Low Vision_x000d__x000a_Impatto Utente: 2 - Serious_x000d__x000a__x000d__x000a_Descrizione_x000d__x000a_001 - I link si basano sul colore per essere distinguibili.-Il testo a basso contrasto è difficile o impossibile da leggere per molti utenti. Il testo del collegamento che è distinguibile migliora l'esperienza per gli utenti ipovedenti. [Ulteriori informazioni] (https://dequeuniversity.com/rules/axe/4.10/link-in-text-block)_x000d__x000a__x000d__x000a_Esempio di violazione individuata sull'oggetto:_x000d__x000a_001 - https://www.posteitaliane.it/it/investitori.html &lt;a href=&quot;https://www.emarketstorage.it/&quot; class=&quot;underline-link&quot;&gt;www.emarketstorage.com&lt;/a&gt; con selettore [&quot;a[href$=\&quot;emarketstorage.it/\&quot;]&quot;]_x000d__x000a__x000d__x000a_Dettaglio + screenshot (accedere con le seguenti credenziali: user, axeposte@gmail.com; password, Poste2024!)_x000d__x000a_001 - https://axe.deque.com/issues/1d683843-a13e-4625-adfe-3def3287e59b_x000d__x000a__x000d__x000a_Possibile Metodologia Risolutiva:_x000d__x000a_001 - Non usare solo il colore per distinguere i link; aggiungi sottolineature o icone che rendano evidente quali parti del testo sono interattive. Questo aiuta gli utenti con daltonismo a identificare i link.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TM0377)"/>
    <x v="57"/>
    <x v="0"/>
    <x v="5"/>
    <x v="9"/>
    <s v="001 - I link si basano sul colore per essere distinguibili.-Il testo a basso contrasto è difficile o impossibile da leggere per molti utenti. Il testo del collegamento che è distinguibile migliora l'esperienza per gli utenti ipovedenti. [Ulteriori informazioni] (https://dequeuniversity.com/rules/axe/4.10/link-in-text-block)"/>
    <s v="001 - Non usare solo il colore per distinguere i link; aggiungi sottolineature o icone che rendano evidente quali parti del testo sono interattive. Questo aiuta gli utenti con daltonismo a identificare i link."/>
    <s v="001 - https://axe.deque.com/issues/1d683843-a13e-4625-adfe-3def3287e59b"/>
  </r>
  <r>
    <s v="S0059.4.1.2"/>
    <s v="POSTE ITALIANE.IT - 9.4.1.2 Nome, ruolo, valore - S005 Media:: (#TM0423)_x000d__x000a_S005 Media_x000d__x000a_Requisito WCAG: 4.1.2_x000d__x000a_Disabilità afflitte: Blind;Mobility_x000d__x000a_Impatto Utente: 1 - Critical_x000d__x000a__x000d__x000a_Descrizione_x000d__x000a_001 - I controlli interattivi non devono essere nidificati-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_x000a__x000d__x000a_Esempio di violazione individuata sull'oggetto:_x000d__x000a_001 - https://www.posteitaliane.it/it/media.html &lt;div class=&quot;slick-elem col-xs-12 col-lg-3 col-md-4 slick-slide slick-active&quot; style=&quot;width: 360px; padding-left: 15px; padding-right: 15px;&quot; data-slick-index=&quot;1&quot; aria-hidden=&quot;false&quot; tabindex=&quot;-1&quot; role=&quot;option&quot; aria-describedby=&quot;slick-slide01&quot;&gt; con selettore [&quot;div[data-slick-index=\&quot;1\&quot;]&quot;]_x000d__x000a__x000d__x000a_Dettaglio + screenshot (accedere con le seguenti credenziali: user, axeposte@gmail.com; password, Poste2024!)_x000d__x000a_001 - https://axe.deque.com/issues/4fc6ad15-39da-43fa-ad00-3ab413bc8092_x000d__x000a__x000d__x000a_Possibile Metodologia Risolutiva:_x000d__x000a_001 - Evita di nidificare elementi interattivi (es. un pulsante all'interno di un link). Ristruttura il codice per garantire che ogni controllo interattivo sia indipendente e non sovrapposto ad altri, ad esempio utilizzando uno stile o un elemento contenitore non interattivo._x000d__x000a__x000d__x000a_Occorrenze rilevate: 221 https://posteitaliane.sharepoint.com/:x:/r/teams/ACCESSIBILITRISULTATIVERIFICHETECNICHE/Shared%20Documents/POSTEITALIANE.IT/LOG/Log.xlsx?d=wf3c65046abcc49009aae265aacd619cd&amp;csf=1&amp;web=1&amp;e=knhQX7_x000d__x000a__x000d__x000a_Link al dettaglio requisito WCAG: NOT FOUND_x000d__x000a_"/>
    <x v="0"/>
    <s v="(#TM0423)"/>
    <x v="58"/>
    <x v="1"/>
    <x v="6"/>
    <x v="3"/>
    <s v="001 - I controlli interattivi non devono essere nidificati-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s v="001 - Evita di nidificare elementi interattivi (es. un pulsante all'interno di un link). Ristruttura il codice per garantire che ogni controllo interattivo sia indipendente e non sovrapposto ad altri, ad esempio utilizzando uno stile o un elemento contenitore non interattivo."/>
    <s v="001 - https://axe.deque.com/issues/4fc6ad15-39da-43fa-ad00-3ab413bc8092"/>
  </r>
  <r>
    <s v="S0089.1.3.1"/>
    <s v="POSTE ITALIANE.IT - 9.1.3.1 Informazioni e correlazioni - S008 Chi Siamo:: (#TM0451)_x000d__x000a_S008 Chi Siamo_x000d__x000a_Requisito WCAG: 1.3.1_x000d__x000a_Disabilità afflitte: Blind;Deafblind_x000d__x000a_Impatto Utente: 3 - Moderate_x000d__x000a__x000d__x000a_Descrizione_x000d__x000a_001 - Il contenuto non è una list, ma è contrassegnato come tale-Il contenuto non è una list, ma è contrassegnato come tale. [Ulteriori informazioni] (https://docs.deque.com/issue-help/1.0.0/en/semantic-list-used-for-presentation)_x000d__x000a__x000d__x000a_Esempio di violazione individuata sull'oggetto:_x000d__x000a_001 - https://www.posteitaliane.it/it/purpose.html &lt;ul id=&quot;anchor-submenu&quot; class=&quot;list-unstyled list-inline&quot;&gt;_x000a__x0009__x0009__x0009__x0009__x0009__x0009__x0009__x0009__x0009__x000a__x0009__x0009__x0009__x0009__x0009__x0009__x0009__x0009__x0009__x0009__x000a__x0009__x000a__x0009__x0009__x0009__x000a__x0009__x000a__x0009__x0009__x0009__x000a__x0009__x0009__x0009__x0009__x000a__x0009__x0009__x0009__x0009__x000a__x0009__x0009__x0009__x0009__x0009_&lt;li&gt;&lt;a href=&quot;#_&quot; title=&quot; &quot; class=&quot;&quot;&gt; &lt;/a&gt;&lt;/li&gt;_x000a__x0009__x0009__x0009__x0009__x000a__x0009__x0009__x0009__x000a__x000a__x0009__x0009__x0009__x0009__x0009__x0009__x0009__x0009__x0009__x000a__x0009__x0009__x0009__x0009__x0009__x0009__x0009__x0009__x0009__x0009__x000a__x000a__x000a__x0009__x0009__x0009__x0009__x0009__x0009__x0009__x0009__x0009__x000a__x0009__x0009__x0009__x0009__x0009__x0009__x0009__x0009__x0009__x0009__x000a__x000a__x000a__x0009__x0009__x0009__x0009__x0009__x0009__x0009__x0009__x0009__x000a__x0009__x0009__x0009__x0009__x0009__x0009__x0009__x0009__x0009__x0009__x000a__x000a__x000a__x0009__x0009__x0009__x0009__x0009__x0009__x0009__x0009__x0009__x000a__x0009__x0009__x0009__x0009__x0009__x0009__x0009__x0009__x0009__x0009__x000a__x000a__x000a__x0009__x0009__x0009__x0009__x0009__x0009__x0009__x0009__x0009__x000a__x0009__x0009__x0009__x0009__x0009__x0009__x0009__x0009_&lt;/ul&gt; con selettore [&quot;body &gt; main:nth-of-type(1) &gt; div.content.content-pre-main.content-page-anchors.hidden-xs:nth-of-type(2) &gt; div.container:nth-of-type(1) &gt; div.row:nth-of-type(1) &gt; div.col-md-12:nth-of-type(1) &gt; ul#anchor-submenu.list-unstyled.list-inline:nth-of-type(1)&quot;]_x000d__x000a__x000d__x000a_Dettaglio + screenshot (accedere con le seguenti credenziali: user, axeposte@gmail.com; password, Poste2024!)_x000d__x000a_001 - https://axe.deque.com/issues/dcdecf55-3a8c-4b04-83fc-ed2caed81772_x000d__x000a__x000d__x000a_Possibile Metodologia Risolutiva:_x000d__x000a_001 - Usa elementi di lista come &lt;ul&gt;, &lt;ol&gt;, e &lt;li&gt; solo per contenuti che devono essere presentati in forma di elenco. Assicurati che le liste siano semanticamente corrette per evitare confusione_x000d__x000a__x000d__x000a_Occorrenze rilevate: 111 https://posteitaliane.sharepoint.com/:x:/r/teams/ACCESSIBILITRISULTATIVERIFICHETECNICHE/Shared%20Documents/POSTEITALIANE.IT/LOG/Log.xlsx?d=wf3c65046abcc49009aae265aacd619cd&amp;csf=1&amp;web=1&amp;e=knhQX7_x000d__x000a__x000d__x000a_Link al dettaglio requisito WCAG: NOT FOUND_x000d__x000a_"/>
    <x v="0"/>
    <s v="(#TM0451)"/>
    <x v="59"/>
    <x v="2"/>
    <x v="4"/>
    <x v="7"/>
    <s v="001 - Il contenuto non è una list, ma è contrassegnato come tale-Il contenuto non è una list, ma è contrassegnato come tale. [Ulteriori informazioni] (https://docs.deque.com/issue-help/1.0.0/en/semantic-list-used-for-presentation)"/>
    <s v="001 - Usa elementi di lista come &lt;ul&gt;, &lt;ol&gt;, e &lt;li&gt; solo per contenuti che devono essere presentati in forma di elenco. Assicurati che le liste siano semanticamente corrette per evitare confusione"/>
    <s v="001 - https://axe.deque.com/issues/dcdecf55-3a8c-4b04-83fc-ed2caed81772"/>
  </r>
  <r>
    <s v="S0129.1.4.3"/>
    <s v="POSTE ITALIANE.IT - 9.1.4.3 Contrasto (minimo) - S012 Bilanci e Relazioni:: (#TM0455)_x000d__x000a_S012 Bilanci e Relazioni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risultati-di-gruppo.html &lt;a role=&quot;link&quot; id=&quot;icon-id009347979310662335&quot; tabindex=&quot;0&quot; lang=&quot;it&quot; aria-haspopup=&quot;dialog&quot; aria-label=&quot;Cookie Preferences, opens a dedicated popup modal window&quot; class=&quot;truste_cursor_pointer&quot;&gt;Preferenze Cookie&lt;/a&gt; con selettore [&quot;#icon-id009347979310662335&quot;]_x000d__x000a__x000d__x000a_Dettaglio + screenshot (accedere con le seguenti credenziali: user, axeposte@gmail.com; password, Poste2024!)_x000d__x000a_001 - https://axe.deque.com/issues/a24ee4f5-ed3a-441c-976c-608ce38f9658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31 https://posteitaliane.sharepoint.com/:x:/r/teams/ACCESSIBILITRISULTATIVERIFICHETECNICHE/Shared%20Documents/POSTEITALIANE.IT/LOG/Log.xlsx?d=wf3c65046abcc49009aae265aacd619cd&amp;csf=1&amp;web=1&amp;e=knhQX7_x000d__x000a__x000d__x000a_Link al dettaglio requisito WCAG: NOT FOUND_x000d__x000a_"/>
    <x v="0"/>
    <s v="(#TM0455)"/>
    <x v="60"/>
    <x v="0"/>
    <x v="12"/>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a24ee4f5-ed3a-441c-976c-608ce38f9658"/>
  </r>
  <r>
    <s v="S0129.1.1.1"/>
    <s v="POSTE ITALIANE.IT - 9.1.1.1 Contenuti non testuali - S012 Bilanci e Relazioni:: (#TM0459)_x000d__x000a_S012 Bilanci e Relazioni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risultati-di-gruppo.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66fbc222-4655-40c3-a19b-6e9f5ae40931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23 https://posteitaliane.sharepoint.com/:x:/r/teams/ACCESSIBILITRISULTATIVERIFICHETECNICHE/Shared%20Documents/POSTEITALIANE.IT/LOG/Log.xlsx?d=wf3c65046abcc49009aae265aacd619cd&amp;csf=1&amp;web=1&amp;e=knhQX7_x000d__x000a__x000d__x000a_Link al dettaglio requisito WCAG: NOT FOUND_x000d__x000a_"/>
    <x v="0"/>
    <s v="(#TM0459)"/>
    <x v="61"/>
    <x v="1"/>
    <x v="12"/>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66fbc222-4655-40c3-a19b-6e9f5ae40931"/>
  </r>
  <r>
    <s v="S0129.2.4.4"/>
    <s v="POSTE ITALIANE.IT - 9.2.4.4 Scopo del collegamento (nel contesto) - S012 Bilanci e Relazioni:: (#TM0462)_x000d__x000a_S012 Bilanci e Relazioni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risultati-di-gruppo.html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6d5b26d5-4fa2-4746-82c2-33ea99dded35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31 https://posteitaliane.sharepoint.com/:x:/r/teams/ACCESSIBILITRISULTATIVERIFICHETECNICHE/Shared%20Documents/POSTEITALIANE.IT/LOG/Log.xlsx?d=wf3c65046abcc49009aae265aacd619cd&amp;csf=1&amp;web=1&amp;e=knhQX7_x000d__x000a__x000d__x000a_Link al dettaglio requisito WCAG: NOT FOUND_x000d__x000a_"/>
    <x v="0"/>
    <s v="(#TM0462)"/>
    <x v="62"/>
    <x v="0"/>
    <x v="12"/>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6d5b26d5-4fa2-4746-82c2-33ea99dded35"/>
  </r>
  <r>
    <s v="S0129.2.5.8"/>
    <s v="POSTE ITALIANE.IT - 9.2.5.8 Dimensione dell'obiettivo (minimo) - S012 Bilanci e Relazioni:: (#TM0464)_x000d__x000a_S012 Bilanci e Relazioni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risultati-di-gruppo.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76b49530-0796-4f02-9c12-df40c7ec4087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464)"/>
    <x v="4"/>
    <x v="0"/>
    <x v="12"/>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76b49530-0796-4f02-9c12-df40c7ec4087"/>
  </r>
  <r>
    <s v="S0129.1.3.1"/>
    <s v="POSTE ITALIANE.IT - 9.1.3.1 Informazioni e correlazioni - S012 Bilanci e Relazioni:: (#TM0465)_x000d__x000a_S012 Bilanci e Relazioni_x000d__x000a_Requisito WCAG: 1.3.1_x000d__x000a_Disabilità afflitte: Blind;Deafblind_x000d__x000a_Impatto Utente: 2 - Serious_x000d__x000a__x000d__x000a_Descrizione_x000d__x000a_001 - L'elenco visivo non è contrassegnato come elenco-Il contenuto viene visualizzato come un elenco, ma non viene contrassegnato come tale. [Ulteriori informazioni] (https://docs.deque.com/issue-help/1.0.0/en/semantic-list)_x000d__x000a__x000d__x000a_Esempio di violazione individuata sull'oggetto:_x000d__x000a_001 - https://www.posteitaliane.it/it/risultati-di-gruppo.html  con selettore [&quot;body &gt; main:nth-of-type(1) &gt; div.content.content-main.nobracket.noanchor:nth-of-type(2) &gt; div.container:nth-of-type(1) &gt; div.row:nth-of-type(1) &gt; div#accessibility-anchor.col-md-12:nth-of-type(1) &gt; div.row:nth-of-type(1) &gt; div.col-md-12.col-structure:nth-of-type(1) &gt; div#main:nth-of-type(1) &gt; div.main-pills:nth-of-type(2) &gt; div.main-pills-wrap:nth-of-type(1) &gt; div.box-editable-area.box-editable-spacing:nth-of-type(1) &gt; p.note:nth-of-type(2)&quot;]_x000d__x000a__x000d__x000a_Dettaglio + screenshot (accedere con le seguenti credenziali: user, axeposte@gmail.com; password, Poste2024!)_x000d__x000a_001 - https://axe.deque.com/issues/7bf4d664-4c29-4e95-93aa-23161b55b35a_x000d__x000a__x000d__x000a_Possibile Metodologia Risolutiva:_x000d__x000a_001 - Utilizza i tag HTML semantici `&lt;ul&gt;`, `&lt;ol&gt;` e `&lt;li&gt;` per definire correttamente le liste, garantendo una struttura logica e accessibile del contenuto._x000d__x000a__x000d__x000a_Occorrenze rilevate: 44 https://posteitaliane.sharepoint.com/:x:/r/teams/ACCESSIBILITRISULTATIVERIFICHETECNICHE/Shared%20Documents/POSTEITALIANE.IT/LOG/Log.xlsx?d=wf3c65046abcc49009aae265aacd619cd&amp;csf=1&amp;web=1&amp;e=knhQX7_x000d__x000a__x000d__x000a_Link al dettaglio requisito WCAG: NOT FOUND_x000d__x000a_"/>
    <x v="0"/>
    <s v="(#TM0465)"/>
    <x v="63"/>
    <x v="0"/>
    <x v="12"/>
    <x v="7"/>
    <s v="001 - L'elenco visivo non è contrassegnato come elenco-Il contenuto viene visualizzato come un elenco, ma non viene contrassegnato come tale. [Ulteriori informazioni] (https://docs.deque.com/issue-help/1.0.0/en/semantic-list)"/>
    <s v="001 - Utilizza i tag HTML semantici `&lt;ul&gt;`, `&lt;ol&gt;` e `&lt;li&gt;` per definire correttamente le liste, garantendo una struttura logica e accessibile del contenuto."/>
    <s v="001 - https://axe.deque.com/issues/7bf4d664-4c29-4e95-93aa-23161b55b35a"/>
  </r>
  <r>
    <s v="S0079.1.3.1"/>
    <s v="POSTE ITALIANE.IT - 9.1.3.1 Informazioni e correlazioni - S007 Sostenibilità:: (#TM0483)_x000d__x000a_S007 Sostenibilità_x000d__x000a_Requisito WCAG: 1.3.1_x000d__x000a_Disabilità afflitte: Blind;Deafblind_x000d__x000a_Impatto Utente: 2 - Serious_x000d__x000a__x000d__x000a_Descrizione_x000d__x000a_001 - Il testo dell'intestazione visiva non è contrassegnato come intestazione-Il testo viene visualizzato e funziona come un'intestazione di sezione, ma non viene contrassegnato come tale. [Ulteriori informazioni] (https://docs.deque.com/issue-help/1.0.0/en/semantic-heading)_x000d__x000a__x000d__x000a_Esempio di violazione individuata sull'oggetto:_x000d__x000a_001 - https://www.posteitaliane.it/it/sostenibilita.html  con selettore [&quot;body &gt; main:nth-of-type(1) &gt; div.content.content-main.nobracket.noanchor:nth-of-type(2) &gt; div.container:nth-of-type(1) &gt; div.row:nth-of-type(1) &gt; div#accessibility-anchor.col-md-12:nth-of-type(1) &gt; div.row:nth-of-type(1) &gt; div.col-md-12.col-structure:nth-of-type(1) &gt; div#main:nth-of-type(1) &gt; div.main-pills:nth-of-type(3) &gt; div.main-pills-wrap:nth-of-type(1) &gt; div.box-editable-area.box-editable-spacing:nth-of-type(1) &gt; strong:nth-of-type(1)&quot;]_x000d__x000a__x000d__x000a_Dettaglio + screenshot (accedere con le seguenti credenziali: user, axeposte@gmail.com; password, Poste2024!)_x000d__x000a_001 - https://axe.deque.com/issues/326dfc64-ce36-4b47-ba9f-4d3e02128a20_x000d__x000a__x000d__x000a_Possibile Metodologia Risolutiva:_x000d__x000a_001 - Il testo che agisce come intestazione visivamente o strutturalmente DOVREBBE essere designato come una intestazione nel markup (h1,h2,...)._x000a_Possibile soluzione:_x000a_Assicurarsi che il testo che funge da intestazione visiva sia marcato con i tag appropriati di intestazione HTML, come `&lt;h1&gt;`, `&lt;h2&gt;`, ecc. Questo aiuta a definire chiaramente la struttura della pagina per i lettori di schermo._x000d__x000a__x000d__x000a_Occorrenze rilevate: 941 https://posteitaliane.sharepoint.com/:x:/r/teams/ACCESSIBILITRISULTATIVERIFICHETECNICHE/Shared%20Documents/POSTEITALIANE.IT/LOG/Log.xlsx?d=wf3c65046abcc49009aae265aacd619cd&amp;csf=1&amp;web=1&amp;e=knhQX7_x000d__x000a__x000d__x000a_Link al dettaglio requisito WCAG: NOT FOUND_x000d__x000a_"/>
    <x v="0"/>
    <s v="(#TM0483)"/>
    <x v="64"/>
    <x v="0"/>
    <x v="11"/>
    <x v="7"/>
    <s v="001 - Il testo dell'intestazione visiva non è contrassegnato come intestazione-Il testo viene visualizzato e funziona come un'intestazione di sezione, ma non viene contrassegnato come tale. [Ulteriori informazioni] (https://docs.deque.com/issue-help/1.0.0/en/semantic-heading)"/>
    <s v="001 - Il testo che agisce come intestazione visivamente o strutturalmente DOVREBBE essere designato come una intestazione nel markup (h1,h2,...)._x000a_Possibile soluzione:_x000a_Assicurarsi che il testo che funge da intestazione visiva sia marcato con i tag appropriati di intestazione HTML, come `&lt;h1&gt;`, `&lt;h2&gt;`, ecc. Questo aiuta a definire chiaramente la struttura della pagina per i lettori di schermo."/>
    <s v="001 - https://axe.deque.com/issues/326dfc64-ce36-4b47-ba9f-4d3e02128a20"/>
  </r>
  <r>
    <s v="S0119.1.4.3"/>
    <s v="POSTE ITALIANE.IT - 9.1.4.3 Contrasto (minimo) - S011 Strategia del gruppo:: (#TM0487)_x000d__x000a_S011 Strategia del gruppo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strategia-del-gruppo.html &lt;a role=&quot;link&quot; id=&quot;icon-id05485499864431771&quot; tabindex=&quot;0&quot; lang=&quot;it&quot; aria-haspopup=&quot;dialog&quot; aria-label=&quot;Cookie Preferences, opens a dedicated popup modal window&quot; class=&quot;truste_cursor_pointer&quot;&gt;Preferenze Cookie&lt;/a&gt; con selettore [&quot;#icon-id05485499864431771&quot;]_x000d__x000a__x000d__x000a_Dettaglio + screenshot (accedere con le seguenti credenziali: user, axeposte@gmail.com; password, Poste2024!)_x000d__x000a_001 - https://axe.deque.com/issues/32d2aac4-0313-4b5e-8f46-29162ef36338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83 https://posteitaliane.sharepoint.com/:x:/r/teams/ACCESSIBILITRISULTATIVERIFICHETECNICHE/Shared%20Documents/POSTEITALIANE.IT/LOG/Log.xlsx?d=wf3c65046abcc49009aae265aacd619cd&amp;csf=1&amp;web=1&amp;e=knhQX7_x000d__x000a__x000d__x000a_Link al dettaglio requisito WCAG: NOT FOUND_x000d__x000a_"/>
    <x v="0"/>
    <s v="(#TM0487)"/>
    <x v="65"/>
    <x v="0"/>
    <x v="13"/>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32d2aac4-0313-4b5e-8f46-29162ef36338"/>
  </r>
  <r>
    <s v="S0119.1.1.1"/>
    <s v="POSTE ITALIANE.IT - 9.1.1.1 Contenuti non testuali - S011 Strategia del gruppo:: (#TM0496)_x000d__x000a_S011 Strategia del gruppo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strategia-del-gruppo.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1f743082-6cf9-497c-a427-2d18f8cc1f8a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78 https://posteitaliane.sharepoint.com/:x:/r/teams/ACCESSIBILITRISULTATIVERIFICHETECNICHE/Shared%20Documents/POSTEITALIANE.IT/LOG/Log.xlsx?d=wf3c65046abcc49009aae265aacd619cd&amp;csf=1&amp;web=1&amp;e=knhQX7_x000d__x000a__x000d__x000a_Link al dettaglio requisito WCAG: NOT FOUND_x000d__x000a_"/>
    <x v="0"/>
    <s v="(#TM0496)"/>
    <x v="66"/>
    <x v="1"/>
    <x v="13"/>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1f743082-6cf9-497c-a427-2d18f8cc1f8a"/>
  </r>
  <r>
    <s v="S0119.2.4.4"/>
    <s v="POSTE ITALIANE.IT - 9.2.4.4 Scopo del collegamento (nel contesto) - S011 Strategia del gruppo:: (#TM0499)_x000d__x000a_S011 Strategia del gruppo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strategia-del-gruppo.html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228ac0e8-e154-4833-9134-7413f961eb37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81 https://posteitaliane.sharepoint.com/:x:/r/teams/ACCESSIBILITRISULTATIVERIFICHETECNICHE/Shared%20Documents/POSTEITALIANE.IT/LOG/Log.xlsx?d=wf3c65046abcc49009aae265aacd619cd&amp;csf=1&amp;web=1&amp;e=knhQX7_x000d__x000a__x000d__x000a_Link al dettaglio requisito WCAG: NOT FOUND_x000d__x000a_"/>
    <x v="0"/>
    <s v="(#TM0499)"/>
    <x v="67"/>
    <x v="0"/>
    <x v="13"/>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228ac0e8-e154-4833-9134-7413f961eb37"/>
  </r>
  <r>
    <s v="S0119.2.5.8"/>
    <s v="POSTE ITALIANE.IT - 9.2.5.8 Dimensione dell'obiettivo (minimo) - S011 Strategia del gruppo:: (#TM0501)_x000d__x000a_S011 Strategia del gruppo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strategia-del-gruppo.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e7325a34-30cf-4819-81c5-743d7ebc4100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501)"/>
    <x v="4"/>
    <x v="0"/>
    <x v="13"/>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e7325a34-30cf-4819-81c5-743d7ebc4100"/>
  </r>
  <r>
    <s v="S0119.1.3.1"/>
    <s v="POSTE ITALIANE.IT - 9.1.3.1 Informazioni e correlazioni - S011 Strategia del gruppo:: (#TM0509)_x000d__x000a_S011 Strategia del gruppo_x000d__x000a_Requisito WCAG: 1.3.1_x000d__x000a_Disabilità afflitte: Blind;Deafblind_x000d__x000a_Impatto Utente: 1 - Critical_x000d__x000a__x000d__x000a_Descrizione_x000d__x000a_001 - Il testo non deve essere contrassegnato come intestazione-Il testo che non funge da intestazione di sezione viene codificato in modo inappropriato come intestazione. [Ulteriori informazioni] (https://docs.deque.com/issue-help/1.0.0/en/semantic-heading-misused)_x000d__x000a__x000d__x000a_Esempio di violazione individuata sull'oggetto:_x000d__x000a_001 - https://www.posteitaliane.it/it/strategia-del-gruppo.html &lt;h3 class=&quot;panel-title&quot;&gt; con selettore [&quot;body &gt; main:nth-of-type(1) &gt; div.content.content-main.nobracket.noanchor:nth-of-type(2) &gt; div.container:nth-of-type(1) &gt; div.row:nth-of-type(1) &gt; div#accessibility-anchor.col-md-12:nth-of-type(1) &gt; div.row:nth-of-type(1) &gt; div.col-md-12.col-structure:nth-of-type(1) &gt; div#main:nth-of-type(1) &gt; div.main-pills:nth-of-type(8) &gt; div#la_nostra_strategia_per_area_di_business.main-pills-wrap:nth-of-type(1) &gt; div#\\31 476613280146-parent.panel-group.panel-group-unique.panel-group-accordion:nth-of-type(1) &gt; div.panel:nth-of-type(1) &gt; div#\\31 476613280146-corrispondenza_pacchi_e_distribuzione__nuovo_modello_commerciale_e_trasformazione_logistica.panel-heading:nth-of-type(1) &gt; h3.panel-title:nth-of-type(1)&quot;]_x000d__x000a__x000d__x000a_Dettaglio + screenshot (accedere con le seguenti credenziali: user, axeposte@gmail.com; password, Poste2024!)_x000d__x000a_001 - https://axe.deque.com/issues/340e6df0-697b-435c-a3e2-395a7ba30ec2_x000d__x000a__x000d__x000a_Possibile Metodologia Risolutiva:_x000d__x000a_001 - Usa le intestazioni (&lt;h1&gt; - &lt;h6&gt;) per strutturare il contenuto e non solo per modificare l’aspetto. Questo aiuta gli utenti di screen reader a navigare meglio nella pagina._x000d__x000a__x000d__x000a_Occorrenze rilevate: 95 https://posteitaliane.sharepoint.com/:x:/r/teams/ACCESSIBILITRISULTATIVERIFICHETECNICHE/Shared%20Documents/POSTEITALIANE.IT/LOG/Log.xlsx?d=wf3c65046abcc49009aae265aacd619cd&amp;csf=1&amp;web=1&amp;e=knhQX7_x000d__x000a__x000d__x000a_Link al dettaglio requisito WCAG: NOT FOUND_x000d__x000a_"/>
    <x v="0"/>
    <s v="(#TM0509)"/>
    <x v="68"/>
    <x v="1"/>
    <x v="13"/>
    <x v="7"/>
    <s v="001 - Il testo non deve essere contrassegnato come intestazione-Il testo che non funge da intestazione di sezione viene codificato in modo inappropriato come intestazione. [Ulteriori informazioni] (https://docs.deque.com/issue-help/1.0.0/en/semantic-heading-misused)"/>
    <s v="001 - Usa le intestazioni (&lt;h1&gt; - &lt;h6&gt;) per strutturare il contenuto e non solo per modificare l’aspetto. Questo aiuta gli utenti di screen reader a navigare meglio nella pagina."/>
    <s v="001 - https://axe.deque.com/issues/340e6df0-697b-435c-a3e2-395a7ba30ec2"/>
  </r>
  <r>
    <s v="S0099.4.1.2"/>
    <s v="POSTE ITALIANE.IT - 9.4.1.2 Nome, ruolo, valore - S009 Vetrina Immobiliare:: (#TM0536)_x000d__x000a_S009 Vetrina Immobiliare_x000d__x000a_Requisito WCAG: 4.1.2_x000d__x000a_Disabilità afflitte: Blind;Mobility_x000d__x000a_Impatto Utente: 2 - Serious_x000d__x000a__x000d__x000a_Descrizione_x000d__x000a_001 - I controlli interattivi non devono essere nidificati-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_x000a__x000d__x000a_Esempio di violazione individuata sull'oggetto:_x000d__x000a_001 - https://www.posteitaliane.it/it/vetrina-immobiliare/bzx08700-bolzano---piazzetta-del-bersaglio-7/1476601580538.html#schedainfo-05 &lt;div class=&quot;slick-elem col-xs-12 col-lg-3 col-md-4 slick-slide slick-active&quot; style=&quot;width: 309px;&quot; role=&quot;option&quot; aria-label=&quot;slick-slide0&quot; data-slick-index=&quot;1&quot; aria-hidden=&quot;false&quot; tabindex=&quot;-1&quot; aria-describedby=&quot;slick-slide01&quot;&gt; con selettore [&quot;div[aria-label=\&quot;slick-slide0\&quot;]&quot;]_x000d__x000a__x000d__x000a_Dettaglio + screenshot (accedere con le seguenti credenziali: user, axeposte@gmail.com; password, Poste2024!)_x000d__x000a_001 - https://axe.deque.com/issues/ef7f3ce9-d7b6-4f4e-a82a-9ff9ceb15a49_x000d__x000a__x000d__x000a_Possibile Metodologia Risolutiva:_x000d__x000a_001 - Evita di nidificare elementi interattivi (es. un pulsante all'interno di un link). Ristruttura il codice per garantire che ogni controllo interattivo sia indipendente e non sovrapposto ad altri, ad esempio utilizzando uno stile o un elemento contenitore non interattivo._x000d__x000a__x000d__x000a_Occorrenze rilevate: 6 https://posteitaliane.sharepoint.com/:x:/r/teams/ACCESSIBILITRISULTATIVERIFICHETECNICHE/Shared%20Documents/POSTEITALIANE.IT/LOG/Log.xlsx?d=wf3c65046abcc49009aae265aacd619cd&amp;csf=1&amp;web=1&amp;e=knhQX7_x000d__x000a__x000d__x000a_Link al dettaglio requisito WCAG: NOT FOUND_x000d__x000a_"/>
    <x v="0"/>
    <s v="(#TM0536)"/>
    <x v="69"/>
    <x v="0"/>
    <x v="14"/>
    <x v="3"/>
    <s v="001 - I controlli interattivi non devono essere nidificati-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s v="001 - Evita di nidificare elementi interattivi (es. un pulsante all'interno di un link). Ristruttura il codice per garantire che ogni controllo interattivo sia indipendente e non sovrapposto ad altri, ad esempio utilizzando uno stile o un elemento contenitore non interattivo."/>
    <s v="001 - https://axe.deque.com/issues/ef7f3ce9-d7b6-4f4e-a82a-9ff9ceb15a49"/>
  </r>
  <r>
    <s v="S0099.1.4.3"/>
    <s v="POSTE ITALIANE.IT - 9.1.4.3 Contrasto (minimo) - S009 Vetrina Immobiliare:: (#TM0550)_x000d__x000a_S009 Vetrina Immobiliare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vetrina-immobiliare/index.html#/vetrinaImmobiliare &lt;a role=&quot;link&quot; id=&quot;icon-id01839380452002619&quot; tabindex=&quot;0&quot; lang=&quot;it&quot; aria-haspopup=&quot;dialog&quot; aria-label=&quot;Cookie Preferences, opens a dedicated popup modal window&quot; class=&quot;truste_cursor_pointer&quot;&gt;Preferenze Cookie&lt;/a&gt; con selettore [&quot;#icon-id01839380452002619&quot;]_x000d__x000a__x000d__x000a_Dettaglio + screenshot (accedere con le seguenti credenziali: user, axeposte@gmail.com; password, Poste2024!)_x000d__x000a_001 - https://axe.deque.com/issues/3393f375-f74d-4f22-9242-91ce8cbae6ea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73 https://posteitaliane.sharepoint.com/:x:/r/teams/ACCESSIBILITRISULTATIVERIFICHETECNICHE/Shared%20Documents/POSTEITALIANE.IT/LOG/Log.xlsx?d=wf3c65046abcc49009aae265aacd619cd&amp;csf=1&amp;web=1&amp;e=knhQX7_x000d__x000a__x000d__x000a_Link al dettaglio requisito WCAG: NOT FOUND_x000d__x000a_"/>
    <x v="0"/>
    <s v="(#TM0550)"/>
    <x v="70"/>
    <x v="0"/>
    <x v="14"/>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3393f375-f74d-4f22-9242-91ce8cbae6ea"/>
  </r>
  <r>
    <s v="S0099.1.1.1"/>
    <s v="POSTE ITALIANE.IT - 9.1.1.1 Contenuti non testuali - S009 Vetrina Immobiliare:: (#TM0557)_x000d__x000a_S009 Vetrina Immobiliare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vetrina-immobiliare/index.html#/vetrinaImmobiliare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db07fff5-9a3f-49dc-803b-fed2c3221349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48 https://posteitaliane.sharepoint.com/:x:/r/teams/ACCESSIBILITRISULTATIVERIFICHETECNICHE/Shared%20Documents/POSTEITALIANE.IT/LOG/Log.xlsx?d=wf3c65046abcc49009aae265aacd619cd&amp;csf=1&amp;web=1&amp;e=knhQX7_x000d__x000a__x000d__x000a_Link al dettaglio requisito WCAG: NOT FOUND_x000d__x000a_"/>
    <x v="0"/>
    <s v="(#TM0557)"/>
    <x v="71"/>
    <x v="1"/>
    <x v="14"/>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db07fff5-9a3f-49dc-803b-fed2c3221349"/>
  </r>
  <r>
    <s v="S0099.2.4.4"/>
    <s v="POSTE ITALIANE.IT - 9.2.4.4 Scopo del collegamento (nel contesto) - S009 Vetrina Immobiliare:: (#TM0560)_x000d__x000a_S009 Vetrina Immobiliare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vetrina-immobiliare/index.html#/vetrinaImmobiliare &lt;a href=&quot;https://www.youtube.com/user/POSTEITALIANE&quot; rel=&quot;noopener noreferrer&quot; title=&quot;&quot; target=&quot;_blank&quot;&gt; con selettore [&quot;a[target=\&quot;_blank\&quot;][rel=\&quot;noopener noreferrer\&quot;][title=\&quot;\&quot;]:nth-child(11)&quot;]_x000d__x000a__x000d__x000a_Dettaglio + screenshot (accedere con le seguenti credenziali: user, axeposte@gmail.com; password, Poste2024!)_x000d__x000a_001 - https://axe.deque.com/issues/1dcdd4e9-cd01-405c-9ecd-c9c4e5be80a6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32 https://posteitaliane.sharepoint.com/:x:/r/teams/ACCESSIBILITRISULTATIVERIFICHETECNICHE/Shared%20Documents/POSTEITALIANE.IT/LOG/Log.xlsx?d=wf3c65046abcc49009aae265aacd619cd&amp;csf=1&amp;web=1&amp;e=knhQX7_x000d__x000a__x000d__x000a_Link al dettaglio requisito WCAG: NOT FOUND_x000d__x000a_"/>
    <x v="0"/>
    <s v="(#TM0560)"/>
    <x v="72"/>
    <x v="0"/>
    <x v="14"/>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1dcdd4e9-cd01-405c-9ecd-c9c4e5be80a6"/>
  </r>
  <r>
    <s v="S0099.2.5.8"/>
    <s v="POSTE ITALIANE.IT - 9.2.5.8 Dimensione dell'obiettivo (minimo) - S009 Vetrina Immobiliare:: (#TM0562)_x000d__x000a_S009 Vetrina Immobiliare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it/vetrina-immobiliare/index.html#/vetrinaImmobiliare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6a78b1ae-1753-4610-87ce-d276ed3ed318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TM0562)"/>
    <x v="4"/>
    <x v="0"/>
    <x v="14"/>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6a78b1ae-1753-4610-87ce-d276ed3ed318"/>
  </r>
  <r>
    <s v="S0099.1.3.2"/>
    <s v="POSTE ITALIANE.IT - 9.1.3.2 Sequenza significativa - S009 Vetrina Immobiliare:: (#TM0538)_x000d__x000a_S009 Vetrina Immobiliare_x000d__x000a_Requisito WCAG: 1.3.2_x000d__x000a_Disabilità afflitte: Blind;Deafblind;Mobility_x000d__x000a_Impatto Utente: 2 - Serious_x000d__x000a__x000d__x000a_Descrizione_x000d__x000a_001 - In grado di navigare al di fuori della modale con screen reader-Le utilità per la lettura dello schermo possono leggere il contenuto al di fuori della finestra di dialogo modale. [Ulteriori informazioni] (https://docs.deque.com/issue-help/1.0.0/en/reading-order-browse-outside-modal)_x000d__x000a__x000d__x000a_Esempio di violazione individuata sull'oggetto:_x000d__x000a_001 - https://www.posteitaliane.it/it/vetrina-immobiliare/bzx08700-bolzano---piazzetta-del-bersaglio-7/1476601580538.html#schedainfo-05  con selettore [&quot;body &gt; div.content.content-main.nobracket.nohero.noanchor:nth-of-type(6) &gt; div.container:nth-of-type(1) &gt; div.row:nth-of-type(1) &gt; div#accessibility-anchor.col-md-12:nth-of-type(1) &gt; div.row:nth-of-type(1) &gt; div.col-md-12.col-structure:nth-of-type(1) &gt; div#main:nth-of-type(1) &gt; div.main-pills:nth-of-type(1) &gt; div.main-pills-wrap:nth-of-type(1) &gt; div.row:nth-of-type(2) &gt; div.col-sm-12:nth-of-type(1) &gt; div#gallery01:nth-of-type(1) &gt; div.row.spacer-xs-bottom-30:nth-of-type(2) &gt; div.col-sm-12:nth-of-type(1) &gt; div.pswp.pswp--supports-fs.pswp--open.pswp--animate_opacity.pswp--notouch.pswp--css_animation.pswp--svg.pswp--visible.pswp--animated-in.pswp--zoom-allowed:nth-of-type(2)&quot;]_x000d__x000a__x000d__x000a_Dettaglio + screenshot (accedere con le seguenti credenziali: user, axeposte@gmail.com; password, Poste2024!)_x000d__x000a_001 - https://axe.deque.com/issues/c79f3835-bc80-41c7-8cc8-eb17db84ba1a_x000d__x000a__x000d__x000a_Possibile Metodologia Risolutiva:_x000d__x000a_001 - Impedisci la navigazione al di fuori di un contenuto modale attivo assicurandoti che il focus rimanga all'interno del modale fino alla sua chiusura.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538)"/>
    <x v="73"/>
    <x v="0"/>
    <x v="14"/>
    <x v="10"/>
    <s v="001 - In grado di navigare al di fuori della modale con screen reader-Le utilità per la lettura dello schermo possono leggere il contenuto al di fuori della finestra di dialogo modale. [Ulteriori informazioni] (https://docs.deque.com/issue-help/1.0.0/en/reading-order-browse-outside-modal)"/>
    <s v="001 - Impedisci la navigazione al di fuori di un contenuto modale attivo assicurandoti che il focus rimanga all'interno del modale fino alla sua chiusura."/>
    <s v="001 - https://axe.deque.com/issues/c79f3835-bc80-41c7-8cc8-eb17db84ba1a"/>
  </r>
  <r>
    <s v="S0099.2.4.3"/>
    <s v="POSTE ITALIANE.IT - 9.2.4.3 Ordine del focus - S009 Vetrina Immobiliare:: (#TM0540)_x000d__x000a_S009 Vetrina Immobiliare_x000d__x000a_Requisito WCAG: 2.4.3_x000d__x000a_Disabilità afflitte: Blind;Deafblind;Mobility_x000d__x000a_Impatto Utente: 2 - Serious_x000d__x000a__x000d__x000a_Descrizione_x000d__x000a_001 - Chiudendo la modal, lo stato attivo non viene ripristinato per l'attivazione-Quando la finestra di dialogo modale o un elemento simile viene chiuso, lo stato attivo della tastiera non viene restituito all'elemento di attivazione. [Ulteriori informazioni] (https://docs.deque.com/issue-help/1.0.0/en/focus-modal-not-returned)_x000d__x000a__x000d__x000a_Esempio di violazione individuata sull'oggetto:_x000d__x000a_001 - https://www.posteitaliane.it/it/vetrina-immobiliare/bzx08700-bolzano---piazzetta-del-bersaglio-7/1476601580538.html#schedainfo-05  con selettore [&quot;body &gt; div.content.content-main.nobracket.nohero.noanchor:nth-of-type(6) &gt; div.container:nth-of-type(1) &gt; div.row:nth-of-type(1) &gt; div#accessibility-anchor.col-md-12:nth-of-type(1) &gt; div.row:nth-of-type(1) &gt; div.col-md-12.col-structure:nth-of-type(1) &gt; div#main:nth-of-type(1) &gt; div.main-pills:nth-of-type(1) &gt; div.main-pills-wrap:nth-of-type(1) &gt; div.row:nth-of-type(2) &gt; div.col-sm-12:nth-of-type(1) &gt; div#gallery01:nth-of-type(1) &gt; div.row.spacer-xs-bottom-30:nth-of-type(2) &gt; div.col-sm-12:nth-of-type(1) &gt; div.pswp.pswp--supports-fs.pswp--open.pswp--animate_opacity.pswp--notouch.pswp--css_animation.pswp--svg.pswp--visible.pswp--animated-in.pswp--zoom-allowed:nth-of-type(2)&quot;]_x000d__x000a__x000d__x000a_Dettaglio + screenshot (accedere con le seguenti credenziali: user, axeposte@gmail.com; password, Poste2024!)_x000d__x000a_001 - https://axe.deque.com/issues/1966e549-59b6-4097-bd34-8421bd9d3d58_x000d__x000a__x000d__x000a_Possibile Metodologia Risolutiva:_x000d__x000a_001 - Ripristina il focus sull'elemento attivatore originale quando il modale viene chiuso, per garantire una navigazione fluida e prevedibile.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TM0540)"/>
    <x v="74"/>
    <x v="0"/>
    <x v="14"/>
    <x v="6"/>
    <s v="001 - Chiudendo la modal, lo stato attivo non viene ripristinato per l'attivazione-Quando la finestra di dialogo modale o un elemento simile viene chiuso, lo stato attivo della tastiera non viene restituito all'elemento di attivazione. [Ulteriori informazioni] (https://docs.deque.com/issue-help/1.0.0/en/focus-modal-not-returned)"/>
    <s v="001 - Ripristina il focus sull'elemento attivatore originale quando il modale viene chiuso, per garantire una navigazione fluida e prevedibile."/>
    <s v="001 - https://axe.deque.com/issues/1966e549-59b6-4097-bd34-8421bd9d3d58"/>
  </r>
  <r>
    <s v="S0099.3.3.2"/>
    <s v="POSTE ITALIANE.IT - 9.3.3.2 Etichette o istruzioni - S009 Vetrina Immobiliare:: (#TM0543)_x000d__x000a_S009 Vetrina Immobiliare_x000d__x000a_Requisito WCAG: 3.3.2_x000d__x000a_Disabilità afflitte: Cognitive;Low Vision;Mobility_x000d__x000a_Impatto Utente: 2 - Serious_x000d__x000a__x000d__x000a_Descrizione_x000d__x000a_001 - Istruzioni mancanti per gli utenti di tecnologie assistive-Ulteriori istruzioni sono necessarie per il campo di immissione, ma non sono fornite per le persone con disabilità. Le persone senza disabilità hanno accesso a istruzioni aggiuntive. [Ulteriori informazioni] (https://docs.deque.com/issue-help/1.0.0/en/instructions-not-included)_x000d__x000a__x000d__x000a_Esempio di violazione individuata sull'oggetto:_x000d__x000a_001 - https://www.posteitaliane.it/it/vetrina-immobiliare/bzx08700-bolzano---piazzetta-del-bersaglio-7/1476601580538.html#schedainfo-05  con selettore [&quot;body &gt; div.content.content-main.nobracket.nohero.noanchor:nth-of-type(6) &gt; div.container:nth-of-type(1) &gt; div.row:nth-of-type(1) &gt; div#accessibility-anchor.col-md-12:nth-of-type(1) &gt; div.row:nth-of-type(1) &gt; div.col-md-12.col-structure:nth-of-type(1) &gt; div#main:nth-of-type(1) &gt; div#schedainfo-05.main-pills:nth-of-type(6) &gt; div.main-pills-wrap:nth-of-type(1) &gt; div.row:nth-of-type(2) &gt; div.col-sm-12:nth-of-type(1) &gt; div#collapse-01.collapse.in:nth-of-type(1) &gt; form#moreinfo:nth-of-type(1) &gt; fieldset:nth-of-type(1) &gt; div.row:nth-of-type(4) &gt; div.col-sm-12:nth-of-type(1) &gt; div.form-group.form-group-lg:nth-of-type(1) &gt; input#email.form-control.mandatory:nth-of-type(1)&quot;]_x000d__x000a__x000d__x000a_Dettaglio + screenshot (accedere con le seguenti credenziali: user, axeposte@gmail.com; password, Poste2024!)_x000d__x000a_001 - https://axe.deque.com/issues/5ec66814-c39f-4677-9f45-e999b9b85b41_x000d__x000a__x000d__x000a_Possibile Metodologia Risolutiva:_x000d__x000a_001 - Assicurati che le istruzioni presenti siano comprensibili per chi utilizza screen reader o altre tecnologie assistive. Evita riferimenti ambigui come “vedi sopra” o “clicca sul pulsante verde”; invece, descrivi chiaramente i passaggi o elementi necessari per eseguire un’azione, come “Seleziona il pulsante ‘Invia’ alla fine del modulo.” Le istruzioni dovrebbero essere inserite in un contesto che sia comprensibile anche senza riferimenti visivi.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TM0543)"/>
    <x v="75"/>
    <x v="0"/>
    <x v="14"/>
    <x v="11"/>
    <s v="001 - Istruzioni mancanti per gli utenti di tecnologie assistive-Ulteriori istruzioni sono necessarie per il campo di immissione, ma non sono fornite per le persone con disabilità. Le persone senza disabilità hanno accesso a istruzioni aggiuntive. [Ulteriori informazioni] (https://docs.deque.com/issue-help/1.0.0/en/instructions-not-included)"/>
    <s v="001 - Assicurati che le istruzioni presenti siano comprensibili per chi utilizza screen reader o altre tecnologie assistive. Evita riferimenti ambigui come “vedi sopra” o “clicca sul pulsante verde”; invece, descrivi chiaramente i passaggi o elementi necessari per eseguire un’azione, come “Seleziona il pulsante ‘Invia’ alla fine del modulo.” Le istruzioni dovrebbero essere inserite in un contesto che sia comprensibile anche senza riferimenti visivi."/>
    <s v="001 - https://axe.deque.com/issues/5ec66814-c39f-4677-9f45-e999b9b85b41"/>
  </r>
  <r>
    <s v="S0099.1.3.1"/>
    <s v="POSTE ITALIANE.IT - 9.1.3.1 Informazioni e correlazioni - S009 Vetrina Immobiliare:: (#TM0563)_x000d__x000a_S009 Vetrina Immobiliare_x000d__x000a_Requisito WCAG: 1.3.1_x000d__x000a_Disabilità afflitte: Blind;Deafblind_x000d__x000a_Impatto Utente: 3 - Moderate_x000d__x000a__x000d__x000a_Descrizione_x000d__x000a_001 - Il contenuto non è una list, ma è contrassegnato come tale-Il contenuto non è una list, ma è contrassegnato come tale. [Ulteriori informazioni] (https://docs.deque.com/issue-help/1.0.0/en/semantic-list-used-for-presentation)_x000d__x000a__x000d__x000a_Esempio di violazione individuata sull'oggetto:_x000d__x000a_001 - https://www.posteitaliane.it/it/vetrina-immobiliare/index.html#/vetrinaImmobiliare &lt;ul class=&quot;list-inline margin-left-responsive&quot;&gt; con selettore [&quot;body &gt; ng-app.ng-scope:nth-of-type(1) &gt; div.content.content-main.nobracket.border-xs-bottom:nth-of-type(2) &gt; div.container:nth-of-type(1) &gt; div.row:nth-of-type(1) &gt; div#accessibility-anchor.col-md-12:nth-of-type(1) &gt; div.row:nth-of-type(1) &gt; div.col-md-12.col-structure:nth-of-type(1) &gt; div#main:nth-of-type(1) &gt; div.main-pills:nth-of-type(2) &gt; div.main-pills-wrap:nth-of-type(1) &gt; div.ng-scope:nth-of-type(1) &gt; div.row.ng-scope:nth-of-type(2) &gt; div.col-md-7.col-lg-6:nth-of-type(2) &gt; div.row:nth-of-type(1) &gt; div.col-sm-12:nth-of-type(2) &gt; ul.list-inline.margin-left-responsive:nth-of-type(1)&quot;]_x000d__x000a__x000d__x000a_Dettaglio + screenshot (accedere con le seguenti credenziali: user, axeposte@gmail.com; password, Poste2024!)_x000d__x000a_001 - https://axe.deque.com/issues/3bb041b9-e627-41a0-8c4f-1e4da288ea8e_x000d__x000a__x000d__x000a_Possibile Metodologia Risolutiva:_x000d__x000a_001 - Usa elementi di lista come &lt;ul&gt;, &lt;ol&gt;, e &lt;li&gt; solo per contenuti che devono essere presentati in forma di elenco. Assicurati che le liste siano semanticamente corrette per evitare confusione_x000d__x000a__x000d__x000a_Occorrenze rilevate: 75 https://posteitaliane.sharepoint.com/:x:/r/teams/ACCESSIBILITRISULTATIVERIFICHETECNICHE/Shared%20Documents/POSTEITALIANE.IT/LOG/Log.xlsx?d=wf3c65046abcc49009aae265aacd619cd&amp;csf=1&amp;web=1&amp;e=knhQX7_x000d__x000a__x000d__x000a_Link al dettaglio requisito WCAG: NOT FOUND_x000d__x000a_"/>
    <x v="0"/>
    <s v="(#TM0563)"/>
    <x v="76"/>
    <x v="2"/>
    <x v="14"/>
    <x v="7"/>
    <s v="001 - Il contenuto non è una list, ma è contrassegnato come tale-Il contenuto non è una list, ma è contrassegnato come tale. [Ulteriori informazioni] (https://docs.deque.com/issue-help/1.0.0/en/semantic-list-used-for-presentation)"/>
    <s v="001 - Usa elementi di lista come &lt;ul&gt;, &lt;ol&gt;, e &lt;li&gt; solo per contenuti che devono essere presentati in forma di elenco. Assicurati che le liste siano semanticamente corrette per evitare confusione"/>
    <s v="001 - https://axe.deque.com/issues/3bb041b9-e627-41a0-8c4f-1e4da288ea8e"/>
  </r>
  <r>
    <s v="S0109.4.1.2"/>
    <s v="POSTE ITALIANE.IT - 9.4.1.2 Nome, ruolo, valore - S010 Progetto Polis:: (#TM0564)_x000d__x000a_S010 Progetto Polis_x000d__x000a_Requisito WCAG: 4.1.2_x000d__x000a_Disabilità afflitte: Blind;Deafblind;Mobility_x000d__x000a_Impatto Utente: 2 - Serious_x000d__x000a__x000d__x000a_Descrizione_x000d__x000a_001 - I campi di input ARIA non hanno nomi accessibili-Quando un campo di input non ha un nome accessibile, le utilità per la lettura dello schermo lo annunciano con un nome generico, rendendolo inutilizzabile per gli utenti che si affidano alle utilità per la lettura dello schermo. [Ulteriori informazioni] (https://dequeuniversity.com/rules/axe/4.8/aria-input-field-name)_x000d__x000a__x000d__x000a_Esempio di violazione individuata sull'oggetto:_x000d__x000a_001 - https://www.posteitaliane.it/progetto-polis &lt;div class=&quot;carousel-inner&quot; role=&quot;listbox&quot;&gt; con selettore [&quot;.carousel-inner&quot;]_x000d__x000a__x000d__x000a_Dettaglio + screenshot (accedere con le seguenti credenziali: user, axeposte@gmail.com; password, Poste2024!)_x000d__x000a_001 - https://axe.deque.com/issues/4e42467a-44b9-4c43-bc52-e3b855c31737_x000d__x000a__x000d__x000a_Possibile Metodologia Risolutiva:_x000d__x000a_001 - Associa un'etichetta esplicita ai campi di input utilizzando l'attributo aria-label, aria-labelledby o un elemento &lt;label&gt; per fornire un nome accessibile._x000d__x000a__x000d__x000a_Occorrenze rilevate: 15 https://posteitaliane.sharepoint.com/:x:/r/teams/ACCESSIBILITRISULTATIVERIFICHETECNICHE/Shared%20Documents/POSTEITALIANE.IT/LOG/Log.xlsx?d=wf3c65046abcc49009aae265aacd619cd&amp;csf=1&amp;web=1&amp;e=knhQX7_x000d__x000a__x000d__x000a_Link al dettaglio requisito WCAG: NOT FOUND_x000d__x000a_"/>
    <x v="0"/>
    <s v="(#TM0564)"/>
    <x v="77"/>
    <x v="0"/>
    <x v="15"/>
    <x v="3"/>
    <s v="001 - I campi di input ARIA non hanno nomi accessibili-Quando un campo di input non ha un nome accessibile, le utilità per la lettura dello schermo lo annunciano con un nome generico, rendendolo inutilizzabile per gli utenti che si affidano alle utilità per la lettura dello schermo. [Ulteriori informazioni] (https://dequeuniversity.com/rules/axe/4.8/aria-input-field-name)"/>
    <s v="001 - Associa un'etichetta esplicita ai campi di input utilizzando l'attributo aria-label, aria-labelledby o un elemento &lt;label&gt; per fornire un nome accessibile."/>
    <s v="001 - https://axe.deque.com/issues/4e42467a-44b9-4c43-bc52-e3b855c31737"/>
  </r>
  <r>
    <s v="S0109.1.3.1"/>
    <s v="POSTE ITALIANE.IT - 9.1.3.1 Informazioni e correlazioni - S010 Progetto Polis:: (#TM0565)_x000d__x000a_S010 Progetto Polis_x000d__x000a_Requisito WCAG: 1.3.1_x000d__x000a_Disabilità afflitte: Blind;Deafblind;Mobility_x000d__x000a_Impatto Utente: 1 - Critical_x000d__x000a__x000d__x000a_Descrizione_x000d__x000a_001 - Gli elementi con un [role] ARIA che richiedono determinati figli per contenere uno specifico [role] mancano di alcuni o tutti i figli richiesti.-Alcuni ruoli padre ARIA devono contenere ruoli figlio specifici per eseguire le funzioni di accessibilità previste. [Ulteriori informazioni] (https://dequeuniversity.com/rules/axe/4.10/aria-required-children)_x000d__x000a__x000d__x000a_Esempio di violazione individuata sull'oggetto:_x000d__x000a_001 - https://www.posteitaliane.it/progetto-polis &lt;div class=&quot;carousel-inner&quot; role=&quot;listbox&quot;&gt; con selettore [&quot;.carousel-inner&quot;]_x000d__x000a__x000d__x000a_Dettaglio + screenshot (accedere con le seguenti credenziali: user, axeposte@gmail.com; password, Poste2024!)_x000d__x000a_001 - https://axe.deque.com/issues/3de6d81a-7569-405c-81c2-2d7d5a207f67_x000d__x000a__x000d__x000a_Possibile Metodologia Risolutiva:_x000d__x000a_001 - Verifica che i ruoli ARIA padre abbiano i figli richiesti specificati nella documentazione ARIA. Ad esempio, un elemento con role=&quot;list&quot; deve contenere elementi con role=&quot;listitem&quot;. Modifica il codice HTML aggiungendo i ruoli mancanti o correggendo la struttura gerarchica._x000d__x000a__x000d__x000a_Occorrenze rilevate: 46 https://posteitaliane.sharepoint.com/:x:/r/teams/ACCESSIBILITRISULTATIVERIFICHETECNICHE/Shared%20Documents/POSTEITALIANE.IT/LOG/Log.xlsx?d=wf3c65046abcc49009aae265aacd619cd&amp;csf=1&amp;web=1&amp;e=knhQX7_x000d__x000a__x000d__x000a_Link al dettaglio requisito WCAG: NOT FOUND_x000d__x000a_"/>
    <x v="0"/>
    <s v="(#TM0565)"/>
    <x v="78"/>
    <x v="1"/>
    <x v="15"/>
    <x v="7"/>
    <s v="001 - Gli elementi con un [role] ARIA che richiedono determinati figli per contenere uno specifico [role] mancano di alcuni o tutti i figli richiesti.-Alcuni ruoli padre ARIA devono contenere ruoli figlio specifici per eseguire le funzioni di accessibilità previste. [Ulteriori informazioni] (https://dequeuniversity.com/rules/axe/4.10/aria-required-children)"/>
    <s v="001 - Verifica che i ruoli ARIA padre abbiano i figli richiesti specificati nella documentazione ARIA. Ad esempio, un elemento con role=&quot;list&quot; deve contenere elementi con role=&quot;listitem&quot;. Modifica il codice HTML aggiungendo i ruoli mancanti o correggendo la struttura gerarchica."/>
    <s v="001 - https://axe.deque.com/issues/3de6d81a-7569-405c-81c2-2d7d5a207f67"/>
  </r>
  <r>
    <s v="S0109.1.4.3"/>
    <s v="POSTE ITALIANE.IT - 9.1.4.3 Contrasto (minimo) - S010 Progetto Polis:: (#TM0585)_x000d__x000a_S010 Progetto Polis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progetto-polis/sportello-unico.html &lt;a role=&quot;link&quot; id=&quot;icon-id06503650813584356&quot; tabindex=&quot;0&quot; lang=&quot;it&quot; aria-haspopup=&quot;dialog&quot; aria-label=&quot;Cookie Preferences, opens a dedicated popup modal window&quot; class=&quot;truste_cursor_pointer&quot;&gt;Preferenze Cookie&lt;/a&gt; con selettore [&quot;#icon-id06503650813584356&quot;]_x000d__x000a__x000d__x000a_Dettaglio + screenshot (accedere con le seguenti credenziali: user, axeposte@gmail.com; password, Poste2024!)_x000d__x000a_001 - https://axe.deque.com/issues/9eec960c-22ce-4df5-bc47-432b1bbd1470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41 https://posteitaliane.sharepoint.com/:x:/r/teams/ACCESSIBILITRISULTATIVERIFICHETECNICHE/Shared%20Documents/POSTEITALIANE.IT/LOG/Log.xlsx?d=wf3c65046abcc49009aae265aacd619cd&amp;csf=1&amp;web=1&amp;e=knhQX7_x000d__x000a__x000d__x000a_Link al dettaglio requisito WCAG: NOT FOUND_x000d__x000a_"/>
    <x v="0"/>
    <s v="(#TM0585)"/>
    <x v="79"/>
    <x v="0"/>
    <x v="15"/>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9eec960c-22ce-4df5-bc47-432b1bbd1470"/>
  </r>
  <r>
    <s v="S0109.1.1.1"/>
    <s v="POSTE ITALIANE.IT - 9.1.1.1 Contenuti non testuali - S010 Progetto Polis:: (#TM0589)_x000d__x000a_S010 Progetto Polis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progetto-polis/sportello-unico.html &lt;img src=&quot;https://www.posteitaliane.it/img/1476464859788/ico-social-youtube.png&quot; srcset=&quot;https://www.posteitaliane.it/img/1476464859788/2X/ico-social-youtube.png 2x&quot; class=&quot;spacer-xs-top-10 social-icon&quot;&gt; con selettore [&quot;a[target=\&quot;_blank\&quot;][rel=\&quot;noopener noreferrer\&quot;][title=\&quot;\&quot;]:nth-child(11) &gt; .social-icon.spacer-xs-top-10&quot;]_x000d__x000a__x000d__x000a_Dettaglio + screenshot (accedere con le seguenti credenziali: user, axeposte@gmail.com; password, Poste2024!)_x000d__x000a_001 - https://axe.deque.com/issues/34ecd15a-f490-4d43-b6a5-944112c37e66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31 https://posteitaliane.sharepoint.com/:x:/r/teams/ACCESSIBILITRISULTATIVERIFICHETECNICHE/Shared%20Documents/POSTEITALIANE.IT/LOG/Log.xlsx?d=wf3c65046abcc49009aae265aacd619cd&amp;csf=1&amp;web=1&amp;e=knhQX7_x000d__x000a__x000d__x000a_Link al dettaglio requisito WCAG: NOT FOUND_x000d__x000a_"/>
    <x v="0"/>
    <s v="(#TM0589)"/>
    <x v="80"/>
    <x v="1"/>
    <x v="15"/>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34ecd15a-f490-4d43-b6a5-944112c37e66"/>
  </r>
  <r>
    <s v="S0109.2.4.4"/>
    <s v="POSTE ITALIANE.IT - 9.2.4.4 Scopo del collegamento (nel contesto) - S010 Progetto Polis:: (#TM0593)_x000d__x000a_S010 Progetto Polis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progetto-polis/sportello-unico.html &lt;a href=&quot;#&quot; class=&quot;btn btn-primary btn-cta back-to-top&quot; style=&quot;display: block; opacity: 0.759014;&quot;&gt; &lt;span class=&quot;hide&quot;&gt;vai a inizio pagina&lt;/span&gt;_x000a__x0009__x0009__x0009__x0009__x0009_&lt;/a&gt; con selettore [&quot;.btn&quot;]_x000d__x000a__x000d__x000a_Dettaglio + screenshot (accedere con le seguenti credenziali: user, axeposte@gmail.com; password, Poste2024!)_x000d__x000a_001 - https://axe.deque.com/issues/800f77ba-c66c-4d4d-8611-50e89076c494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31 https://posteitaliane.sharepoint.com/:x:/r/teams/ACCESSIBILITRISULTATIVERIFICHETECNICHE/Shared%20Documents/POSTEITALIANE.IT/LOG/Log.xlsx?d=wf3c65046abcc49009aae265aacd619cd&amp;csf=1&amp;web=1&amp;e=knhQX7_x000d__x000a__x000d__x000a_Link al dettaglio requisito WCAG: NOT FOUND_x000d__x000a_"/>
    <x v="0"/>
    <s v="(#TM0593)"/>
    <x v="81"/>
    <x v="0"/>
    <x v="15"/>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800f77ba-c66c-4d4d-8611-50e89076c494"/>
  </r>
  <r>
    <s v="S0109.2.5.8"/>
    <s v="POSTE ITALIANE.IT - 9.2.5.8 Dimensione dell'obiettivo (minimo) - S010 Progetto Polis:: (#TM0595)_x000d__x000a_S010 Progetto Polis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progetto-polis/sportello-unico.html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27e553fb-4269-4770-9be3-47b764ebc183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TM0595)"/>
    <x v="4"/>
    <x v="0"/>
    <x v="15"/>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27e553fb-4269-4770-9be3-47b764ebc183"/>
  </r>
  <r>
    <s v="S0159.1.4.3"/>
    <s v="POSTE ITALIANE.IT - 9.1.4.3 Contrasto (minimo) - S015 Presenta il tuo prgetto:: (#TM0714)_x000d__x000a_S015 Presenta il tuo prgetto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sponsorizzazioni#!/riepilogo &lt;a role=&quot;link&quot; id=&quot;icon-id09630625760447873&quot; tabindex=&quot;0&quot; lang=&quot;it&quot; aria-haspopup=&quot;dialog&quot; aria-label=&quot;Cookie Preferences, opens a dedicated popup modal window&quot; class=&quot;truste_cursor_pointer&quot;&gt;Preferenze Cookie&lt;/a&gt; con selettore [&quot;#icon-id09630625760447873&quot;]_x000d__x000a__x000d__x000a_Dettaglio + screenshot (accedere con le seguenti credenziali: user, axeposte@gmail.com; password, Poste2024!)_x000d__x000a_001 - https://axe.deque.com/issues/dc4f0870-e565-4bd6-b77a-f4b3cd6cb637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99 https://posteitaliane.sharepoint.com/:x:/r/teams/ACCESSIBILITRISULTATIVERIFICHETECNICHE/Shared%20Documents/POSTEITALIANE.IT/LOG/Log.xlsx?d=wf3c65046abcc49009aae265aacd619cd&amp;csf=1&amp;web=1&amp;e=knhQX7_x000d__x000a__x000d__x000a_Link al dettaglio requisito WCAG: NOT FOUND_x000d__x000a_"/>
    <x v="0"/>
    <s v="(#TM0714)"/>
    <x v="82"/>
    <x v="0"/>
    <x v="16"/>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s v="001 - https://axe.deque.com/issues/dc4f0870-e565-4bd6-b77a-f4b3cd6cb637"/>
  </r>
  <r>
    <s v="S0159.2.4.2"/>
    <s v="POSTE ITALIANE.IT - 9.2.4.2 Titolazione della pagina - S015 Presenta il tuo prgetto:: (#TM0715)_x000d__x000a_S015 Presenta il tuo prgetto_x000d__x000a_Requisito WCAG: 2.4.2_x000d__x000a_Disabilità afflitte: Blind;Deafblind;Mobility_x000d__x000a_Impatto Utente: 2 - Serious_x000d__x000a__x000d__x000a_Descrizione_x000d__x000a_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_x000d__x000a__x000d__x000a_Esempio di violazione individuata sull'oggetto:_x000d__x000a_001 - https://www.posteitaliane.it/sponsorizzazioni#!/riepilogo &lt;html lang=&quot;it&quot; class=&quot;pi-chrome corporate-domain corporate-domain-posteitaliane pi-sm&quot;&gt; con selettore [&quot;html&quot;]_x000d__x000a__x000d__x000a_Dettaglio + screenshot (accedere con le seguenti credenziali: user, axeposte@gmail.com; password, Poste2024!)_x000d__x000a_001 - https://axe.deque.com/issues/0f91677d-312b-407b-bfdf-49b1200c14c2_x000d__x000a__x000d__x000a_Possibile Metodologia Risolutiva:_x000d__x000a_001 - Aggiungi un tag &lt;title&gt; significativo all'interno dell'elemento &lt;head&gt; del documento HTML per fornire una descrizione chiara e concisa della pagina._x000d__x000a__x000d__x000a_Occorrenze rilevate: 7 https://posteitaliane.sharepoint.com/:x:/r/teams/ACCESSIBILITRISULTATIVERIFICHETECNICHE/Shared%20Documents/POSTEITALIANE.IT/LOG/Log.xlsx?d=wf3c65046abcc49009aae265aacd619cd&amp;csf=1&amp;web=1&amp;e=knhQX7_x000d__x000a__x000d__x000a_Link al dettaglio requisito WCAG: NOT FOUND_x000d__x000a_"/>
    <x v="0"/>
    <s v="(#TM0715)"/>
    <x v="83"/>
    <x v="0"/>
    <x v="16"/>
    <x v="12"/>
    <s v="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
    <s v="001 - Aggiungi un tag &lt;title&gt; significativo all'interno dell'elemento &lt;head&gt; del documento HTML per fornire una descrizione chiara e concisa della pagina."/>
    <s v="001 - https://axe.deque.com/issues/0f91677d-312b-407b-bfdf-49b1200c14c2"/>
  </r>
  <r>
    <s v="S0159.1.1.1"/>
    <s v="POSTE ITALIANE.IT - 9.1.1.1 Contenuti non testuali - S015 Presenta il tuo prgetto:: (#TM0716)_x000d__x000a_S015 Presenta il tuo prgetto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sponsorizzazioni#!/riepilogo &lt;img src=&quot;https://www.posteitaliane.it/img/1453904731342/logo-poste-italiane-medium.png&quot; class=&quot;logo-image-pi-small&quot;&gt; con selettore [&quot;.logo-image-pi-small&quot;]_x000d__x000a__x000d__x000a_Dettaglio + screenshot (accedere con le seguenti credenziali: user, axeposte@gmail.com; password, Poste2024!)_x000d__x000a_001 - https://axe.deque.com/issues/6de8233b-6b11-4d68-b5a5-86d47e2f43c8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9 https://posteitaliane.sharepoint.com/:x:/r/teams/ACCESSIBILITRISULTATIVERIFICHETECNICHE/Shared%20Documents/POSTEITALIANE.IT/LOG/Log.xlsx?d=wf3c65046abcc49009aae265aacd619cd&amp;csf=1&amp;web=1&amp;e=knhQX7_x000d__x000a__x000d__x000a_Link al dettaglio requisito WCAG: NOT FOUND_x000d__x000a_"/>
    <x v="0"/>
    <s v="(#TM0716)"/>
    <x v="84"/>
    <x v="1"/>
    <x v="16"/>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s v="001 - https://axe.deque.com/issues/6de8233b-6b11-4d68-b5a5-86d47e2f43c8"/>
  </r>
  <r>
    <s v="S0159.2.5.8"/>
    <s v="POSTE ITALIANE.IT - 9.2.5.8 Dimensione dell'obiettivo (minimo) - S015 Presenta il tuo prgetto:: (#TM0724)_x000d__x000a_S015 Presenta il tuo prgetto_x000d__x000a_Requisito WCAG: 2.5.8_x000d__x000a_Disabilità afflitte: Blind;Low Vision;Mobility_x000d__x000a_Impatto Utente: 2 - Serious_x000d__x000a__x000d__x000a_Descrizione_x000d__x000a_001 - Tutte le destinazioni di tocco devono avere una dimensione di 24 px o lasciare spazio sufficiente-Assicurarsi che la destinazione di tocco disponga di dimensioni e spazio sufficienti [Ulteriori informazioni] (https://dequeuniversity.com/rules/axe/4.8/target-size?application=AxeChrome)_x000d__x000a__x000d__x000a_Esempio di violazione individuata sull'oggetto:_x000d__x000a_001 - https://www.posteitaliane.it/sponsorizzazioni#!/riepilogo &lt;a href=&quot;https://www.poste.it/privacy-policy.html&quot; rel=&quot;noopener noreferrer&quot; target=&quot;_blank&quot; class=&quot;first-base-footer-element&quot;&gt;Privacy&lt;/a&gt; con selettore [&quot;.first-base-footer-element&quot;]_x000d__x000a__x000d__x000a_Dettaglio + screenshot (accedere con le seguenti credenziali: user, axeposte@gmail.com; password, Poste2024!)_x000d__x000a_001 - https://axe.deque.com/issues/0cd8b611-a97a-4233-8804-b0796f730adb_x000d__x000a__x000d__x000a_Possibile Metodologia Risolutiva:_x000d__x000a_001 - Aumenta le dimensioni degli elementi cliccabili (ad esempio pulsanti o link) a una dimensione minima di 24x24 px e garantisci uno spazio sufficiente attorno a essi utilizzando il padding o il margine, evitando che gli elementi siano troppo vicini tra loro._x000d__x000a__x000d__x000a_Occorrenze rilevate: 6 https://posteitaliane.sharepoint.com/:x:/r/teams/ACCESSIBILITRISULTATIVERIFICHETECNICHE/Shared%20Documents/POSTEITALIANE.IT/LOG/Log.xlsx?d=wf3c65046abcc49009aae265aacd619cd&amp;csf=1&amp;web=1&amp;e=knhQX7_x000d__x000a__x000d__x000a_Link al dettaglio requisito WCAG: NOT FOUND_x000d__x000a_"/>
    <x v="0"/>
    <s v="(#TM0724)"/>
    <x v="4"/>
    <x v="0"/>
    <x v="16"/>
    <x v="4"/>
    <s v="001 - Tutte le destinazioni di tocco devono avere una dimensione di 24 px o lasciare spazio sufficiente-Assicurarsi che la destinazione di tocco disponga di dimensioni e spazio sufficienti [Ulteriori informazioni] (https://dequeuniversity.com/rules/axe/4.8/target-size?application=AxeChrome)"/>
    <s v="001 - Aumenta le dimensioni degli elementi cliccabili (ad esempio pulsanti o link) a una dimensione minima di 24x24 px e garantisci uno spazio sufficiente attorno a essi utilizzando il padding o il margine, evitando che gli elementi siano troppo vicini tra loro."/>
    <s v="001 - https://axe.deque.com/issues/0cd8b611-a97a-4233-8804-b0796f730adb"/>
  </r>
  <r>
    <s v="S0159.1.3.1"/>
    <s v="POSTE ITALIANE.IT - 9.1.3.1 Informazioni e correlazioni - S015 Presenta il tuo prgetto:: (#TM0678)_x000d__x000a_S015 Presenta il tuo prgetto_x000d__x000a_Requisito WCAG: 1.3.1_x000d__x000a_Disabilità afflitte: Blind;Deafblind;Mobility_x000d__x000a_Impatto Utente: 1 - Critical_x000d__x000a__x000d__x000a_Descrizione_x000d__x000a_001 - Gli elementi con un [role] ARIA che richiedono determinati figli per contenere uno specifico [role] mancano di alcuni o tutti i figli richiesti.-Alcuni ruoli padre ARIA devono contenere ruoli figlio specifici per eseguire le funzioni di accessibilità previste. [Ulteriori informazioni] (https://dequeuniversity.com/rules/axe/4.10/aria-required-children)_x000d__x000a__x000d__x000a_Esempio di violazione individuata sull'oggetto:_x000d__x000a_001 - https://www.posteitaliane.it/sponsorizzazioni#!/richiedi#headingPiccom12 &lt;div class=&quot;panel-group panel-group-pills&quot; role=&quot;tablist&quot; id=&quot;panelsBlock&quot;&gt; con selettore [&quot;#panelsBlock&quot;]_x000d__x000a__x000d__x000a_Dettaglio + screenshot (accedere con le seguenti credenziali: user, axeposte@gmail.com; password, Poste2024!)_x000d__x000a_001 - https://axe.deque.com/issues/7661a405-921b-485a-b677-a6dbc7ddafa2_x000d__x000a__x000d__x000a_Possibile Metodologia Risolutiva:_x000d__x000a_001 - Verifica che i ruoli ARIA padre abbiano i figli richiesti specificati nella documentazione ARIA. Ad esempio, un elemento con role=&quot;list&quot; deve contenere elementi con role=&quot;listitem&quot;. Modifica il codice HTML aggiungendo i ruoli mancanti o correggendo la struttura gerarchica._x000d__x000a__x000d__x000a_Occorrenze rilevate: 12 https://posteitaliane.sharepoint.com/:x:/r/teams/ACCESSIBILITRISULTATIVERIFICHETECNICHE/Shared%20Documents/POSTEITALIANE.IT/LOG/Log.xlsx?d=wf3c65046abcc49009aae265aacd619cd&amp;csf=1&amp;web=1&amp;e=knhQX7_x000d__x000a__x000d__x000a_Link al dettaglio requisito WCAG: NOT FOUND_x000d__x000a_"/>
    <x v="0"/>
    <s v="(#TM0678)"/>
    <x v="85"/>
    <x v="1"/>
    <x v="16"/>
    <x v="7"/>
    <s v="001 - Gli elementi con un [role] ARIA che richiedono determinati figli per contenere uno specifico [role] mancano di alcuni o tutti i figli richiesti.-Alcuni ruoli padre ARIA devono contenere ruoli figlio specifici per eseguire le funzioni di accessibilità previste. [Ulteriori informazioni] (https://dequeuniversity.com/rules/axe/4.10/aria-required-children)"/>
    <s v="001 - Verifica che i ruoli ARIA padre abbiano i figli richiesti specificati nella documentazione ARIA. Ad esempio, un elemento con role=&quot;list&quot; deve contenere elementi con role=&quot;listitem&quot;. Modifica il codice HTML aggiungendo i ruoli mancanti o correggendo la struttura gerarchica."/>
    <s v="001 - https://axe.deque.com/issues/7661a405-921b-485a-b677-a6dbc7ddafa2"/>
  </r>
  <r>
    <s v="S0159.2.4.4"/>
    <s v="POSTE ITALIANE.IT - 9.2.4.4 Scopo del collegamento (nel contesto) - S015 Presenta il tuo prgetto:: (#TM0704)_x000d__x000a_S015 Presenta il tuo prgetto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sponsorizzazioni#!/richiedi#headingPiccom12 &lt;a ng-class=&quot;{'open collapsed' : $ctrl.subStep &gt; 2 }&quot; role=&quot;button&quot; data-toggle=&quot;collapse&quot; href=&quot;javascript:void(0);&quot; data-target=&quot;#collapsePiccom12&quot; aria-expanded=&quot;true&quot; aria-controls=&quot;collapsePiccom12&quot;&gt; &lt;span class=&quot;collapsed-arrow&quot;&gt;&lt;/span&gt;&lt;/a&gt; con selettore [&quot;.pills-abs.pills-abs-right &gt; a[data-target=\&quot;#collapsePiccom12\&quot;][aria-controls=\&quot;collapsePiccom12\&quot;][role=\&quot;button\&quot;]&quot;]_x000d__x000a__x000d__x000a_Dettaglio + screenshot (accedere con le seguenti credenziali: user, axeposte@gmail.com; password, Poste2024!)_x000d__x000a_001 - https://axe.deque.com/issues/0d465025-2cd2-4cea-be2b-ebd4a967059f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5 https://posteitaliane.sharepoint.com/:x:/r/teams/ACCESSIBILITRISULTATIVERIFICHETECNICHE/Shared%20Documents/POSTEITALIANE.IT/LOG/Log.xlsx?d=wf3c65046abcc49009aae265aacd619cd&amp;csf=1&amp;web=1&amp;e=knhQX7_x000d__x000a__x000d__x000a_Link al dettaglio requisito WCAG: NOT FOUND_x000d__x000a_"/>
    <x v="0"/>
    <s v="(#TM0704)"/>
    <x v="86"/>
    <x v="0"/>
    <x v="16"/>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s v="001 - https://axe.deque.com/issues/0d465025-2cd2-4cea-be2b-ebd4a967059f"/>
  </r>
  <r>
    <s v="S0159.4.1.2"/>
    <s v="POSTE ITALIANE.IT - 9.4.1.2 Nome, ruolo, valore - S015 Presenta il tuo prgetto:: (#TM0723)_x000d__x000a_S015 Presenta il tuo prgetto_x000d__x000a_Requisito WCAG: 4.1.2_x000d__x000a_Disabilità afflitte: Blind;Mobility_x000d__x000a_Impatto Utente: 2 - Serious_x000d__x000a__x000d__x000a_Descrizione_x000d__x000a_001 - I controlli interattivi non devono essere nidificati-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_x000a__x000d__x000a_Esempio di violazione individuata sull'oggetto:_x000d__x000a_001 - https://www.posteitaliane.it/sponsorizzazioni#!/riepilogo &lt;div class=&quot;panel-heading&quot; role=&quot;tab&quot; id=&quot;headingdatiAllegati&quot; style=&quot;padding: 5px 0px; border-top: none;&quot; ng-style=&quot;( 5 == 0) ? {'border-top': '2px solid #ececec'}:{'border-top': 'none'}&quot;&gt; con selettore [&quot;#headingdatiAllegati&quot;]_x000d__x000a__x000d__x000a_Dettaglio + screenshot (accedere con le seguenti credenziali: user, axeposte@gmail.com; password, Poste2024!)_x000d__x000a_001 - https://axe.deque.com/issues/f71f34a1-d863-4a1c-965c-abbc1db7a1e9_x000d__x000a__x000d__x000a_Possibile Metodologia Risolutiva:_x000d__x000a_001 - Evita di nidificare elementi interattivi (es. un pulsante all'interno di un link). Ristruttura il codice per garantire che ogni controllo interattivo sia indipendente e non sovrapposto ad altri, ad esempio utilizzando uno stile o un elemento contenitore non interattivo._x000d__x000a__x000d__x000a_Occorrenze rilevate: 17 https://posteitaliane.sharepoint.com/:x:/r/teams/ACCESSIBILITRISULTATIVERIFICHETECNICHE/Shared%20Documents/POSTEITALIANE.IT/LOG/Log.xlsx?d=wf3c65046abcc49009aae265aacd619cd&amp;csf=1&amp;web=1&amp;e=knhQX7_x000d__x000a__x000d__x000a_Link al dettaglio requisito WCAG: NOT FOUND_x000d__x000a_"/>
    <x v="0"/>
    <s v="(#TM0723)"/>
    <x v="87"/>
    <x v="0"/>
    <x v="16"/>
    <x v="3"/>
    <s v="001 - I controlli interattivi non devono essere nidificati-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s v="001 - Evita di nidificare elementi interattivi (es. un pulsante all'interno di un link). Ristruttura il codice per garantire che ogni controllo interattivo sia indipendente e non sovrapposto ad altri, ad esempio utilizzando uno stile o un elemento contenitore non interattivo."/>
    <s v="001 - https://axe.deque.com/issues/f71f34a1-d863-4a1c-965c-abbc1db7a1e9"/>
  </r>
  <r>
    <s v="S0159.3.3.2"/>
    <s v="POSTE ITALIANE.IT - 9.3.3.2 Etichette o istruzioni - S015 Presenta il tuo prgetto:: (#TM0677)_x000d__x000a_S015 Presenta il tuo prgetto_x000d__x000a_Requisito WCAG: 3.3.2_x000d__x000a_Disabilità afflitte: Cognitive;Low Vision;Mobility_x000d__x000a_Impatto Utente: 2 - Serious_x000d__x000a__x000d__x000a_Descrizione_x000d__x000a_001 - Istruzioni mancanti per gli utenti di tecnologie assistive-Ulteriori istruzioni sono necessarie per il campo di immissione, ma non sono fornite per le persone con disabilità. Le persone senza disabilità hanno accesso a istruzioni aggiuntive. [Ulteriori informazioni] (https://docs.deque.com/issue-help/1.0.0/en/instructions-not-included)_x000d__x000a__x000d__x000a_Esempio di violazione individuata sull'oggetto:_x000d__x000a_001 - https://www.posteitaliane.it/sponsorizzazioni#!/richiedi  con selettore [&quot;body.ng-scope &gt; div.content.content-main.nobracket.border-xs-bottom.noanchor:nth-of-type(5) &gt; div.container:nth-of-type(1) &gt; div.row:nth-of-type(1) &gt; div#accessibility-anchor.col-md-12:nth-of-type(1) &gt; div.row:nth-of-type(1) &gt; div.col-md-9.col-structure:nth-of-type(1) &gt; main.ng-scope.ng-isolate-scope:nth-of-type(1) &gt; ui-view.ng-scope:nth-of-type(1) &gt; richiedi.ng-scope.ng-isolate-scope:nth-of-type(1) &gt; div#panelsBlock.panel-group.panel-group-pills:nth-of-type(2) &gt; form.ng-pristine.ng-invalid.ng-invalid-required.ng-valid-pattern.ng-valid-maxlength:nth-of-type(1) &gt; div.panel.panel-pills:nth-of-type(1) &gt; div#collapsePiccom11.panel-collapse.collapse.collapsePiccom11.in:nth-of-type(2) &gt; div.panel-body:nth-of-type(1) &gt; fieldset#fieldset11:nth-of-type(1) &gt; div.row:nth-of-type(2) &gt; div.col-sm-6.col-xs-12:nth-of-type(3) &gt; div.form-group.form-group-lg:nth-of-type(1) &gt; p:nth-of-type(1) &gt; input#via.form-control.ng-pristine.ng-untouched.ng-empty.ng-invalid.ng-invalid-required.ng-valid-pattern:nth-of-type(1)&quot;]_x000d__x000a__x000d__x000a_Dettaglio + screenshot (accedere con le seguenti credenziali: user, axeposte@gmail.com; password, Poste2024!)_x000d__x000a_001 - https://axe.deque.com/issues/2722fb97-4d55-4bcf-b67e-3a197712f098_x000d__x000a__x000d__x000a_Possibile Metodologia Risolutiva:_x000d__x000a_001 - Assicurati che le istruzioni presenti siano comprensibili per chi utilizza screen reader o altre tecnologie assistive. Evita riferimenti ambigui come “vedi sopra” o “clicca sul pulsante verde”; invece, descrivi chiaramente i passaggi o elementi necessari per eseguire un’azione, come “Seleziona il pulsante ‘Invia’ alla fine del modulo.” Le istruzioni dovrebbero essere inserite in un contesto che sia comprensibile anche senza riferimenti visivi.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TM0677)"/>
    <x v="88"/>
    <x v="0"/>
    <x v="16"/>
    <x v="11"/>
    <s v="001 - Istruzioni mancanti per gli utenti di tecnologie assistive-Ulteriori istruzioni sono necessarie per il campo di immissione, ma non sono fornite per le persone con disabilità. Le persone senza disabilità hanno accesso a istruzioni aggiuntive. [Ulteriori informazioni] (https://docs.deque.com/issue-help/1.0.0/en/instructions-not-included)"/>
    <s v="001 - Assicurati che le istruzioni presenti siano comprensibili per chi utilizza screen reader o altre tecnologie assistive. Evita riferimenti ambigui come “vedi sopra” o “clicca sul pulsante verde”; invece, descrivi chiaramente i passaggi o elementi necessari per eseguire un’azione, come “Seleziona il pulsante ‘Invia’ alla fine del modulo.” Le istruzioni dovrebbero essere inserite in un contesto che sia comprensibile anche senza riferimenti visivi."/>
    <s v="001 - https://axe.deque.com/issues/2722fb97-4d55-4bcf-b67e-3a197712f098"/>
  </r>
  <r>
    <s v="S0159.1.3.2"/>
    <s v="POSTE ITALIANE.IT - 9.1.3.2 Sequenza significativa - S015 Presenta il tuo prgetto:: (#TM0640)_x000d__x000a_S015 Presenta il tuo prgetto_x000d__x000a_Requisito WCAG: 1.3.2_x000d__x000a_Disabilità afflitte: Blind;Deafblind;Mobility_x000d__x000a_Impatto Utente: 2 - Serious_x000d__x000a__x000d__x000a_Descrizione_x000d__x000a_001 - In grado di navigare al di fuori della modale con screen reader-Le utilità per la lettura dello schermo possono leggere il contenuto al di fuori della finestra di dialogo modale. [Ulteriori informazioni] (https://docs.deque.com/issue-help/1.0.0/en/reading-order-browse-outside-modal)_x000d__x000a__x000d__x000a_Esempio di violazione individuata sull'oggetto:_x000d__x000a_001 - https://www.posteitaliane.it/sponsorizzazioni#!/progetto  con selettore [&quot;body.ng-scope.modal-open &gt; div.content.content-main.nobracket.border-xs-bottom.noanchor:nth-of-type(5) &gt; div.container:nth-of-type(1) &gt; div.row:nth-of-type(1) &gt; div#accessibility-anchor.col-md-12:nth-of-type(1) &gt; div.row:nth-of-type(1) &gt; div.col-md-9.col-structure:nth-of-type(1) &gt; main.ng-scope.ng-isolate-scope:nth-of-type(1) &gt; ui-view.ng-scope:nth-of-type(1) &gt; progetto.ng-scope.ng-isolate-scope:nth-of-type(1) &gt; div#panelsBlock.panel-group.panel-group-pills:nth-of-type(1) &gt; form.ng-invalid.ng-invalid-required.ng-valid-pattern.ng-valid-maxlength.ng-dirty.ng-valid-parse:nth-of-type(1) &gt; div.panel.panel-pills:nth-of-type(1) &gt; div#collapseProgetto21.panel-collapse.collapse.collapseProgetto21.in:nth-of-type(2) &gt; div.panel-body:nth-of-type(1) &gt; fieldset#fieldset21:nth-of-type(1) &gt; div.row:nth-of-type(6) &gt; div:nth-of-type(5) &gt; div#modalEventi.modal.modal-basic.fade.in:nth-of-type(1)&quot;]_x000d__x000a__x000d__x000a_Dettaglio + screenshot (accedere con le seguenti credenziali: user, axeposte@gmail.com; password, Poste2024!)_x000d__x000a_001 - https://axe.deque.com/issues/a33aa37f-ae75-44e8-8913-5487396d3d70_x000d__x000a__x000d__x000a_Possibile Metodologia Risolutiva:_x000d__x000a_001 - Impedisci la navigazione al di fuori di un contenuto modale attivo assicurandoti che il focus rimanga all'interno del modale fino alla sua chiusura.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640)"/>
    <x v="89"/>
    <x v="0"/>
    <x v="16"/>
    <x v="10"/>
    <s v="001 - In grado di navigare al di fuori della modale con screen reader-Le utilità per la lettura dello schermo possono leggere il contenuto al di fuori della finestra di dialogo modale. [Ulteriori informazioni] (https://docs.deque.com/issue-help/1.0.0/en/reading-order-browse-outside-modal)"/>
    <s v="001 - Impedisci la navigazione al di fuori di un contenuto modale attivo assicurandoti che il focus rimanga all'interno del modale fino alla sua chiusura."/>
    <s v="001 - https://axe.deque.com/issues/a33aa37f-ae75-44e8-8913-5487396d3d70"/>
  </r>
  <r>
    <s v="S0159.2.4.3"/>
    <s v="POSTE ITALIANE.IT - 9.2.4.3 Ordine del focus - S015 Presenta il tuo prgetto:: (#TM0641)_x000d__x000a_S015 Presenta il tuo prgetto_x000d__x000a_Requisito WCAG: 2.4.3_x000d__x000a_Disabilità afflitte: Blind;Deafblind;Mobility_x000d__x000a_Impatto Utente: 2 - Serious_x000d__x000a__x000d__x000a_Descrizione_x000d__x000a_001 - Chiudendo la modal, lo stato attivo non viene ripristinato per l'attivazione-Quando la finestra di dialogo modale o un elemento simile viene chiuso, lo stato attivo della tastiera non viene restituito all'elemento di attivazione. [Ulteriori informazioni] (https://docs.deque.com/issue-help/1.0.0/en/focus-modal-not-returned)_x000d__x000a__x000d__x000a_Esempio di violazione individuata sull'oggetto:_x000d__x000a_001 - https://www.posteitaliane.it/sponsorizzazioni#!/progetto  con selettore [&quot;body.ng-scope.modal-open &gt; div.content.content-main.nobracket.border-xs-bottom.noanchor:nth-of-type(5) &gt; div.container:nth-of-type(1) &gt; div.row:nth-of-type(1) &gt; div#accessibility-anchor.col-md-12:nth-of-type(1) &gt; div.row:nth-of-type(1) &gt; div.col-md-9.col-structure:nth-of-type(1) &gt; main.ng-scope.ng-isolate-scope:nth-of-type(1) &gt; ui-view.ng-scope:nth-of-type(1) &gt; progetto.ng-scope.ng-isolate-scope:nth-of-type(1) &gt; div#panelsBlock.panel-group.panel-group-pills:nth-of-type(1) &gt; form.ng-invalid.ng-invalid-required.ng-valid-pattern.ng-valid-maxlength.ng-dirty.ng-valid-parse:nth-of-type(1) &gt; div.panel.panel-pills:nth-of-type(1) &gt; div#collapseProgetto21.panel-collapse.collapse.collapseProgetto21.in:nth-of-type(2) &gt; div.panel-body:nth-of-type(1) &gt; fieldset#fieldset21:nth-of-type(1) &gt; div.row:nth-of-type(6) &gt; div:nth-of-type(5) &gt; div#modalEventi.modal.modal-basic.fade.in:nth-of-type(1)&quot;]_x000d__x000a__x000d__x000a_Dettaglio + screenshot (accedere con le seguenti credenziali: user, axeposte@gmail.com; password, Poste2024!)_x000d__x000a_001 - https://axe.deque.com/issues/65c0bc57-5864-4251-8a0d-3e128adebbd5_x000d__x000a__x000d__x000a_Possibile Metodologia Risolutiva:_x000d__x000a_001 - Ripristina il focus sull'elemento attivatore originale quando il modale viene chiuso, per garantire una navigazione fluida e prevedibile.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641)"/>
    <x v="90"/>
    <x v="0"/>
    <x v="16"/>
    <x v="6"/>
    <s v="001 - Chiudendo la modal, lo stato attivo non viene ripristinato per l'attivazione-Quando la finestra di dialogo modale o un elemento simile viene chiuso, lo stato attivo della tastiera non viene restituito all'elemento di attivazione. [Ulteriori informazioni] (https://docs.deque.com/issue-help/1.0.0/en/focus-modal-not-returned)"/>
    <s v="001 - Ripristina il focus sull'elemento attivatore originale quando il modale viene chiuso, per garantire una navigazione fluida e prevedibile."/>
    <s v="001 - https://axe.deque.com/issues/65c0bc57-5864-4251-8a0d-3e128adebbd5"/>
  </r>
  <r>
    <s v="S0029.2.4.2"/>
    <s v="POSTE ITALIANE.IT - 9.2.4.2 Titolazione della pagina - S002 Azienda:: (#D0047)_x000d__x000a_S002 Azienda_x000d__x000a_Requisito WCAG: 2.4.2_x000d__x000a_Disabilità afflitte: Blind;Deafblind;Mobility_x000d__x000a_Impatto Utente: 2 - Serious_x000d__x000a__x000d__x000a_Descrizione_x000d__x000a_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_x000d__x000a__x000d__x000a_Esempio di violazione individuata sull'oggetto:_x000d__x000a_001 - https://www.posteitaliane.it/en/mail-parcel-and-distribution.html &lt;html lang=\&quot;en\&quot; class=\&quot;pi-lg pi-chrome corporate-domain corporate-domain-posteitaliane\&quot;&gt; con selettore html.pi-lg_x000d__x000a__x000d__x000a_Possibile Metodologia Risolutiva:_x000d__x000a_001 - Aggiungi un tag &lt;title&gt; significativo all'interno dell'elemento &lt;head&gt; del documento HTML per fornire una descrizione chiara e concisa della pagina._x000d__x000a__x000d__x000a_Occorrenze rilevate: 5 https://posteitaliane.sharepoint.com/:x:/r/teams/ACCESSIBILITRISULTATIVERIFICHETECNICHE/Shared%20Documents/POSTEITALIANE.IT/LOG/Log.xlsx?d=wf3c65046abcc49009aae265aacd619cd&amp;csf=1&amp;web=1&amp;e=knhQX7_x000d__x000a__x000d__x000a_Link al dettaglio requisito WCAG: NOT FOUND_x000d__x000a_"/>
    <x v="0"/>
    <s v="(#D0047)"/>
    <x v="91"/>
    <x v="0"/>
    <x v="1"/>
    <x v="12"/>
    <s v="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
    <s v="001 - Aggiungi un tag &lt;title&gt; significativo all'interno dell'elemento &lt;head&gt; del documento HTML per fornire una descrizione chiara e concisa della pagina."/>
    <n v="0"/>
  </r>
  <r>
    <s v="S0019.2.4.2"/>
    <s v="POSTE ITALIANE.IT - 9.2.4.2 Titolazione della pagina - S001 Home:: (#D0725)_x000d__x000a_S001 Home_x000d__x000a_Requisito WCAG: 2.4.2_x000d__x000a_Disabilità afflitte: Blind;Deafblind;Mobility_x000d__x000a_Impatto Utente: 2 - Serious_x000d__x000a__x000d__x000a_Descrizione_x000d__x000a_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_x000d__x000a__x000d__x000a_Esempio di violazione individuata sull'oggetto:_x000d__x000a_001 - https://www.posteitaliane.it/en/cyber-security.html &lt;html lang=\&quot;en\&quot; class=\&quot;pi-lg pi-chrome corporate-domain corporate-domain-posteitaliane\&quot;&gt; con selettore html.pi-lg_x000d__x000a__x000d__x000a_Possibile Metodologia Risolutiva:_x000d__x000a_001 - Aggiungi un tag &lt;title&gt; significativo all'interno dell'elemento &lt;head&gt; del documento HTML per fornire una descrizione chiara e concisa della pagina.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D0725)"/>
    <x v="92"/>
    <x v="0"/>
    <x v="10"/>
    <x v="12"/>
    <s v="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
    <s v="001 - Aggiungi un tag &lt;title&gt; significativo all'interno dell'elemento &lt;head&gt; del documento HTML per fornire una descrizione chiara e concisa della pagina."/>
    <n v="0"/>
  </r>
  <r>
    <s v="S0189.1.4.3"/>
    <s v="POSTE ITALIANE.IT - 9.1.4.3 Contrasto (minimo) - S018 Sostenibilità -Calcolatore Interessi:: (#D0729)_x000d__x000a_S018 Sostenibilità -Calcolatore Interessi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en/debt-rating.html &lt;a target=\&quot;\&quot;&gt; con selettore div.row &gt; div.col-md-5 &gt; p.text-xs-center &gt; a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D0729)"/>
    <x v="93"/>
    <x v="0"/>
    <x v="17"/>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n v="0"/>
  </r>
  <r>
    <s v="S0189.1.1.1"/>
    <s v="POSTE ITALIANE.IT - 9.1.1.1 Contenuti non testuali - S018 Sostenibilità -Calcolatore Interessi:: (#D0733)_x000d__x000a_S018 Sostenibilità -Calcolatore Interessi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en/debt-rating.html &lt;img src=\&quot;https://www.posteitaliane.it/img/1476464858918/ico-social-facebook.png\&quot; srcset=\&quot;https://www.posteitaliane.it/img/1476464858918/2X/ico-social-facebook.png â€¦\&quot; class=\&quot;spacer-xs-top-10 social-icon\&quot;&gt; con selettore div.row &gt; div.col-sm-12 &gt; a &gt; img.spacer-xs-top-10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D0733)"/>
    <x v="94"/>
    <x v="1"/>
    <x v="17"/>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n v="0"/>
  </r>
  <r>
    <s v="S0189.2.4.4"/>
    <s v="POSTE ITALIANE.IT - 9.2.4.4 Scopo del collegamento (nel contesto) - S018 Sostenibilità -Calcolatore Interessi:: (#D0736)_x000d__x000a_S018 Sostenibilità -Calcolatore Interessi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en/debt-rating.html &lt;a href=\&quot;https://www.facebook.com/PosteItaliane\&quot; rel=\&quot;noopener noreferrer\&quot; target=\&quot;_blank\&quot;&gt; con selettore div.col-sm-12 &gt; div.row &gt; div.col-sm-12 &gt; a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D0736)"/>
    <x v="95"/>
    <x v="0"/>
    <x v="17"/>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n v="0"/>
  </r>
  <r>
    <s v="S0039.2.4.2"/>
    <s v="POSTE ITALIANE.IT - 9.2.4.2 Titolazione della pagina - S003 Investitori:: (#D0945)_x000d__x000a_S003 Investitori_x000d__x000a_Requisito WCAG: 2.4.2_x000d__x000a_Disabilità afflitte: Blind;Deafblind;Mobility_x000d__x000a_Impatto Utente: 2 - Serious_x000d__x000a__x000d__x000a_Descrizione_x000d__x000a_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_x000d__x000a__x000d__x000a_Esempio di violazione individuata sull'oggetto:_x000d__x000a_001 - https://www.posteitaliane.it/en/financial-services.html &lt;html lang=\&quot;en\&quot; class=\&quot;pi-lg pi-chrome corporate-domain corporate-domain-posteitaliane\&quot;&gt; con selettore html.pi-lg_x000d__x000a__x000d__x000a_Possibile Metodologia Risolutiva:_x000d__x000a_001 - Aggiungi un tag &lt;title&gt; significativo all'interno dell'elemento &lt;head&gt; del documento HTML per fornire una descrizione chiara e concisa della pagina.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D0945)"/>
    <x v="96"/>
    <x v="0"/>
    <x v="5"/>
    <x v="12"/>
    <s v="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
    <s v="001 - Aggiungi un tag &lt;title&gt; significativo all'interno dell'elemento &lt;head&gt; del documento HTML per fornire una descrizione chiara e concisa della pagina."/>
    <n v="0"/>
  </r>
  <r>
    <s v="S0219.4.1.1"/>
    <s v="POSTE ITALIANE.IT - 9.4.1.1 Analisi sintattica (parsing) - S021 Cerca nel sito:: (#D1979)_x000d__x000a_S021 Cerca nel sito_x000d__x000a_Requisito WCAG: 4.1.1_x000d__x000a_Disabilità afflitte: Blind;Deafblind_x000d__x000a_Impatto Utente: 1 - Critical_x000d__x000a__x000d__x000a_Descrizione_x000d__x000a_001 - Gli ID ARIA non sono univoci-Il valore di un ID ARIA deve essere univoco per evitare che altre istanze vengano trascurate dalle tecnologie assistive. [Ulteriori informazioni] (https://web.dev/duplicate-id-aria/)_x000d__x000a__x000d__x000a_Esempio di violazione individuata sull'oggetto:_x000d__x000a_001 - https://www.posteitaliane.it/en/search/index.html &lt;input type=\&quot;text\&quot; class=\&quot;input-search form-control spacer-xs-top-05 tt-input\&quot; id=\&quot;campo-ricerca\&quot; placeholder=\&quot;Search in the website\&quot; style=\&quot;float: none; position: relative; vertical-align: top;\&quot; autocomplete=\&quot;off\&quot; spellcheck=\&quot;false\&quot; dir=\&quot;auto\&quot;&gt; con selettore div.form-group &gt; div.input-group &gt; span.twitter-typeahead &gt; input#campo-ricerca_x000d__x000a__x000d__x000a_Possibile Metodologia Risolutiva:_x000d__x000a_001 - 0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D1979)"/>
    <x v="97"/>
    <x v="1"/>
    <x v="3"/>
    <x v="13"/>
    <s v="001 - Gli ID ARIA non sono univoci-Il valore di un ID ARIA deve essere univoco per evitare che altre istanze vengano trascurate dalle tecnologie assistive. [Ulteriori informazioni] (https://web.dev/duplicate-id-aria/)"/>
    <s v="001 - 0"/>
    <n v="0"/>
  </r>
  <r>
    <s v="S0199.1.3.1"/>
    <s v="POSTE ITALIANE.IT - 9.1.3.1 Informazioni e correlazioni - S019 Educazione Digitale:: (#D2215)_x000d__x000a_S019 Educazione Digitale_x000d__x000a_Requisito WCAG: 1.3.1_x000d__x000a_Disabilità afflitte: Blind;Deafblind;Mobility_x000d__x000a_Impatto Utente: 1 - Critical_x000d__x000a__x000d__x000a_Descrizione_x000d__x000a_001 - Gli elementi con un [role] ARIA che richiedono determinati figli per contenere uno specifico [role] mancano di alcuni o tutti i figli richiesti.-Alcuni ruoli padre ARIA devono contenere ruoli figlio specifici per eseguire le funzioni di accessibilità previste. [Ulteriori informazioni] (https://dequeuniversity.com/rules/axe/4.10/aria-required-children)_x000d__x000a__x000d__x000a_Esempio di violazione individuata sull'oggetto:_x000d__x000a_001 - https://www.posteitaliane.it/it/2m-km.html &lt;ul class=\&quot;segments segments-3\&quot; role=\&quot;tablist\&quot;&gt; con selettore div#schedainfo-01 &gt; div.row &gt; div.col-sm-4 &gt; ul.segments_x000d__x000a__x000d__x000a_Possibile Metodologia Risolutiva:_x000d__x000a_001 - Verifica che i ruoli ARIA padre abbiano i figli richiesti specificati nella documentazione ARIA. Ad esempio, un elemento con role=&quot;list&quot; deve contenere elementi con role=&quot;listitem&quot;. Modifica il codice HTML aggiungendo i ruoli mancanti o correggendo la struttura gerarchica._x000d__x000a__x000d__x000a_Occorrenze rilevate: 1931 https://posteitaliane.sharepoint.com/:x:/r/teams/ACCESSIBILITRISULTATIVERIFICHETECNICHE/Shared%20Documents/POSTEITALIANE.IT/LOG/Log.xlsx?d=wf3c65046abcc49009aae265aacd619cd&amp;csf=1&amp;web=1&amp;e=knhQX7_x000d__x000a__x000d__x000a_Link al dettaglio requisito WCAG: NOT FOUND_x000d__x000a_"/>
    <x v="0"/>
    <s v="(#D2215)"/>
    <x v="98"/>
    <x v="1"/>
    <x v="0"/>
    <x v="7"/>
    <s v="001 - Gli elementi con un [role] ARIA che richiedono determinati figli per contenere uno specifico [role] mancano di alcuni o tutti i figli richiesti.-Alcuni ruoli padre ARIA devono contenere ruoli figlio specifici per eseguire le funzioni di accessibilità previste. [Ulteriori informazioni] (https://dequeuniversity.com/rules/axe/4.10/aria-required-children)"/>
    <s v="001 - Verifica che i ruoli ARIA padre abbiano i figli richiesti specificati nella documentazione ARIA. Ad esempio, un elemento con role=&quot;list&quot; deve contenere elementi con role=&quot;listitem&quot;. Modifica il codice HTML aggiungendo i ruoli mancanti o correggendo la struttura gerarchica."/>
    <n v="0"/>
  </r>
  <r>
    <s v="S0079.4.1.2"/>
    <s v="POSTE ITALIANE.IT - 9.4.1.2 Nome, ruolo, valore - S007 Sostenibilità:: (#D2268)_x000d__x000a_S007 Sostenibilità_x000d__x000a_Requisito WCAG: 4.1.2_x000d__x000a_Disabilità afflitte: Blind;Deafblind;Mobility_x000d__x000a_Impatto Utente: 2 - Serious_x000d__x000a__x000d__x000a_Descrizione_x000d__x000a_001 - Gli elementi '&lt;frame&gt;' o '&lt;iframe&gt;' non hanno un titolo-Gli utenti di screen reader si affidano ai titoli dei frame per descrivere il contenuto dei frame. [Ulteriori informazioni] (https://web.dev/frame-title/)_x000d__x000a__x000d__x000a_Esempio di violazione individuata sull'oggetto:_x000d__x000a_001 - https://www.posteitaliane.it/it/abbina-le-estensioni-quiz.html &lt;iframe width=\&quot;100%\&quot; height=\&quot;580.0\&quot; frameborder=\&quot;0\&quot; src=\&quot;https://view.genial.ly/6023a053bc68140d72ff8968\&quot; scrolling=\&quot;yes\&quot; allowtransparency=\&quot;true\&quot;&gt; con selettore div.row &gt; div.col-sm-12 &gt; div &gt; iframe_x000d__x000a__x000d__x000a_Possibile Metodologia Risolutiva:_x000d__x000a_001 - Assegna titoli descrittivi agli elementi &lt;frame&gt; e &lt;iframe&gt; per consentire agli utenti di capire il contenuto all'interno del frame e facilitare la navigazione._x000d__x000a__x000d__x000a_Occorrenze rilevate: 20 https://posteitaliane.sharepoint.com/:x:/r/teams/ACCESSIBILITRISULTATIVERIFICHETECNICHE/Shared%20Documents/POSTEITALIANE.IT/LOG/Log.xlsx?d=wf3c65046abcc49009aae265aacd619cd&amp;csf=1&amp;web=1&amp;e=knhQX7_x000d__x000a__x000d__x000a_Link al dettaglio requisito WCAG: NOT FOUND_x000d__x000a_"/>
    <x v="0"/>
    <s v="(#D2268)"/>
    <x v="99"/>
    <x v="0"/>
    <x v="11"/>
    <x v="3"/>
    <s v="001 - Gli elementi '&lt;frame&gt;' o '&lt;iframe&gt;' non hanno un titolo-Gli utenti di screen reader si affidano ai titoli dei frame per descrivere il contenuto dei frame. [Ulteriori informazioni] (https://web.dev/frame-title/)"/>
    <s v="001 - Assegna titoli descrittivi agli elementi &lt;frame&gt; e &lt;iframe&gt; per consentire agli utenti di capire il contenuto all'interno del frame e facilitare la navigazione."/>
    <n v="0"/>
  </r>
  <r>
    <s v="S0129.4.1.2"/>
    <s v="POSTE ITALIANE.IT - 9.4.1.2 Nome, ruolo, valore - S012 Bilanci e Relazioni:: (#D2344)_x000d__x000a_S012 Bilanci e Relazioni_x000d__x000a_Requisito WCAG: 4.1.2_x000d__x000a_Disabilità afflitte: Blind;Deafblind;Mobility_x000d__x000a_Impatto Utente: 1 - Critical_x000d__x000a__x000d__x000a_Descrizione_x000d__x000a_001 - Gli elementi devono utilizzare solo attributi ARIA ammissibili-Assicurarsi che gli attributi ARIA siano consentiti per il ruolo di un elemento [Ulteriori informazioni] (https://dequeuniversity.com/rules/axe/4.7/aria-allowed-attr?application=drwright)_x000d__x000a__x000d__x000a_Esempio di violazione individuata sull'oggetto:_x000d__x000a_001 - https://www.posteitaliane.it/it/addizionatrici-e-calcolatrici.html &lt;li class=\&quot;slick-active\&quot; aria-hidden=\&quot;false\&quot; role=\&quot;presentation\&quot; aria-selected=\&quot;true\&quot; aria-controls=\&quot;navigation00\&quot; id=\&quot;slick-slide00\&quot;&gt; con selettore div#gallery-catalog01 &gt; div.row &gt; ul.slick-dots &gt; li#slick-slide00_x000d__x000a__x000d__x000a_Possibile Metodologia Risolutiva:_x000d__x000a_001 - Verificare che gli attributi ARIA utilizzati siano ammessi per i ruoli specificati negli elementi, consultando la documentazione ufficiale WAI-ARIA. Rimuovere o correggere gli attributi non validi per garantire conformità e compatibilità._x000d__x000a__x000d__x000a_Occorrenze rilevate: 10 https://posteitaliane.sharepoint.com/:x:/r/teams/ACCESSIBILITRISULTATIVERIFICHETECNICHE/Shared%20Documents/POSTEITALIANE.IT/LOG/Log.xlsx?d=wf3c65046abcc49009aae265aacd619cd&amp;csf=1&amp;web=1&amp;e=knhQX7_x000d__x000a__x000d__x000a_Link al dettaglio requisito WCAG: NOT FOUND_x000d__x000a_"/>
    <x v="0"/>
    <s v="(#D2344)"/>
    <x v="100"/>
    <x v="1"/>
    <x v="12"/>
    <x v="3"/>
    <s v="001 - Gli elementi devono utilizzare solo attributi ARIA ammissibili-Assicurarsi che gli attributi ARIA siano consentiti per il ruolo di un elemento [Ulteriori informazioni] (https://dequeuniversity.com/rules/axe/4.7/aria-allowed-attr?application=drwright)"/>
    <s v="001 - Verificare che gli attributi ARIA utilizzati siano ammessi per i ruoli specificati negli elementi, consultando la documentazione ufficiale WAI-ARIA. Rimuovere o correggere gli attributi non validi per garantire conformità e compatibilità."/>
    <n v="0"/>
  </r>
  <r>
    <s v="S0079.2.4.2"/>
    <s v="POSTE ITALIANE.IT - 9.2.4.2 Titolazione della pagina - S007 Sostenibilità:: (#D2872)_x000d__x000a_S007 Sostenibilità_x000d__x000a_Requisito WCAG: 2.4.2_x000d__x000a_Disabilità afflitte: Blind;Deafblind;Mobility_x000d__x000a_Impatto Utente: 2 - Serious_x000d__x000a__x000d__x000a_Descrizione_x000d__x000a_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_x000d__x000a__x000d__x000a_Esempio di violazione individuata sull'oggetto:_x000d__x000a_001 - https://www.posteitaliane.it/it/buono-a-sapersi-video.html &lt;html lang=\&quot;it\&quot; class=\&quot;pi-lg pi-chrome corporate-domain corporate-domain-posteitaliane\&quot;&gt; con selettore html.pi-lg_x000d__x000a__x000d__x000a_Possibile Metodologia Risolutiva:_x000d__x000a_001 - Aggiungi un tag &lt;title&gt; significativo all'interno dell'elemento &lt;head&gt; del documento HTML per fornire una descrizione chiara e concisa della pagina._x000d__x000a__x000d__x000a_Occorrenze rilevate: 6 https://posteitaliane.sharepoint.com/:x:/r/teams/ACCESSIBILITRISULTATIVERIFICHETECNICHE/Shared%20Documents/POSTEITALIANE.IT/LOG/Log.xlsx?d=wf3c65046abcc49009aae265aacd619cd&amp;csf=1&amp;web=1&amp;e=knhQX7_x000d__x000a__x000d__x000a_Link al dettaglio requisito WCAG: NOT FOUND_x000d__x000a_"/>
    <x v="0"/>
    <s v="(#D2872)"/>
    <x v="101"/>
    <x v="0"/>
    <x v="11"/>
    <x v="12"/>
    <s v="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
    <s v="001 - Aggiungi un tag &lt;title&gt; significativo all'interno dell'elemento &lt;head&gt; del documento HTML per fornire una descrizione chiara e concisa della pagina."/>
    <n v="0"/>
  </r>
  <r>
    <s v="S0079.3.1.1"/>
    <s v="POSTE ITALIANE.IT - 9.3.1.1 Lingua della pagina - S007 Sostenibilità:: (#D3509)_x000d__x000a_S007 Sostenibilità_x000d__x000a_Requisito WCAG: 3.1.1_x000d__x000a_Disabilità afflitte: Blind;Cognitive;Deafblind_x000d__x000a_Impatto Utente: 2 - Serious_x000d__x000a__x000d__x000a_Descrizione_x000d__x000a_001 - L'elemento '&lt;html&gt;' non dispone di un attributo '[lang]'-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_x000d__x000a__x000d__x000a_Esempio di violazione individuata sull'oggetto:_x000d__x000a_001 - https://www.posteitaliane.it/it/consumatori-area-associazioni.html &lt;html&gt; con selettore html_x000d__x000a__x000d__x000a_Possibile Metodologia Risolutiva:_x000d__x000a_001 - Aggiungi l'attributo lang all'elemento &lt;html&gt; specificando la lingua della pagina (es. &lt;html lang=&quot;it&quot;&gt; per l'italiano). Questo permette agli screen reader di utilizzare la corretta pronuncia.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D3509)"/>
    <x v="102"/>
    <x v="0"/>
    <x v="11"/>
    <x v="14"/>
    <s v="001 - L'elemento '&lt;html&gt;' non dispone di un attributo '[lang]'-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s v="001 - Aggiungi l'attributo lang all'elemento &lt;html&gt; specificando la lingua della pagina (es. &lt;html lang=&quot;it&quot;&gt; per l'italiano). Questo permette agli screen reader di utilizzare la corretta pronuncia."/>
    <n v="0"/>
  </r>
  <r>
    <s v="S0179.1.4.3"/>
    <s v="POSTE ITALIANE.IT - 9.1.4.3 Contrasto (minimo) - S017 Sostenibilità- Bilancio Personale e Familiare:: (#D4283)_x000d__x000a_S017 Sostenibilità- Bilancio Personale e Familiare_x000d__x000a_Requisito WCAG: 1.4.3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it/gestione-del-budget-familiare-convegno-web.html &lt;a target=\&quot;\&quot;&gt; con selettore div.row &gt; div.col-md-5 &gt; p.text-xs-center &gt; a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D4283)"/>
    <x v="103"/>
    <x v="0"/>
    <x v="18"/>
    <x v="0"/>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n v="0"/>
  </r>
  <r>
    <s v="S0179.4.1.2"/>
    <s v="POSTE ITALIANE.IT - 9.4.1.2 Nome, ruolo, valore - S017 Sostenibilità- Bilancio Personale e Familiare:: (#D4287)_x000d__x000a_S017 Sostenibilità- Bilancio Personale e Familiare_x000d__x000a_Requisito WCAG: 4.1.2_x000d__x000a_Disabilità afflitte: Blind;Deafblind;Mobility_x000d__x000a_Impatto Utente: 2 - Serious_x000d__x000a__x000d__x000a_Descrizione_x000d__x000a_001 - Gli elementi '&lt;frame&gt;' o '&lt;iframe&gt;' non hanno un titolo-Gli utenti di screen reader si affidano ai titoli dei frame per descrivere il contenuto dei frame. [Ulteriori informazioni] (https://web.dev/frame-title/)_x000d__x000a__x000d__x000a_Esempio di violazione individuata sull'oggetto:_x000d__x000a_001 - https://www.posteitaliane.it/it/gestione-del-budget-familiare-convegno-web.html &lt;iframe height=\&quot;100%\&quot; width=\&quot;100%\&quot; src=\&quot;https://videoistituzionali-service.postestreamhub.net/acn_player/index.htmâ€¦\&quot; frameborder=\&quot;0\&quot; allowfullscreen=\&quot;\&quot;&gt; con selettore div.row &gt; div.col-md-12 &gt; div.embed-responsive &gt; iframe_x000d__x000a__x000d__x000a_Possibile Metodologia Risolutiva:_x000d__x000a_001 - Assegna titoli descrittivi agli elementi &lt;frame&gt; e &lt;iframe&gt; per consentire agli utenti di capire il contenuto all'interno del frame e facilitare la navigazione.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D4287)"/>
    <x v="104"/>
    <x v="0"/>
    <x v="18"/>
    <x v="3"/>
    <s v="001 - Gli elementi '&lt;frame&gt;' o '&lt;iframe&gt;' non hanno un titolo-Gli utenti di screen reader si affidano ai titoli dei frame per descrivere il contenuto dei frame. [Ulteriori informazioni] (https://web.dev/frame-title/)"/>
    <s v="001 - Assegna titoli descrittivi agli elementi &lt;frame&gt; e &lt;iframe&gt; per consentire agli utenti di capire il contenuto all'interno del frame e facilitare la navigazione."/>
    <n v="0"/>
  </r>
  <r>
    <s v="S0179.1.1.1"/>
    <s v="POSTE ITALIANE.IT - 9.1.1.1 Contenuti non testuali - S017 Sostenibilità- Bilancio Personale e Familiare:: (#D4288)_x000d__x000a_S017 Sostenibilità- Bilancio Personale e Familiare_x000d__x000a_Requisito WCAG: 1.1.1_x000d__x000a_Disabilità afflitte: Blind;Deafblind_x000d__x000a_Impatto Utente: 1 - Critical_x000d__x000a__x000d__x000a_Descrizione_x000d__x000a_001 - Gli elementi immagine non hanno attributi '[alt]'-Gli elementi informativi dovrebbero mirare a un testo alternativo breve e descrittivo. Gli elementi decorativi possono essere ignorati con un attributo alt vuoto. [Ulteriori informazioni] (https://dequeuniversity.com/rules/axe/4.10/image-alt)_x000d__x000a__x000d__x000a_Esempio di violazione individuata sull'oggetto:_x000d__x000a_001 - https://www.posteitaliane.it/it/gestione-del-budget-familiare-convegno-web.html &lt;img src=\&quot;https://www.posteitaliane.it/img/1476464858918/ico-social-facebook.png\&quot; srcset=\&quot;https://www.posteitaliane.it/img/1476464858918/2X/ico-social-facebook.png â€¦\&quot; class=\&quot;spacer-xs-top-10 social-icon\&quot;&gt; con selettore div.row &gt; div.col-sm-12 &gt; a &gt; img.spacer-xs-top-10_x000d__x000a__x000d__x000a_Possibile Metodologia Risolutiva:_x000d__x000a_001 - Fornisci un attributo alt descrittivo per ogni immagine. Questo consente agli screen reader di descrivere l’immagine agli utenti con disabilità visive, migliorando l’accessibilità del contenuto visivo.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D4288)"/>
    <x v="105"/>
    <x v="1"/>
    <x v="18"/>
    <x v="1"/>
    <s v="001 - Gli elementi immagine non hanno attributi '[alt]'-Gli elementi informativi dovrebbero mirare a un testo alternativo breve e descrittivo. Gli elementi decorativi possono essere ignorati con un attributo alt vuoto. [Ulteriori informazioni] (https://dequeuniversity.com/rules/axe/4.10/image-alt)"/>
    <s v="001 - Fornisci un attributo alt descrittivo per ogni immagine. Questo consente agli screen reader di descrivere l’immagine agli utenti con disabilità visive, migliorando l’accessibilità del contenuto visivo."/>
    <n v="0"/>
  </r>
  <r>
    <s v="S0179.2.4.4"/>
    <s v="POSTE ITALIANE.IT - 9.2.4.4 Scopo del collegamento (nel contesto) - S017 Sostenibilità- Bilancio Personale e Familiare:: (#D4291)_x000d__x000a_S017 Sostenibilità- Bilancio Personale e Familiare_x000d__x000a_Requisito WCAG: 2.4.4_x000d__x000a_Disabilità afflitte: Blind;Deafblind;Mobility_x000d__x000a_Impatto Utente: 2 - Serious_x000d__x000a__x000d__x000a_Descrizione_x000d__x000a_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_x000d__x000a__x000d__x000a_Esempio di violazione individuata sull'oggetto:_x000d__x000a_001 - https://www.posteitaliane.it/it/gestione-del-budget-familiare-convegno-web.html &lt;a href=\&quot;https://www.facebook.com/PosteItaliane\&quot; rel=\&quot;noopener noreferrer\&quot; target=\&quot;_blank\&quot;&gt; con selettore div.col-sm-12 &gt; div.row &gt; div.col-sm-12 &gt; a_x000d__x000a__x000d__x000a_Possibile Metodologia Risolutiva:_x000d__x000a_001 - Usa testo descrittivo per i link che spieghi chiaramente dove porta il collegamento o la sua funzione. Evita testi generici come &quot;clicca qui&quot; che non forniscono contesto._x000d__x000a__x000d__x000a_Occorrenze rilevate: 5 https://posteitaliane.sharepoint.com/:x:/r/teams/ACCESSIBILITRISULTATIVERIFICHETECNICHE/Shared%20Documents/POSTEITALIANE.IT/LOG/Log.xlsx?d=wf3c65046abcc49009aae265aacd619cd&amp;csf=1&amp;web=1&amp;e=knhQX7_x000d__x000a__x000d__x000a_Link al dettaglio requisito WCAG: NOT FOUND_x000d__x000a_"/>
    <x v="0"/>
    <s v="(#D4291)"/>
    <x v="106"/>
    <x v="0"/>
    <x v="18"/>
    <x v="2"/>
    <s v="001 - I link non hanno un nome riconoscibile-Il testo dei collegamenti (e il testo alternativo per le immagini, se utilizzato come collegamento) che è distinguibile, univoco e focalizzabile migliora l'esperienza di navigazione per gli utenti di utilità per la lettura dello schermo. [Ulteriori informazioni] (https://dequeuniversity.com/rules/axe/4.10/link-name)"/>
    <s v="001 - Usa testo descrittivo per i link che spieghi chiaramente dove porta il collegamento o la sua funzione. Evita testi generici come &quot;clicca qui&quot; che non forniscono contesto."/>
    <n v="0"/>
  </r>
  <r>
    <s v="S0099.2.4.2"/>
    <s v="POSTE ITALIANE.IT - 9.2.4.2 Titolazione della pagina - S009 Vetrina Immobiliare:: (#D4395)_x000d__x000a_S009 Vetrina Immobiliare_x000d__x000a_Requisito WCAG: 2.4.2_x000d__x000a_Disabilità afflitte: Blind;Deafblind;Mobility_x000d__x000a_Impatto Utente: 2 - Serious_x000d__x000a__x000d__x000a_Descrizione_x000d__x000a_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_x000d__x000a__x000d__x000a_Esempio di violazione individuata sull'oggetto:_x000d__x000a_001 - https://www.posteitaliane.it/it/immobile-EGI-Favaro-Veneto.html &lt;html lang=\&quot;it\&quot; class=\&quot;pi-lg pi-chrome corporate-domain corporate-domain-posteitaliane\&quot;&gt; con selettore html.pi-lg_x000d__x000a__x000d__x000a_Possibile Metodologia Risolutiva:_x000d__x000a_001 - Aggiungi un tag &lt;title&gt; significativo all'interno dell'elemento &lt;head&gt; del documento HTML per fornire una descrizione chiara e concisa della pagina.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D4395)"/>
    <x v="107"/>
    <x v="0"/>
    <x v="14"/>
    <x v="12"/>
    <s v="001 - Il documento non ha un elemento '&lt;title&gt;'-Il titolo offre agli utenti di screen reader una panoramica della pagina e gli utenti dei motori di ricerca fanno molto affidamento su di esso per determinare se una pagina è pertinente alla loro ricerca. [Ulteriori informazioni] (https://dequeuniversity.com/rules/axe/4.10/document-title)"/>
    <s v="001 - Aggiungi un tag &lt;title&gt; significativo all'interno dell'elemento &lt;head&gt; del documento HTML per fornire una descrizione chiara e concisa della pagina."/>
    <n v="0"/>
  </r>
  <r>
    <s v="S0179.1.3.1"/>
    <s v="POSTE ITALIANE.IT - 9.1.3.1 Informazioni e correlazioni - S017 Sostenibilità- Bilancio Personale e Familiare:: (#D6761)_x000d__x000a_S017 Sostenibilità- Bilancio Personale e Familiare_x000d__x000a_Requisito WCAG: 1.3.1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educazione-finanziaria/tool-budgeting &lt;a target=&quot;&quot;&gt;&lt;br&gt; Â© Poste Italiane 2024 - Partita iva: 01114601006 &lt;/a&gt; con selettore a[target=&quot;&quot;]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57 https://posteitaliane.sharepoint.com/:x:/r/teams/ACCESSIBILITRISULTATIVERIFICHETECNICHE/Shared%20Documents/POSTEITALIANE.IT/LOG/Log.xlsx?d=wf3c65046abcc49009aae265aacd619cd&amp;csf=1&amp;web=1&amp;e=knhQX7_x000d__x000a__x000d__x000a_Link al dettaglio requisito WCAG: NOT FOUND_x000d__x000a_"/>
    <x v="0"/>
    <s v="(#D6761)"/>
    <x v="108"/>
    <x v="0"/>
    <x v="18"/>
    <x v="7"/>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n v="0"/>
  </r>
  <r>
    <s v="S0049.1.3.1"/>
    <s v="POSTE ITALIANE.IT - 9.1.3.1 Informazioni e correlazioni - S004 Governance:: (#D6796)_x000d__x000a_S004 Governance_x000d__x000a_Requisito WCAG: 1.3.1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en/2016-assembly.html &lt;a target=&quot;&quot;&gt;&lt;br&gt; Â© Poste Italiane 2024 - VAT registration number: 01114601006&lt;/a&gt; con selettore a[target=&quot;&quot;]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168 https://posteitaliane.sharepoint.com/:x:/r/teams/ACCESSIBILITRISULTATIVERIFICHETECNICHE/Shared%20Documents/POSTEITALIANE.IT/LOG/Log.xlsx?d=wf3c65046abcc49009aae265aacd619cd&amp;csf=1&amp;web=1&amp;e=knhQX7_x000d__x000a__x000d__x000a_Link al dettaglio requisito WCAG: NOT FOUND_x000d__x000a_"/>
    <x v="0"/>
    <s v="(#D6796)"/>
    <x v="109"/>
    <x v="0"/>
    <x v="9"/>
    <x v="7"/>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n v="0"/>
  </r>
  <r>
    <s v="S0209.1.3.1"/>
    <s v="POSTE ITALIANE.IT - 9.1.3.1 Informazioni e correlazioni - S020 Carriere:: (#D6898)_x000d__x000a_S020 Carriere_x000d__x000a_Requisito WCAG: 1.3.1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en/careers.html &lt;a target=&quot;&quot;&gt;&lt;br&gt; Â© Poste Italiane 2024 - VAT registration number: 01114601006&lt;/a&gt; con selettore a[target=&quot;&quot;]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186 https://posteitaliane.sharepoint.com/:x:/r/teams/ACCESSIBILITRISULTATIVERIFICHETECNICHE/Shared%20Documents/POSTEITALIANE.IT/LOG/Log.xlsx?d=wf3c65046abcc49009aae265aacd619cd&amp;csf=1&amp;web=1&amp;e=knhQX7_x000d__x000a__x000d__x000a_Link al dettaglio requisito WCAG: NOT FOUND_x000d__x000a_"/>
    <x v="0"/>
    <s v="(#D6898)"/>
    <x v="110"/>
    <x v="0"/>
    <x v="2"/>
    <x v="7"/>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n v="0"/>
  </r>
  <r>
    <s v="S0189.1.3.1"/>
    <s v="POSTE ITALIANE.IT - 9.1.3.1 Informazioni e correlazioni - S018 Sostenibilità -Calcolatore Interessi:: (#D6966)_x000d__x000a_S018 Sostenibilità -Calcolatore Interessi_x000d__x000a_Requisito WCAG: 1.3.1_x000d__x000a_Disabilità afflitte: Colorblindness;Low Vision_x000d__x000a_Impatto Utente: 2 - Serious_x000d__x000a__x000d__x000a_Descrizione_x000d__x000a_001 - I colori di sfondo e di primo piano non hanno un rapporto di contrasto sufficiente.-Il testo a basso contrasto è difficile o impossibile da leggere per molti utenti. [Ulteriori informazioni] (https://dequeuniversity.com/rules/axe/4.10/color-contrast)_x000d__x000a__x000d__x000a_Esempio di violazione individuata sull'oggetto:_x000d__x000a_001 - https://www.posteitaliane.it/en/debt-rating.html &lt;a target=&quot;&quot;&gt;&lt;br&gt; Â© Poste Italiane 2024 - VAT registration number: 01114601006&lt;/a&gt; con selettore a[target=&quot;&quot;]_x000d__x000a__x000d__x000a_Possibile Metodologia Risolutiva:_x000d__x000a_001 - Aumenta il contrasto tra testo e sfondo per rendere il contenuto leggibile da utenti con difficoltà visive. WCAG richiede un rapporto di almeno 4.5:1 per il testo normale e 3:1 per il testo grande, quindi scegli colori che rispettino queste soglie._x000d__x000a__x000d__x000a_Occorrenze rilevate: 13 https://posteitaliane.sharepoint.com/:x:/r/teams/ACCESSIBILITRISULTATIVERIFICHETECNICHE/Shared%20Documents/POSTEITALIANE.IT/LOG/Log.xlsx?d=wf3c65046abcc49009aae265aacd619cd&amp;csf=1&amp;web=1&amp;e=knhQX7_x000d__x000a__x000d__x000a_Link al dettaglio requisito WCAG: NOT FOUND_x000d__x000a_"/>
    <x v="0"/>
    <s v="(#D6966)"/>
    <x v="111"/>
    <x v="0"/>
    <x v="17"/>
    <x v="7"/>
    <s v="001 - I colori di sfondo e di primo piano non hanno un rapporto di contrasto sufficiente.-Il testo a basso contrasto è difficile o impossibile da leggere per molti utenti. [Ulteriori informazioni] (https://dequeuniversity.com/rules/axe/4.10/color-contrast)"/>
    <s v="001 - Aumenta il contrasto tra testo e sfondo per rendere il contenuto leggibile da utenti con difficoltà visive. WCAG richiede un rapporto di almeno 4.5:1 per il testo normale e 3:1 per il testo grande, quindi scegli colori che rispettino queste soglie."/>
    <n v="0"/>
  </r>
  <r>
    <s v="S0119.4.1.2"/>
    <s v="POSTE ITALIANE.IT - 9.4.1.2 Nome, ruolo, valore - S011 Strategia del gruppo:: (#D7463)_x000d__x000a_S011 Strategia del gruppo_x000d__x000a_Requisito WCAG: 4.1.2_x000d__x000a_Disabilità afflitte: Blind;Mobility_x000d__x000a_Impatto Utente: 2 - Serious_x000d__x000a__x000d__x000a_Descrizione_x000d__x000a_001 - I controlli interattivi non devono essere nidificati-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_x000a__x000d__x000a_Esempio di violazione individuata sull'oggetto:_x000d__x000a_001 - https://www.posteitaliane.it/en/presentations.html#/ &lt;div class=&quot;panel-heading&quot; role=&quot;tab&quot; id=&quot;heading2024&quot;&gt; con selettore #heading2024_x000d__x000a__x000d__x000a_Possibile Metodologia Risolutiva:_x000d__x000a_001 - Evita di nidificare elementi interattivi (es. un pulsante all'interno di un link). Ristruttura il codice per garantire che ogni controllo interattivo sia indipendente e non sovrapposto ad altri, ad esempio utilizzando uno stile o un elemento contenitore non interattivo.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D7463)"/>
    <x v="112"/>
    <x v="0"/>
    <x v="13"/>
    <x v="3"/>
    <s v="001 - I controlli interattivi non devono essere nidificati-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s v="001 - Evita di nidificare elementi interattivi (es. un pulsante all'interno di un link). Ristruttura il codice per garantire che ogni controllo interattivo sia indipendente e non sovrapposto ad altri, ad esempio utilizzando uno stile o un elemento contenitore non interattivo."/>
    <n v="0"/>
  </r>
  <r>
    <s v="S0079.2.1.1"/>
    <s v="POSTE ITALIANE.IT - 9.2.1.1 Tastiera - S007 Sostenibilità:: (#M0879)_x000d__x000a_S007 Sostenibilità_x000d__x000a_Requisito WCAG: 2.1.1_x000d__x000a_Disabilità afflitte: Blind;Deafblind;Mobility_x000d__x000a_Impatto Utente: 2 - Serious_x000d__x000a__x000d__x000a_Descrizione_x000d__x000a_001 - L'area scorrevole deve avere accesso da tastiera-Assicurarsi che gli elementi con contenuto scorrevole siano accessibili tramite tastiera [Ulteriori informazioni] (https://dequeuniversity.com/rules/axe/4.7/scrollable-region-focusable?application=playwright)_x000d__x000a__x000d__x000a_Esempio di violazione individuata sull'oggetto:_x000d__x000a_001 - https://www.posteitaliane.it/en/materiality-matrix.html &lt;div class=&quot;overflow-handler&quot;&gt; con selettore .overflow-handler_x000d__x000a__x000d__x000a_Possibile Metodologia Risolutiva:_x000d__x000a_001 - L'elemento dovrebbe avere contenuto focalizzabile._x000a_L'elemento dovrebbe essere focalizzabile.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M0879)"/>
    <x v="113"/>
    <x v="0"/>
    <x v="11"/>
    <x v="5"/>
    <s v="001 - L'area scorrevole deve avere accesso da tastiera-Assicurarsi che gli elementi con contenuto scorrevole siano accessibili tramite tastiera [Ulteriori informazioni] (https://dequeuniversity.com/rules/axe/4.7/scrollable-region-focusable?application=playwright)"/>
    <s v="001 - L'elemento dovrebbe avere contenuto focalizzabile._x000a_L'elemento dovrebbe essere focalizzabile."/>
    <n v="0"/>
  </r>
  <r>
    <s v="D00110.1.3.1"/>
    <s v="POSTE ITALIANE.IT - 10.1.3.1 Informazioni e correlazioni - D001 Comunicato stampa:: (#P0001)_x000d__x000a_D001 Comunicato stampa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630141405/apicoltura.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001)"/>
    <x v="114"/>
    <x v="0"/>
    <x v="19"/>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0110.2.4.2"/>
    <s v="POSTE ITALIANE.IT - 10.2.4.2 Titolazione della pagina - D001 Comunicato stampa:: (#P0002)_x000d__x000a_D001 Comunicato stampa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30141405/apicoltura.pdf  con selettore  _x000d__x000a__x000d__x000a_Possibile Metodologia Risolutiva:_x000d__x000a_001 - Imposta il nuovo titolo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02)"/>
    <x v="115"/>
    <x v="0"/>
    <x v="19"/>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0210.1.3.1"/>
    <s v="POSTE ITALIANE.IT - 10.1.3.1 Informazioni e correlazioni - D002 Resoconto Intermedio di Gestione al 30 settembre 2024:: (#P0006)_x000d__x000a_D002 Resoconto Intermedio di Gestione al 30 settembre 2024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628175781/CS-pubblicazione-novestrale-2024-ITA-13-11-2024.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006)"/>
    <x v="116"/>
    <x v="0"/>
    <x v="20"/>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0210.2.4.2"/>
    <s v="POSTE ITALIANE.IT - 10.2.4.2 Titolazione della pagina - D002 Resoconto Intermedio di Gestione al 30 settembre 2024:: (#P0007)_x000d__x000a_D002 Resoconto Intermedio di Gestione al 30 settembre 2024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28175781/CS-pubblicazione-novestrale-2024-ITA-13-11-2024.pdf  con selettore  _x000d__x000a__x000d__x000a_Possibile Metodologia Risolutiva:_x000d__x000a_001 - Imposta il nuovo titolo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07)"/>
    <x v="117"/>
    <x v="0"/>
    <x v="20"/>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0210.1.1.1"/>
    <s v="POSTE ITALIANE.IT - 10.1.1.1 Contenuti non testuali - D002 Resoconto Intermedio di Gestione al 30 settembre 2024:: (#P0008)_x000d__x000a_D002 Resoconto Intermedio di Gestione al 30 settembre 2024_x000d__x000a_Requisito WCAG: 1.1.1_x000d__x000a_Disabilità afflitte: Blind;Deafblind_x000d__x000a_Impatto Utente: 2 - Serious_x000d__x000a__x000d__x000a_Descrizione_x000d__x000a_001 - Descrizione alternativa mancante per un'annotazione-Descrizione alternativa mancante per un'annotazione (https://www.w3.org/WAI/WCAG22/Techniques/html/H30.html)_x000d__x000a__x000d__x000a_Esempio di violazione individuata sull'oggetto:_x000d__x000a_001 - https://www.posteitaliane.it/files/1476628175781/CS-pubblicazione-novestrale-2024-ITA-13-11-2024.pdf  con selettore  _x000d__x000a__x000d__x000a_Possibile Metodologia Risolutiva:_x000d__x000a_001 - Quando un'immagine è l'unico contenuto di un link, il testo alternativo per l'immagine descrive la funzione unica del link._x000a__x000a_Quando il contenuto di un link contiene sia testo che una o più immagini, se il testo è sufficiente a descrivere lo scopo del link, le immagini possono avere un'alternativa di testo vuota.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08)"/>
    <x v="118"/>
    <x v="0"/>
    <x v="20"/>
    <x v="17"/>
    <s v="001 - Descrizione alternativa mancante per un'annotazione-Descrizione alternativa mancante per un'annotazione (https://www.w3.org/WAI/WCAG22/Techniques/html/H30.html)"/>
    <s v="001 - Quando un'immagine è l'unico contenuto di un link, il testo alternativo per l'immagine descrive la funzione unica del link._x000a__x000a_Quando il contenuto di un link contiene sia testo che una o più immagini, se il testo è sufficiente a descrivere lo scopo del link, le immagini possono avere un'alternativa di testo vuota."/>
    <n v="0"/>
  </r>
  <r>
    <s v="D00310.1.3.1"/>
    <s v="POSTE ITALIANE.IT - 10.1.3.1 Informazioni e correlazioni - D003 Relazione Finanziaria Semestrale al 30 giugno 2024:: (#P0012)_x000d__x000a_D003 Relazione Finanziaria Semestrale al 30 giugno 2024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620660618/CS-pubblicazione-semestrale-2024-ITA-7-08-2024.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12)"/>
    <x v="119"/>
    <x v="0"/>
    <x v="21"/>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0310.2.4.2"/>
    <s v="POSTE ITALIANE.IT - 10.2.4.2 Titolazione della pagina - D003 Relazione Finanziaria Semestrale al 30 giugno 2024:: (#P0013)_x000d__x000a_D003 Relazione Finanziaria Semestrale al 30 giugno 2024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20660618/CS-pubblicazione-semestrale-2024-ITA-7-08-2024.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13)"/>
    <x v="120"/>
    <x v="0"/>
    <x v="21"/>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0410.1.3.1"/>
    <s v="POSTE ITALIANE.IT - 10.1.3.1 Informazioni e correlazioni - D004 Resoconto Intermedio di Gestione al 31 marzo 2024:: (#P0014)_x000d__x000a_D004 Resoconto Intermedio di Gestione al 31 marzo 2024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613377432/CS-pubblicazione-prima-trimestrale-2024-ITA-15-5-2024.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14)"/>
    <x v="121"/>
    <x v="0"/>
    <x v="22"/>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0410.2.4.2"/>
    <s v="POSTE ITALIANE.IT - 10.2.4.2 Titolazione della pagina - D004 Resoconto Intermedio di Gestione al 31 marzo 2024:: (#P0015)_x000d__x000a_D004 Resoconto Intermedio di Gestione al 31 marzo 2024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13377432/CS-pubblicazione-prima-trimestrale-2024-ITA-15-5-2024.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15)"/>
    <x v="122"/>
    <x v="0"/>
    <x v="22"/>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0510.1.3.1"/>
    <s v="POSTE ITALIANE.IT - 10.1.3.1 Informazioni e correlazioni - D005 Relazione Finanziaria Annuale 2023 (file.pdf):: (#P0016)_x000d__x000a_D005 Relazione Finanziaria Annuale 2023 (file.pdf)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611936210/comunicato-stampa-pubblicazione-relazione-finanziaria-annuale-2023-ITA.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16)"/>
    <x v="123"/>
    <x v="0"/>
    <x v="23"/>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0510.2.4.2"/>
    <s v="POSTE ITALIANE.IT - 10.2.4.2 Titolazione della pagina - D005 Relazione Finanziaria Annuale 2023 (file.pdf):: (#P0017)_x000d__x000a_D005 Relazione Finanziaria Annuale 2023 (file.pdf)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11936210/comunicato-stampa-pubblicazione-relazione-finanziaria-annuale-2023-ITA.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17)"/>
    <x v="124"/>
    <x v="0"/>
    <x v="23"/>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0610.1.3.1"/>
    <s v="POSTE ITALIANE.IT - 10.1.3.1 Informazioni e correlazioni - D006 Sono Presenti 48 File nella rella sezione Bilanci tutti con la stessa struttura dei resoconti già selezionati:: (#P0018)_x000d__x000a_D006 Sono Presenti 48 File nella rella sezione Bilanci tutti con la stessa struttura dei resoconti già selezionati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515474878/Relazione-Finanziaria-Annuale-2019.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18)"/>
    <x v="125"/>
    <x v="0"/>
    <x v="24"/>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0610.2.4.2"/>
    <s v="POSTE ITALIANE.IT - 10.2.4.2 Titolazione della pagina - D006 Sono Presenti 48 File nella rella sezione Bilanci tutti con la stessa struttura dei resoconti già selezionati:: (#P0019)_x000d__x000a_D006 Sono Presenti 48 File nella rella sezione Bilanci tutti con la stessa struttura dei resoconti già selezionati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515474878/Relazione-Finanziaria-Annuale-2019.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19)"/>
    <x v="126"/>
    <x v="0"/>
    <x v="24"/>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0710.1.3.1"/>
    <s v="POSTE ITALIANE.IT - 10.1.3.1 Informazioni e correlazioni - D007 Company Profile 2023:: (#P0021)_x000d__x000a_D007 Company Profile 2023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483845586/Company-Profile-ITA.pdf  con selettore  _x000d__x000a__x000d__x000a_Possibile Metodologia Risolutiva:_x000d__x000a_001 - Cambiare la struttura del PDF a Tagged PDF_x000d__x000a__x000d__x000a_Occorrenze rilevate: 7 https://posteitaliane.sharepoint.com/:x:/r/teams/ACCESSIBILITRISULTATIVERIFICHETECNICHE/Shared%20Documents/POSTEITALIANE.IT/LOG/Log.xlsx?d=wf3c65046abcc49009aae265aacd619cd&amp;csf=1&amp;web=1&amp;e=knhQX7_x000d__x000a__x000d__x000a_Link al dettaglio requisito WCAG: NOT FOUND_x000d__x000a_"/>
    <x v="0"/>
    <s v="(#P0021)"/>
    <x v="127"/>
    <x v="1"/>
    <x v="25"/>
    <x v="15"/>
    <s v="001 - Utilizza i tag per specificare la struttura logica del PDF -Utilizza i tag per specificare la struttura logica del PDF (https://www.w3.org/TR/WCAG20-TECHS/pdf#pdf_notes_acc-sup_tagged)"/>
    <s v="001 - Cambiare la struttura del PDF a Tagged PDF"/>
    <n v="0"/>
  </r>
  <r>
    <s v="D00710.2.4.2"/>
    <s v="POSTE ITALIANE.IT - 10.2.4.2 Titolazione della pagina - D007 Company Profile 2023:: (#P0024)_x000d__x000a_D007 Company Profile 2023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83845586/Company-Profile-ITA.pdf  con selettore  _x000d__x000a__x000d__x000a_Possibile Metodologia Risolutiva:_x000d__x000a_001 - Imposta il nuovo titolo PDF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P0024)"/>
    <x v="128"/>
    <x v="0"/>
    <x v="25"/>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0710.3.1.1"/>
    <s v="POSTE ITALIANE.IT - 10.3.1.1 Lingua della pagina - D007 Company Profile 2023:: (#P0025)_x000d__x000a_D007 Company Profile 2023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483845586/Company-Profile-ITA.pdf  con selettore  _x000d__x000a__x000d__x000a_Possibile Metodologia Risolutiva:_x000d__x000a_001 - Seleziona la lingua principale del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25)"/>
    <x v="129"/>
    <x v="0"/>
    <x v="25"/>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0810.1.3.1"/>
    <s v="POSTE ITALIANE.IT - 10.1.3.1 Informazioni e correlazioni - D008 Spazi di Co-Working ultimati al 31 Ottobre 2024:: (#P0034)_x000d__x000a_D008 Spazi di Co-Working ultimati al 31 Ottobre 2024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611112059/coworking-polis-ultimati.pdf  con selettore  _x000d__x000a__x000d__x000a_Possibile Metodologia Risolutiva:_x000d__x000a_001 - Cambiare la struttura del PDF a Tagged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34)"/>
    <x v="130"/>
    <x v="1"/>
    <x v="26"/>
    <x v="15"/>
    <s v="001 - Utilizza i tag per specificare la struttura logica del PDF -Utilizza i tag per specificare la struttura logica del PDF (https://www.w3.org/TR/WCAG20-TECHS/pdf#pdf_notes_acc-sup_tagged)"/>
    <s v="001 - Cambiare la struttura del PDF a Tagged PDF"/>
    <n v="0"/>
  </r>
  <r>
    <s v="D00910.1.3.1"/>
    <s v="POSTE ITALIANE.IT - 10.1.3.1 Informazioni e correlazioni - D009 Uffici Postali Polis ultimati al 31 Ottobre 2024:: (#P0036)_x000d__x000a_D009 Uffici Postali Polis ultimati al 31 Ottobre 2024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595325942/uffici-postali-polis-ultimati.pdf  con selettore  _x000d__x000a__x000d__x000a_Possibile Metodologia Risolutiva:_x000d__x000a_001 - Cambiare la struttura del PDF a Tagged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36)"/>
    <x v="131"/>
    <x v="1"/>
    <x v="27"/>
    <x v="15"/>
    <s v="001 - Utilizza i tag per specificare la struttura logica del PDF -Utilizza i tag per specificare la struttura logica del PDF (https://www.w3.org/TR/WCAG20-TECHS/pdf#pdf_notes_acc-sup_tagged)"/>
    <s v="001 - Cambiare la struttura del PDF a Tagged PDF"/>
    <n v="0"/>
  </r>
  <r>
    <s v="D01010.2.4.2"/>
    <s v="POSTE ITALIANE.IT - 10.2.4.2 Titolazione della pagina - D010 2024-2028 Strategic Plan:: (#P0038)_x000d__x000a_D010 2024-2028 Strategic Plan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09599169/PI_2024_2028_Strategic_Plan_CS_ITA.pdf  con selettore  _x000d__x000a__x000d__x000a_Possibile Metodologia Risolutiva:_x000d__x000a_001 - Imposta il nuovo titolo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38)"/>
    <x v="132"/>
    <x v="0"/>
    <x v="28"/>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1010.1.1.1"/>
    <s v="POSTE ITALIANE.IT - 10.1.1.1 Contenuti non testuali - D010 2024-2028 Strategic Plan:: (#P0039)_x000d__x000a_D010 2024-2028 Strategic Plan_x000d__x000a_Requisito WCAG: 1.1.1_x000d__x000a_Disabilità afflitte: Blind;Deafblind_x000d__x000a_Impatto Utente: 2 - Serious_x000d__x000a__x000d__x000a_Descrizione_x000d__x000a_001 - Testo alternativo mancante per l'elemento struttura &quot;Figura&quot;-Testo alternativo mancante per l'elemento struttura &quot;Figura&quot; (https://www.w3.org/WAI/WCAG21/Techniques/html/H37)_x000d__x000a__x000d__x000a_Esempio di violazione individuata sull'oggetto:_x000d__x000a_001 - https://www.posteitaliane.it/files/1476609599169/PI_2024_2028_Strategic_Plan_CS_ITA.pdf  con selettore  _x000d__x000a__x000d__x000a_Possibile Metodologia Risolutiva:_x000d__x000a_001 - Fornire testo alternativo descrittivo per ogni elemento &quot;Figure&quot; in modo che sia comprensibile tramite lettori di schermo. È possibile aggiungere il testo alternativo in Adobe Acrobat andando su Strumenti &gt; Accessibilità &gt; Modifica testo alternativo.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39)"/>
    <x v="133"/>
    <x v="0"/>
    <x v="28"/>
    <x v="17"/>
    <s v="001 - Testo alternativo mancante per l'elemento struttura &quot;Figura&quot;-Testo alternativo mancante per l'elemento struttura &quot;Figura&quot; (https://www.w3.org/WAI/WCAG21/Techniques/html/H37)"/>
    <s v="001 - Fornire testo alternativo descrittivo per ogni elemento &quot;Figure&quot; in modo che sia comprensibile tramite lettori di schermo. È possibile aggiungere il testo alternativo in Adobe Acrobat andando su Strumenti &gt; Accessibilità &gt; Modifica testo alternativo."/>
    <n v="0"/>
  </r>
  <r>
    <s v="D01110.1.3.1"/>
    <s v="POSTE ITALIANE.IT - 10.1.3.1 Informazioni e correlazioni - D011 2017-2022 Achievements &amp; 2023 Strategy Update:: (#P0042)_x000d__x000a_D011 2017-2022 Achievements &amp; 2023 Strategy Update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582716148/PI_CMD2023.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42)"/>
    <x v="134"/>
    <x v="0"/>
    <x v="29"/>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1210.1.3.1"/>
    <s v="POSTE ITALIANE.IT - 10.1.3.1 Informazioni e correlazioni - D012 2024 Sustain and Innovate Plus:: (#P0043)_x000d__x000a_D012 2024 Sustain and Innovate Plus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534599420/Piano-Sustain-Innovate-ITA-19032021.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43)"/>
    <x v="135"/>
    <x v="0"/>
    <x v="30"/>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1210.2.4.2"/>
    <s v="POSTE ITALIANE.IT - 10.2.4.2 Titolazione della pagina - D012 2024 Sustain and Innovate Plus:: (#P0044)_x000d__x000a_D012 2024 Sustain and Innovate Plus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534599420/Piano-Sustain-Innovate-ITA-19032021.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44)"/>
    <x v="136"/>
    <x v="0"/>
    <x v="30"/>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1310.1.3.1"/>
    <s v="POSTE ITALIANE.IT - 10.1.3.1 Informazioni e correlazioni - D013 2024 Sustain &amp; Innovate Presentation (Capital Markets Day 2021):: (#P0045)_x000d__x000a_D013 2024 Sustain &amp; Innovate Presentation (Capital Markets Day 2021)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534398194/PI_2024_Sustain_Innovate.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45)"/>
    <x v="137"/>
    <x v="0"/>
    <x v="31"/>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1410.1.3.1"/>
    <s v="POSTE ITALIANE.IT - 10.1.3.1 Informazioni e correlazioni - D014 Poste Italiane in tre anni raddoppiato l'utile netto:: (#P0046)_x000d__x000a_D014 Poste Italiane in tre anni raddoppiato l'utile netto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514305769/4QFY19-Press-Release-ITA.pdf  con selettore  _x000d__x000a__x000d__x000a_Possibile Metodologia Risolutiva:_x000d__x000a_001 - Cambiare la struttura del PDF a Tagged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46)"/>
    <x v="138"/>
    <x v="1"/>
    <x v="32"/>
    <x v="15"/>
    <s v="001 - Utilizza i tag per specificare la struttura logica del PDF -Utilizza i tag per specificare la struttura logica del PDF (https://www.w3.org/TR/WCAG20-TECHS/pdf#pdf_notes_acc-sup_tagged)"/>
    <s v="001 - Cambiare la struttura del PDF a Tagged PDF"/>
    <n v="0"/>
  </r>
  <r>
    <s v="D01410.2.4.2"/>
    <s v="POSTE ITALIANE.IT - 10.2.4.2 Titolazione della pagina - D014 Poste Italiane in tre anni raddoppiato l'utile netto:: (#P0048)_x000d__x000a_D014 Poste Italiane in tre anni raddoppiato l'utile netto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514305769/4QFY19-Press-Release-ITA.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48)"/>
    <x v="139"/>
    <x v="0"/>
    <x v="32"/>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1510.1.3.1"/>
    <s v="POSTE ITALIANE.IT - 10.1.3.1 Informazioni e correlazioni - D015 Capital Markets Day 2019 Full Presentation:: (#P0049)_x000d__x000a_D015 Capital Markets Day 2019 Full Presentation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493603485/Capital-Markets-Day-March2019-RENUMBERED.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49)"/>
    <x v="140"/>
    <x v="0"/>
    <x v="33"/>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1510.2.4.2"/>
    <s v="POSTE ITALIANE.IT - 10.2.4.2 Titolazione della pagina - D015 Capital Markets Day 2019 Full Presentation:: (#P0050)_x000d__x000a_D015 Capital Markets Day 2019 Full Presentation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93603485/Capital-Markets-Day-March2019-RENUMBERED.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50)"/>
    <x v="141"/>
    <x v="0"/>
    <x v="33"/>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1610.1.3.1"/>
    <s v="POSTE ITALIANE.IT - 10.1.3.1 Informazioni e correlazioni - D016 Capital Markets Day 2018 - Presentation:: (#P0051)_x000d__x000a_D016 Capital Markets Day 2018 - Presentation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478376258/CMD-2018-Presentation-27-Feb-2018-DEF.PDF  con selettore  _x000d__x000a__x000d__x000a_Possibile Metodologia Risolutiva:_x000d__x000a_001 - Cambiare la struttura del PDF a Tagged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051)"/>
    <x v="142"/>
    <x v="1"/>
    <x v="34"/>
    <x v="15"/>
    <s v="001 - Utilizza i tag per specificare la struttura logica del PDF -Utilizza i tag per specificare la struttura logica del PDF (https://www.w3.org/TR/WCAG20-TECHS/pdf#pdf_notes_acc-sup_tagged)"/>
    <s v="001 - Cambiare la struttura del PDF a Tagged PDF"/>
    <n v="0"/>
  </r>
  <r>
    <s v="D01610.2.4.2"/>
    <s v="POSTE ITALIANE.IT - 10.2.4.2 Titolazione della pagina - D016 Capital Markets Day 2018 - Presentation:: (#P0054)_x000d__x000a_D016 Capital Markets Day 2018 - Presentation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78376258/CMD-2018-Presentation-27-Feb-2018-DEF.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54)"/>
    <x v="143"/>
    <x v="0"/>
    <x v="34"/>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1610.3.1.1"/>
    <s v="POSTE ITALIANE.IT - 10.3.1.1 Lingua della pagina - D016 Capital Markets Day 2018 - Presentation:: (#P0055)_x000d__x000a_D016 Capital Markets Day 2018 - Presentation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478376258/CMD-2018-Presentation-27-Feb-2018-DEF.PDF  con selettore  _x000d__x000a__x000d__x000a_Possibile Metodologia Risolutiva:_x000d__x000a_001 - Seleziona la lingua principale del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55)"/>
    <x v="144"/>
    <x v="0"/>
    <x v="34"/>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1710.2.4.2"/>
    <s v="POSTE ITALIANE.IT - 10.2.4.2 Titolazione della pagina - D017 Poste Italiane - Deliver 2022:: (#P0056)_x000d__x000a_D017 Poste Italiane - Deliver 2022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78386039/Piano-industriale-2018-2022-ITA-27-2-2018.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56)"/>
    <x v="145"/>
    <x v="0"/>
    <x v="35"/>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2210.1.3.1"/>
    <s v="POSTE ITALIANE.IT - 10.1.3.1 Informazioni e correlazioni - D022 25 documenti nella sezione Debito e rating con la struttura del comunicat o stampa:: (#P0057)_x000d__x000a_D022 25 documenti nella sezione Debito e rating con la struttura del comunicat o stampa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576306412/Final-Terms-Bond-10-12-2028-XS2270397016.pdf  con selettore  _x000d__x000a__x000d__x000a_Possibile Metodologia Risolutiva:_x000d__x000a_001 - Cambiare la struttura del PDF a Tagged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57)"/>
    <x v="146"/>
    <x v="1"/>
    <x v="36"/>
    <x v="15"/>
    <s v="001 - Utilizza i tag per specificare la struttura logica del PDF -Utilizza i tag per specificare la struttura logica del PDF (https://www.w3.org/TR/WCAG20-TECHS/pdf#pdf_notes_acc-sup_tagged)"/>
    <s v="001 - Cambiare la struttura del PDF a Tagged PDF"/>
    <n v="0"/>
  </r>
  <r>
    <s v="D02210.2.4.2"/>
    <s v="POSTE ITALIANE.IT - 10.2.4.2 Titolazione della pagina - D022 25 documenti nella sezione Debito e rating con la struttura del comunicat o stampa:: (#P0059)_x000d__x000a_D022 25 documenti nella sezione Debito e rating con la struttura del comunicat o stampa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576306412/Final-Terms-Bond-10-12-2028-XS2270397016.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59)"/>
    <x v="147"/>
    <x v="0"/>
    <x v="36"/>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2310.1.3.1"/>
    <s v="POSTE ITALIANE.IT - 10.1.3.1 Informazioni e correlazioni - D023 107 documenti nella sezione Governance :: (#P0060)_x000d__x000a_D023 107 documenti nella sezione Governance 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464492146/statuto-sociale-regolamento-assemblee.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P0060)"/>
    <x v="148"/>
    <x v="0"/>
    <x v="37"/>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2310.2.4.2"/>
    <s v="POSTE ITALIANE.IT - 10.2.4.2 Titolazione della pagina - D023 107 documenti nella sezione Governance :: (#P0061)_x000d__x000a_D023 107 documenti nella sezione Governance 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64492146/statuto-sociale-regolamento-assemblee.pdf  con selettore  _x000d__x000a__x000d__x000a_Possibile Metodologia Risolutiva:_x000d__x000a_001 - Imposta il nuovo titolo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61)"/>
    <x v="149"/>
    <x v="0"/>
    <x v="37"/>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2310.1.1.1"/>
    <s v="POSTE ITALIANE.IT - 10.1.1.1 Contenuti non testuali - D023 107 documenti nella sezione Governance :: (#P0062)_x000d__x000a_D023 107 documenti nella sezione Governance _x000d__x000a_Requisito WCAG: 1.1.1_x000d__x000a_Disabilità afflitte: Blind;Cognitive;Deafblind;Mobility;Sighted Keyboard Users_x000d__x000a_Impatto Utente: 1 - Critical_x000d__x000a__x000d__x000a_Descrizione_x000d__x000a_001 - Rendere PDF cercabile in documento PDF basato su immagine-Rendere PDF cercabile in documento PDF basato su immagine [Esempio di fallimento: Documenti scansionati come immagini senza poi utilizzare l'OCR per riconoscere il testo nelle immagini scansionate] (https://www.w3.org/TR/WCAG22/#non-text-content)_x000d__x000a__x000d__x000a_Esempio di violazione individuata sull'oggetto:_x000d__x000a_001 - https://www.posteitaliane.it/files/1476530626414/Verbale-Determina.pdf  con selettore  _x000d__x000a__x000d__x000a_Possibile Metodologia Risolutiva:_x000d__x000a_001 - Utilizza un software OCR (riconoscimento ottico dei caratteri) come Adobe Acrobat Pro DC, ABBYY FineReader, o strumenti online gratuiti (ad esempio, Google Drive o PDF24)._x000a_In Adobe Acrobat Pro DC, apri il PDF, vai su Strumenti &gt; Riconosci testo &gt; In questo file e seleziona la lingua. Questo processo convertirà il testo basato su immagini in testo vero e proprio, rendendo il documento ricercabile.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62)"/>
    <x v="150"/>
    <x v="1"/>
    <x v="37"/>
    <x v="17"/>
    <s v="001 - Rendere PDF cercabile in documento PDF basato su immagine-Rendere PDF cercabile in documento PDF basato su immagine [Esempio di fallimento: Documenti scansionati come immagini senza poi utilizzare l'OCR per riconoscere il testo nelle immagini scansionate] (https://www.w3.org/TR/WCAG22/#non-text-content)"/>
    <s v="001 - Utilizza un software OCR (riconoscimento ottico dei caratteri) come Adobe Acrobat Pro DC, ABBYY FineReader, o strumenti online gratuiti (ad esempio, Google Drive o PDF24)._x000a_In Adobe Acrobat Pro DC, apri il PDF, vai su Strumenti &gt; Riconosci testo &gt; In questo file e seleziona la lingua. Questo processo convertirà il testo basato su immagini in testo vero e proprio, rendendo il documento ricercabile."/>
    <n v="0"/>
  </r>
  <r>
    <s v="D02310.3.1.1"/>
    <s v="POSTE ITALIANE.IT - 10.3.1.1 Lingua della pagina - D023 107 documenti nella sezione Governance :: (#P0067)_x000d__x000a_D023 107 documenti nella sezione Governance 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530626414/Verbale-Determina.pdf  con selettore  _x000d__x000a__x000d__x000a_Possibile Metodologia Risolutiva:_x000d__x000a_001 - Seleziona la lingua principale del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67)"/>
    <x v="151"/>
    <x v="0"/>
    <x v="37"/>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2410.1.3.1"/>
    <s v="POSTE ITALIANE.IT - 10.1.3.1 Informazioni e correlazioni - D024 27 documenti sulle Informative Privacy delle società del gruppo:: (#P0068)_x000d__x000a_D024 27 documenti sulle Informative Privacy delle società del gruppo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files/1476564312673/Informativa-privacy-Poste-Italiane-e-PostePay-Contitolarita.pdf  con selettore  _x000d__x000a__x000d__x000a_Possibile Metodologia Risolutiva:_x000d__x000a_001 - Cambiare la struttura del PDF a Tagged PDF_x000d__x000a__x000d__x000a_Occorrenze rilevate: 6 https://posteitaliane.sharepoint.com/:x:/r/teams/ACCESSIBILITRISULTATIVERIFICHETECNICHE/Shared%20Documents/POSTEITALIANE.IT/LOG/Log.xlsx?d=wf3c65046abcc49009aae265aacd619cd&amp;csf=1&amp;web=1&amp;e=knhQX7_x000d__x000a__x000d__x000a_Link al dettaglio requisito WCAG: NOT FOUND_x000d__x000a_"/>
    <x v="0"/>
    <s v="(#P0068)"/>
    <x v="152"/>
    <x v="1"/>
    <x v="38"/>
    <x v="15"/>
    <s v="001 - Utilizza i tag per specificare la struttura logica del PDF -Utilizza i tag per specificare la struttura logica del PDF (https://www.w3.org/TR/WCAG20-TECHS/pdf#pdf_notes_acc-sup_tagged)"/>
    <s v="001 - Cambiare la struttura del PDF a Tagged PDF"/>
    <n v="0"/>
  </r>
  <r>
    <s v="D02410.2.4.2"/>
    <s v="POSTE ITALIANE.IT - 10.2.4.2 Titolazione della pagina - D024 27 documenti sulle Informative Privacy delle società del gruppo:: (#P0071)_x000d__x000a_D024 27 documenti sulle Informative Privacy delle società del gruppo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files/1476564312673/Informativa-privacy-Poste-Italiane-e-PostePay-Contitolarita.pdf  con selettore  _x000d__x000a__x000d__x000a_Possibile Metodologia Risolutiva:_x000d__x000a_001 - Imposta il nuovo titolo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071)"/>
    <x v="153"/>
    <x v="0"/>
    <x v="38"/>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2510.1.3.1"/>
    <s v="POSTE ITALIANE.IT - 10.1.3.1 Informazioni e correlazioni - D025 Strategia Fiscale del Gruppo Poste Italiane:: (#P0077)_x000d__x000a_D025 Strategia Fiscale del Gruppo Poste Italiane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487785450/Strategia-fiscale-Gruppo-PI.pdf  con selettore  _x000d__x000a__x000d__x000a_Possibile Metodologia Risolutiva:_x000d__x000a_001 - Cambiare la struttura del PDF a Tagged PDF_x000d__x000a__x000d__x000a_Occorrenze rilevate: 8 https://posteitaliane.sharepoint.com/:x:/r/teams/ACCESSIBILITRISULTATIVERIFICHETECNICHE/Shared%20Documents/POSTEITALIANE.IT/LOG/Log.xlsx?d=wf3c65046abcc49009aae265aacd619cd&amp;csf=1&amp;web=1&amp;e=knhQX7_x000d__x000a__x000d__x000a_Link al dettaglio requisito WCAG: NOT FOUND_x000d__x000a_"/>
    <x v="0"/>
    <s v="(#P0077)"/>
    <x v="154"/>
    <x v="1"/>
    <x v="39"/>
    <x v="15"/>
    <s v="001 - Utilizza i tag per specificare la struttura logica del PDF -Utilizza i tag per specificare la struttura logica del PDF (https://www.w3.org/TR/WCAG20-TECHS/pdf#pdf_notes_acc-sup_tagged)"/>
    <s v="001 - Cambiare la struttura del PDF a Tagged PDF"/>
    <n v="0"/>
  </r>
  <r>
    <s v="D02510.2.4.2"/>
    <s v="POSTE ITALIANE.IT - 10.2.4.2 Titolazione della pagina - D025 Strategia Fiscale del Gruppo Poste Italiane:: (#P0080)_x000d__x000a_D025 Strategia Fiscale del Gruppo Poste Italiane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87785450/Strategia-fiscale-Gruppo-PI.pdf  con selettore  _x000d__x000a__x000d__x000a_Possibile Metodologia Risolutiva:_x000d__x000a_001 - Imposta il nuovo titolo PDF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P0080)"/>
    <x v="155"/>
    <x v="0"/>
    <x v="39"/>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2510.3.1.1"/>
    <s v="POSTE ITALIANE.IT - 10.3.1.1 Lingua della pagina - D025 Strategia Fiscale del Gruppo Poste Italiane:: (#P0081)_x000d__x000a_D025 Strategia Fiscale del Gruppo Poste Italiane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487785450/Strategia-fiscale-Gruppo-PI.pdf  con selettore  _x000d__x000a__x000d__x000a_Possibile Metodologia Risolutiva:_x000d__x000a_001 - Seleziona la lingua principale del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081)"/>
    <x v="156"/>
    <x v="0"/>
    <x v="39"/>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2510.1.4.3"/>
    <s v="POSTE ITALIANE.IT - 10.1.4.3 Contrasto (minimo) - D025 Strategia Fiscale del Gruppo Poste Italiane:: (#P0087)_x000d__x000a_D025 Strategia Fiscale del Gruppo Poste Italiane_x000d__x000a_Requisito WCAG: 1.4.3_x000d__x000a_Disabilità afflitte: Blind;Cognitive;Deafblind_x000d__x000a_Impatto Utente: 2 - Serious_x000d__x000a__x000d__x000a_Descrizione_x000d__x000a_001 - Testo con contrasto insufficiente-Testo con contrasto insufficiente (https://www.w3.org/WAI/WCAG21/Techniques/general/G18)_x000d__x000a__x000d__x000a_Esempio di violazione individuata sull'oggetto:_x000d__x000a_001 - https://www.posteitaliane.it/files/1476487785450/Strategia-fiscale-Gruppo-PI.pdf  con selettore  _x000d__x000a__x000d__x000a_Possibile Metodologia Risolutiva:_x000d__x000a_001 - Regolare il contrasto tra testo e sfondo, assicurandosi che rispetti il rapporto minimo di contrasto di 4.5:1. Modificare il colore del testo o dello sfondo nel software di editing.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87)"/>
    <x v="157"/>
    <x v="0"/>
    <x v="39"/>
    <x v="19"/>
    <s v="001 - Testo con contrasto insufficiente-Testo con contrasto insufficiente (https://www.w3.org/WAI/WCAG21/Techniques/general/G18)"/>
    <s v="001 - Regolare il contrasto tra testo e sfondo, assicurandosi che rispetti il rapporto minimo di contrasto di 4.5:1. Modificare il colore del testo o dello sfondo nel software di editing."/>
    <n v="0"/>
  </r>
  <r>
    <s v="D02610.1.3.1"/>
    <s v="POSTE ITALIANE.IT - 10.1.3.1 Informazioni e correlazioni - D026 Politica di Sostenibilità Ambientale del Gruppo Poste Italiane:: (#P0092)_x000d__x000a_D026 Politica di Sostenibilità Ambientale del Gruppo Poste Italiane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493583427/Politica-Sostenibilita-Ambientale.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92)"/>
    <x v="158"/>
    <x v="0"/>
    <x v="40"/>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2610.2.4.2"/>
    <s v="POSTE ITALIANE.IT - 10.2.4.2 Titolazione della pagina - D026 Politica di Sostenibilità Ambientale del Gruppo Poste Italiane:: (#P0093)_x000d__x000a_D026 Politica di Sostenibilità Ambientale del Gruppo Poste Italiane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93583427/Politica-Sostenibilita-Ambientale.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93)"/>
    <x v="159"/>
    <x v="0"/>
    <x v="40"/>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2710.1.3.1"/>
    <s v="POSTE ITALIANE.IT - 10.1.3.1 Informazioni e correlazioni - D027 Policy aziendale in materia di protezione dei dati personali:: (#P0094)_x000d__x000a_D027 Policy aziendale in materia di protezione dei dati personali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497855636/POLICY-AZIENDALE-MATERIA-PROTEZIONE-DATI-PERSONALI.pdf  con selettore  _x000d__x000a__x000d__x000a_Possibile Metodologia Risolutiva:_x000d__x000a_001 - Cambiare la struttura del PDF a Tagged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094)"/>
    <x v="160"/>
    <x v="1"/>
    <x v="41"/>
    <x v="15"/>
    <s v="001 - Utilizza i tag per specificare la struttura logica del PDF -Utilizza i tag per specificare la struttura logica del PDF (https://www.w3.org/TR/WCAG20-TECHS/pdf#pdf_notes_acc-sup_tagged)"/>
    <s v="001 - Cambiare la struttura del PDF a Tagged PDF"/>
    <n v="0"/>
  </r>
  <r>
    <s v="D02710.2.4.2"/>
    <s v="POSTE ITALIANE.IT - 10.2.4.2 Titolazione della pagina - D027 Policy aziendale in materia di protezione dei dati personali:: (#P0097)_x000d__x000a_D027 Policy aziendale in materia di protezione dei dati personali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97855636/POLICY-AZIENDALE-MATERIA-PROTEZIONE-DATI-PERSONALI.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97)"/>
    <x v="161"/>
    <x v="0"/>
    <x v="41"/>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2710.3.1.1"/>
    <s v="POSTE ITALIANE.IT - 10.3.1.1 Lingua della pagina - D027 Policy aziendale in materia di protezione dei dati personali:: (#P0098)_x000d__x000a_D027 Policy aziendale in materia di protezione dei dati personali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497855636/POLICY-AZIENDALE-MATERIA-PROTEZIONE-DATI-PERSONALI.pdf  con selettore  _x000d__x000a__x000d__x000a_Possibile Metodologia Risolutiva:_x000d__x000a_001 - Seleziona la lingua principale del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98)"/>
    <x v="162"/>
    <x v="0"/>
    <x v="41"/>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2810.1.3.1"/>
    <s v="POSTE ITALIANE.IT - 10.1.3.1 Informazioni e correlazioni - D028 Politica sulle iniziative per la comunità del Gruppo Poste Italiane:: (#P0099)_x000d__x000a_D028 Politica sulle iniziative per la comunità del Gruppo Poste Italiane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480865709/Politica-Comunita.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099)"/>
    <x v="163"/>
    <x v="0"/>
    <x v="42"/>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2810.2.4.2"/>
    <s v="POSTE ITALIANE.IT - 10.2.4.2 Titolazione della pagina - D028 Politica sulle iniziative per la comunità del Gruppo Poste Italiane:: (#P0100)_x000d__x000a_D028 Politica sulle iniziative per la comunità del Gruppo Poste Italiane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80865709/Politica-Comunita.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00)"/>
    <x v="164"/>
    <x v="0"/>
    <x v="42"/>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2910.1.3.1"/>
    <s v="POSTE ITALIANE.IT - 10.1.3.1 Informazioni e correlazioni - D029 Orientamenti sul numero massimo di incarichi esercitabili dagli Amministratori e dal responsabile BancoPosta:: (#P0101)_x000d__x000a_D029 Orientamenti sul numero massimo di incarichi esercitabili dagli Amministratori e dal responsabile BancoPosta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464464281/Orientamenti-su-tempo-da-decicare-e-incarichi-esterni-membri-CdA-e-Resp-Bancoposta.pdf  con selettore  _x000d__x000a__x000d__x000a_Possibile Metodologia Risolutiva:_x000d__x000a_001 - Cambiare la struttura del PDF a Tagged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101)"/>
    <x v="165"/>
    <x v="1"/>
    <x v="43"/>
    <x v="15"/>
    <s v="001 - Utilizza i tag per specificare la struttura logica del PDF -Utilizza i tag per specificare la struttura logica del PDF (https://www.w3.org/TR/WCAG20-TECHS/pdf#pdf_notes_acc-sup_tagged)"/>
    <s v="001 - Cambiare la struttura del PDF a Tagged PDF"/>
    <n v="0"/>
  </r>
  <r>
    <s v="D02910.2.4.2"/>
    <s v="POSTE ITALIANE.IT - 10.2.4.2 Titolazione della pagina - D029 Orientamenti sul numero massimo di incarichi esercitabili dagli Amministratori e dal responsabile BancoPosta:: (#P0104)_x000d__x000a_D029 Orientamenti sul numero massimo di incarichi esercitabili dagli Amministratori e dal responsabile BancoPosta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64464281/Orientamenti-su-tempo-da-decicare-e-incarichi-esterni-membri-CdA-e-Resp-Bancoposta.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04)"/>
    <x v="166"/>
    <x v="0"/>
    <x v="43"/>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2910.3.1.1"/>
    <s v="POSTE ITALIANE.IT - 10.3.1.1 Lingua della pagina - D029 Orientamenti sul numero massimo di incarichi esercitabili dagli Amministratori e dal responsabile BancoPosta:: (#P0105)_x000d__x000a_D029 Orientamenti sul numero massimo di incarichi esercitabili dagli Amministratori e dal responsabile BancoPosta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464464281/Orientamenti-su-tempo-da-decicare-e-incarichi-esterni-membri-CdA-e-Resp-Bancoposta.pdf  con selettore  _x000d__x000a__x000d__x000a_Possibile Metodologia Risolutiva:_x000d__x000a_001 - Seleziona la lingua principale del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05)"/>
    <x v="167"/>
    <x v="0"/>
    <x v="43"/>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3010.1.1.1"/>
    <s v="POSTE ITALIANE.IT - 10.1.1.1 Contenuti non testuali - D030 14 documenti di certificazioni:: (#P0106)_x000d__x000a_D030 14 documenti di certificazioni_x000d__x000a_Requisito WCAG: 1.1.1_x000d__x000a_Disabilità afflitte: Blind;Cognitive;Deafblind;Mobility;Sighted Keyboard Users_x000d__x000a_Impatto Utente: 1 - Critical_x000d__x000a__x000d__x000a_Descrizione_x000d__x000a_001 - Rendere PDF cercabile in documento PDF basato su immagine-Rendere PDF cercabile in documento PDF basato su immagine [Esempio di fallimento: Documenti scansionati come immagini senza poi utilizzare l'OCR per riconoscere il testo nelle immagini scansionate] (https://www.w3.org/TR/WCAG22/#non-text-content)_x000d__x000a__x000d__x000a_Esempio di violazione individuata sull'oggetto:_x000d__x000a_001 - https://www.posteitaliane.it/files/1476630502282/Certificato-Conformita.pdf  con selettore  _x000d__x000a__x000d__x000a_Possibile Metodologia Risolutiva:_x000d__x000a_001 - Utilizza un software OCR (riconoscimento ottico dei caratteri) come Adobe Acrobat Pro DC, ABBYY FineReader, o strumenti online gratuiti (ad esempio, Google Drive o PDF24)._x000a_In Adobe Acrobat Pro DC, apri il PDF, vai su Strumenti &gt; Riconosci testo &gt; In questo file e seleziona la lingua. Questo processo convertirà il testo basato su immagini in testo vero e proprio, rendendo il documento ricercabile.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06)"/>
    <x v="168"/>
    <x v="1"/>
    <x v="44"/>
    <x v="17"/>
    <s v="001 - Rendere PDF cercabile in documento PDF basato su immagine-Rendere PDF cercabile in documento PDF basato su immagine [Esempio di fallimento: Documenti scansionati come immagini senza poi utilizzare l'OCR per riconoscere il testo nelle immagini scansionate] (https://www.w3.org/TR/WCAG22/#non-text-content)"/>
    <s v="001 - Utilizza un software OCR (riconoscimento ottico dei caratteri) come Adobe Acrobat Pro DC, ABBYY FineReader, o strumenti online gratuiti (ad esempio, Google Drive o PDF24)._x000a_In Adobe Acrobat Pro DC, apri il PDF, vai su Strumenti &gt; Riconosci testo &gt; In questo file e seleziona la lingua. Questo processo convertirà il testo basato su immagini in testo vero e proprio, rendendo il documento ricercabile."/>
    <n v="0"/>
  </r>
  <r>
    <s v="D03010.1.3.1"/>
    <s v="POSTE ITALIANE.IT - 10.1.3.1 Informazioni e correlazioni - D030 14 documenti di certificazioni:: (#P0107)_x000d__x000a_D030 14 documenti di certificazioni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630502282/Certificato-Conformita.pdf  con selettore  _x000d__x000a__x000d__x000a_Possibile Metodologia Risolutiva:_x000d__x000a_001 - Cambiare la struttura del PDF a Tagged PDF_x000d__x000a__x000d__x000a_Occorrenze rilevate: 5 https://posteitaliane.sharepoint.com/:x:/r/teams/ACCESSIBILITRISULTATIVERIFICHETECNICHE/Shared%20Documents/POSTEITALIANE.IT/LOG/Log.xlsx?d=wf3c65046abcc49009aae265aacd619cd&amp;csf=1&amp;web=1&amp;e=knhQX7_x000d__x000a__x000d__x000a_Link al dettaglio requisito WCAG: NOT FOUND_x000d__x000a_"/>
    <x v="0"/>
    <s v="(#P0107)"/>
    <x v="169"/>
    <x v="1"/>
    <x v="44"/>
    <x v="15"/>
    <s v="001 - Utilizza i tag per specificare la struttura logica del PDF -Utilizza i tag per specificare la struttura logica del PDF (https://www.w3.org/TR/WCAG20-TECHS/pdf#pdf_notes_acc-sup_tagged)"/>
    <s v="001 - Cambiare la struttura del PDF a Tagged PDF"/>
    <n v="0"/>
  </r>
  <r>
    <s v="D03010.2.4.2"/>
    <s v="POSTE ITALIANE.IT - 10.2.4.2 Titolazione della pagina - D030 14 documenti di certificazioni:: (#P0110)_x000d__x000a_D030 14 documenti di certificazioni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30502282/Certificato-Conformita.pdf  con selettore  _x000d__x000a__x000d__x000a_Possibile Metodologia Risolutiva:_x000d__x000a_001 - Imposta il nuovo titolo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110)"/>
    <x v="170"/>
    <x v="0"/>
    <x v="44"/>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3010.3.1.1"/>
    <s v="POSTE ITALIANE.IT - 10.3.1.1 Lingua della pagina - D030 14 documenti di certificazioni:: (#P0111)_x000d__x000a_D030 14 documenti di certificazioni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630502282/Certificato-Conformita.pdf  con selettore  _x000d__x000a__x000d__x000a_Possibile Metodologia Risolutiva:_x000d__x000a_001 - Seleziona la lingua principale del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111)"/>
    <x v="171"/>
    <x v="0"/>
    <x v="44"/>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3110.1.3.1"/>
    <s v="POSTE ITALIANE.IT - 10.1.3.1 Informazioni e correlazioni - D031 23 documenti sulla remunerazione:: (#P0117)_x000d__x000a_D031 23 documenti sulla remunerazione_x000d__x000a_Requisito WCAG: 1.3.1_x000d__x000a_Disabilità afflitte: Blind;Deafblind;Mobility_x000d__x000a_Impatto Utente: 1 - Critical_x000d__x000a__x000d__x000a_Descrizione_x000d__x000a_001 - Garantire il corretto ordine di tabulazione e di lettura nei documenti PDF -Garantire il corretto ordine di tabulazione e di lettura nei documenti PDF (https://www.w3.org/WAI/WCAG22/Techniques/pdf/PDF3)_x000d__x000a__x000d__x000a_Esempio di violazione individuata sull'oggetto:_x000d__x000a_001 - https://www.posteitaliane.it/files/1476611869975/Remuneration-Highlights-2024-ITA.pdf  con selettore  _x000d__x000a__x000d__x000a_Possibile Metodologia Risolutiva:_x000d__x000a_001 - Imposta l'ordine di scorrimento degli elementi su una pagina utilizzando l'opzione &quot;Struttura documento&quot;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P0117)"/>
    <x v="172"/>
    <x v="1"/>
    <x v="45"/>
    <x v="15"/>
    <s v="001 - Garantire il corretto ordine di tabulazione e di lettura nei documenti PDF -Garantire il corretto ordine di tabulazione e di lettura nei documenti PDF (https://www.w3.org/WAI/WCAG22/Techniques/pdf/PDF3)"/>
    <s v="001 - Imposta l'ordine di scorrimento degli elementi su una pagina utilizzando l'opzione &quot;Struttura documento&quot;"/>
    <n v="0"/>
  </r>
  <r>
    <s v="D03110.2.4.2"/>
    <s v="POSTE ITALIANE.IT - 10.2.4.2 Titolazione della pagina - D031 23 documenti sulla remunerazione:: (#P0119)_x000d__x000a_D031 23 documenti sulla remunerazione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11869975/Remuneration-Highlights-2024-ITA.pdf  con selettore  _x000d__x000a__x000d__x000a_Possibile Metodologia Risolutiva:_x000d__x000a_001 - Imposta il nuovo titolo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119)"/>
    <x v="173"/>
    <x v="0"/>
    <x v="45"/>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3110.1.1.1"/>
    <s v="POSTE ITALIANE.IT - 10.1.1.1 Contenuti non testuali - D031 23 documenti sulla remunerazione:: (#P0120)_x000d__x000a_D031 23 documenti sulla remunerazione_x000d__x000a_Requisito WCAG: 1.1.1_x000d__x000a_Disabilità afflitte: Blind;Deafblind_x000d__x000a_Impatto Utente: 2 - Serious_x000d__x000a__x000d__x000a_Descrizione_x000d__x000a_001 - Descrizione alternativa mancante per un'annotazione-Descrizione alternativa mancante per un'annotazione (https://www.w3.org/WAI/WCAG22/Techniques/html/H30.html)_x000d__x000a__x000d__x000a_Esempio di violazione individuata sull'oggetto:_x000d__x000a_001 - https://www.posteitaliane.it/files/1476611869975/Remuneration-Highlights-2024-ITA.pdf  con selettore  _x000d__x000a__x000d__x000a_Possibile Metodologia Risolutiva:_x000d__x000a_001 - Quando un'immagine è l'unico contenuto di un link, il testo alternativo per l'immagine descrive la funzione unica del link._x000a__x000a_Quando il contenuto di un link contiene sia testo che una o più immagini, se il testo è sufficiente a descrivere lo scopo del link, le immagini possono avere un'alternativa di testo vuota.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120)"/>
    <x v="174"/>
    <x v="0"/>
    <x v="45"/>
    <x v="17"/>
    <s v="001 - Descrizione alternativa mancante per un'annotazione-Descrizione alternativa mancante per un'annotazione (https://www.w3.org/WAI/WCAG22/Techniques/html/H30.html)"/>
    <s v="001 - Quando un'immagine è l'unico contenuto di un link, il testo alternativo per l'immagine descrive la funzione unica del link._x000a__x000a_Quando il contenuto di un link contiene sia testo che una o più immagini, se il testo è sufficiente a descrivere lo scopo del link, le immagini possono avere un'alternativa di testo vuota."/>
    <n v="0"/>
  </r>
  <r>
    <s v="D03110.1.4.3"/>
    <s v="POSTE ITALIANE.IT - 10.1.4.3 Contrasto (minimo) - D031 23 documenti sulla remunerazione:: (#P0124)_x000d__x000a_D031 23 documenti sulla remunerazione_x000d__x000a_Requisito WCAG: 1.4.3_x000d__x000a_Disabilità afflitte: Blind;Cognitive;Deafblind_x000d__x000a_Impatto Utente: 2 - Serious_x000d__x000a__x000d__x000a_Descrizione_x000d__x000a_001 - Testo con contrasto insufficiente-Testo con contrasto insufficiente (https://www.w3.org/WAI/WCAG21/Techniques/general/G18)_x000d__x000a__x000d__x000a_Esempio di violazione individuata sull'oggetto:_x000d__x000a_001 - https://www.posteitaliane.it/files/1476611869975/Remuneration-Highlights-2024-ITA.pdf  con selettore  _x000d__x000a__x000d__x000a_Possibile Metodologia Risolutiva:_x000d__x000a_001 - Regolare il contrasto tra testo e sfondo, assicurandosi che rispetti il rapporto minimo di contrasto di 4.5:1. Modificare il colore del testo o dello sfondo nel software di editing.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24)"/>
    <x v="175"/>
    <x v="0"/>
    <x v="45"/>
    <x v="19"/>
    <s v="001 - Testo con contrasto insufficiente-Testo con contrasto insufficiente (https://www.w3.org/WAI/WCAG21/Techniques/general/G18)"/>
    <s v="001 - Regolare il contrasto tra testo e sfondo, assicurandosi che rispetti il rapporto minimo di contrasto di 4.5:1. Modificare il colore del testo o dello sfondo nel software di editing."/>
    <n v="0"/>
  </r>
  <r>
    <s v="D03110.4.1.1"/>
    <s v="POSTE ITALIANE.IT - 10.4.1.1 Analisi sintattica (parsing) - D031 23 documenti sulla remunerazione:: (#P0127)_x000d__x000a_D031 23 documenti sulla remunerazione_x000d__x000a_Requisito WCAG: 4.1.1_x000d__x000a_Disabilità afflitte: Blind;Deafblind_x000d__x000a_Impatto Utente: 2 - Serious_x000d__x000a__x000d__x000a_Descrizione_x000d__x000a_001 - L'annotazione &quot;Collegamento&quot; non è nidificata all'interno di un elemento della struttura &quot;Collegamento&quot;-Uso inapporpriato dell'annotazione &quot;Link&quot;_x000d__x000a__x000d__x000a_Esempio di violazione individuata sull'oggetto:_x000d__x000a_001 - https://www.posteitaliane.it/files/1476611869975/Remuneration-Highlights-2024-ITA.pdf  con selettore  _x000d__x000a__x000d__x000a_Possibile Metodologia Risolutiva:_x000d__x000a_001 - Associare l'annotazione &quot;Link&quot; annidandola nell'elemento &quot;Link&quot;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27)"/>
    <x v="176"/>
    <x v="0"/>
    <x v="45"/>
    <x v="20"/>
    <s v="001 - L'annotazione &quot;Collegamento&quot; non è nidificata all'interno di un elemento della struttura &quot;Collegamento&quot;-Uso inapporpriato dell'annotazione &quot;Link&quot;"/>
    <s v="001 - Associare l'annotazione &quot;Link&quot; annidandola nell'elemento &quot;Link&quot;"/>
    <n v="0"/>
  </r>
  <r>
    <s v="D03110.1.4.1"/>
    <s v="POSTE ITALIANE.IT - 10.1.4.1 Uso del colore - D031 23 documenti sulla remunerazione:: (#P0128)_x000d__x000a_D031 23 documenti sulla remunerazione_x000d__x000a_Requisito WCAG: 1.4.1_x000d__x000a_Disabilità afflitte: Blind;Cognitive;Deafblind_x000d__x000a_Impatto Utente: 2 - Serious_x000d__x000a__x000d__x000a_Descrizione_x000d__x000a_001 - Collegamento nel testo non ha un elemento &quot;Link&quot;-Collegamento nel testo non ha un elemento &quot;Collegamento&quot; (https://www.w3.org/WAI/WCAG21/Techniques/html/H30)_x000d__x000a__x000d__x000a_Esempio di violazione individuata sull'oggetto:_x000d__x000a_001 - https://www.posteitaliane.it/files/1476611869975/Remuneration-Highlights-2024-ITA.pdf  con selettore  _x000d__x000a__x000d__x000a_Possibile Metodologia Risolutiva:_x000d__x000a_001 - Ogni collegamento deve essere contrassegnato come tale usando un elemento &quot;Link&quot;. In Adobe Acrobat, utilizzare Strumenti &gt; Accessibilità &gt; Modifica link per garantire che ogni collegamento sia strutturato correttamente.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28)"/>
    <x v="177"/>
    <x v="0"/>
    <x v="45"/>
    <x v="21"/>
    <s v="001 - Collegamento nel testo non ha un elemento &quot;Link&quot;-Collegamento nel testo non ha un elemento &quot;Collegamento&quot; (https://www.w3.org/WAI/WCAG21/Techniques/html/H30)"/>
    <s v="001 - Ogni collegamento deve essere contrassegnato come tale usando un elemento &quot;Link&quot;. In Adobe Acrobat, utilizzare Strumenti &gt; Accessibilità &gt; Modifica link per garantire che ogni collegamento sia strutturato correttamente."/>
    <n v="0"/>
  </r>
  <r>
    <s v="D03210.1.3.1"/>
    <s v="POSTE ITALIANE.IT - 10.1.3.1 Informazioni e correlazioni - D032 106 documenti sulle operaioni compiute da soggetti vari (azionisti, management, etc.) :: (#P0129)_x000d__x000a_D032 106 documenti sulle operaioni compiute da soggetti vari (azionisti, management, etc.) 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464773204/internal-dealing-mef-operazione-27-10-2015.pdf  con selettore  _x000d__x000a__x000d__x000a_Possibile Metodologia Risolutiva:_x000d__x000a_001 - Cambiare la struttura del PDF a Tagged PDF_x000d__x000a__x000d__x000a_Occorrenze rilevate: 7 https://posteitaliane.sharepoint.com/:x:/r/teams/ACCESSIBILITRISULTATIVERIFICHETECNICHE/Shared%20Documents/POSTEITALIANE.IT/LOG/Log.xlsx?d=wf3c65046abcc49009aae265aacd619cd&amp;csf=1&amp;web=1&amp;e=knhQX7_x000d__x000a__x000d__x000a_Link al dettaglio requisito WCAG: NOT FOUND_x000d__x000a_"/>
    <x v="0"/>
    <s v="(#P0129)"/>
    <x v="178"/>
    <x v="1"/>
    <x v="46"/>
    <x v="15"/>
    <s v="001 - Utilizza i tag per specificare la struttura logica del PDF -Utilizza i tag per specificare la struttura logica del PDF (https://www.w3.org/TR/WCAG20-TECHS/pdf#pdf_notes_acc-sup_tagged)"/>
    <s v="001 - Cambiare la struttura del PDF a Tagged PDF"/>
    <n v="0"/>
  </r>
  <r>
    <s v="D03210.2.4.2"/>
    <s v="POSTE ITALIANE.IT - 10.2.4.2 Titolazione della pagina - D032 106 documenti sulle operaioni compiute da soggetti vari (azionisti, management, etc.) :: (#P0132)_x000d__x000a_D032 106 documenti sulle operaioni compiute da soggetti vari (azionisti, management, etc.) 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64773204/internal-dealing-mef-operazione-27-10-2015.pdf  con selettore  _x000d__x000a__x000d__x000a_Possibile Metodologia Risolutiva:_x000d__x000a_001 - Imposta il nuovo titolo PDF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P0132)"/>
    <x v="179"/>
    <x v="0"/>
    <x v="46"/>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3210.3.1.1"/>
    <s v="POSTE ITALIANE.IT - 10.3.1.1 Lingua della pagina - D032 106 documenti sulle operaioni compiute da soggetti vari (azionisti, management, etc.) :: (#P0133)_x000d__x000a_D032 106 documenti sulle operaioni compiute da soggetti vari (azionisti, management, etc.) 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464773204/internal-dealing-mef-operazione-27-10-2015.pdf  con selettore  _x000d__x000a__x000d__x000a_Possibile Metodologia Risolutiva:_x000d__x000a_001 - Seleziona la lingua principale del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133)"/>
    <x v="180"/>
    <x v="0"/>
    <x v="46"/>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3310.1.3.1"/>
    <s v="POSTE ITALIANE.IT - 10.1.3.1 Informazioni e correlazioni - D033 Linee Guida SCIGR di Poste Italiane S.p.A.:: (#P0142)_x000d__x000a_D033 Linee Guida SCIGR di Poste Italiane S.p.A.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464768682/linea-guida-SCIGR-Ita.pdf  con selettore  _x000d__x000a__x000d__x000a_Possibile Metodologia Risolutiva:_x000d__x000a_001 - Cambiare la struttura del PDF a Tagged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142)"/>
    <x v="181"/>
    <x v="1"/>
    <x v="47"/>
    <x v="15"/>
    <s v="001 - Utilizza i tag per specificare la struttura logica del PDF -Utilizza i tag per specificare la struttura logica del PDF (https://www.w3.org/TR/WCAG20-TECHS/pdf#pdf_notes_acc-sup_tagged)"/>
    <s v="001 - Cambiare la struttura del PDF a Tagged PDF"/>
    <n v="0"/>
  </r>
  <r>
    <s v="D03310.2.4.2"/>
    <s v="POSTE ITALIANE.IT - 10.2.4.2 Titolazione della pagina - D033 Linee Guida SCIGR di Poste Italiane S.p.A.:: (#P0145)_x000d__x000a_D033 Linee Guida SCIGR di Poste Italiane S.p.A.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64768682/linea-guida-SCIGR-Ita.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45)"/>
    <x v="182"/>
    <x v="0"/>
    <x v="47"/>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3310.3.1.1"/>
    <s v="POSTE ITALIANE.IT - 10.3.1.1 Lingua della pagina - D033 Linee Guida SCIGR di Poste Italiane S.p.A.:: (#P0146)_x000d__x000a_D033 Linee Guida SCIGR di Poste Italiane S.p.A.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464768682/linea-guida-SCIGR-Ita.pdf  con selettore  _x000d__x000a__x000d__x000a_Possibile Metodologia Risolutiva:_x000d__x000a_001 - Seleziona la lingua principale del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46)"/>
    <x v="183"/>
    <x v="0"/>
    <x v="47"/>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3410.3.1.1"/>
    <s v="POSTE ITALIANE.IT - 10.3.1.1 Lingua della pagina - D034 Questionario Wolfsberg FCCQ:: (#P0147)_x000d__x000a_D034 Questionario Wolfsberg FCCQ_x000d__x000a_Requisito WCAG: 3.1.1_x000d__x000a_Disabilità afflitte: Blind;Cognitive;Deafblind_x000d__x000a_Impatto Utente: 3 - Moderate_x000d__x000a__x000d__x000a_Descrizione_x000d__x000a_001 - I metadati della lingua del documento contengono un errore di sintassi-I metadati della lingua del documento contengono un errore di sintassi (https://www.w3.org/WAI/WCAG21/Techniques/html/H57)_x000d__x000a__x000d__x000a_Esempio di violazione individuata sull'oggetto:_x000d__x000a_001 - https://www.posteitaliane.it/files/1476601733299/FCCQ-v1-2.pdf  con selettore  _x000d__x000a__x000d__x000a_Possibile Metodologia Risolutiva:_x000d__x000a_001 - Correggere l'errore di sintassi nei metadati della lingua per consentire ai lettori di schermo di riconoscere correttamente la lingua.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147)"/>
    <x v="184"/>
    <x v="2"/>
    <x v="48"/>
    <x v="18"/>
    <s v="001 - I metadati della lingua del documento contengono un errore di sintassi-I metadati della lingua del documento contengono un errore di sintassi (https://www.w3.org/WAI/WCAG21/Techniques/html/H57)"/>
    <s v="001 - Correggere l'errore di sintassi nei metadati della lingua per consentire ai lettori di schermo di riconoscere correttamente la lingua."/>
    <n v="0"/>
  </r>
  <r>
    <s v="D03410.1.3.1"/>
    <s v="POSTE ITALIANE.IT - 10.1.3.1 Informazioni e correlazioni - D034 Questionario Wolfsberg FCCQ:: (#P0148)_x000d__x000a_D034 Questionario Wolfsberg FCCQ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601733299/FCCQ-v1-2.pdf  con selettore  _x000d__x000a__x000d__x000a_Possibile Metodologia Risolutiva:_x000d__x000a_001 - Cambiare la struttura del PDF a Tagged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148)"/>
    <x v="185"/>
    <x v="1"/>
    <x v="48"/>
    <x v="15"/>
    <s v="001 - Utilizza i tag per specificare la struttura logica del PDF -Utilizza i tag per specificare la struttura logica del PDF (https://www.w3.org/TR/WCAG20-TECHS/pdf#pdf_notes_acc-sup_tagged)"/>
    <s v="001 - Cambiare la struttura del PDF a Tagged PDF"/>
    <n v="0"/>
  </r>
  <r>
    <s v="D03410.2.4.2"/>
    <s v="POSTE ITALIANE.IT - 10.2.4.2 Titolazione della pagina - D034 Questionario Wolfsberg FCCQ:: (#P0151)_x000d__x000a_D034 Questionario Wolfsberg FCCQ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01733299/FCCQ-v1-2.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51)"/>
    <x v="186"/>
    <x v="0"/>
    <x v="48"/>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3510.1.3.1"/>
    <s v="POSTE ITALIANE.IT - 10.1.3.1 Informazioni e correlazioni - D035 Regolamento del Patrimonio BancoPosta:: (#P0153)_x000d__x000a_D035 Regolamento del Patrimonio BancoPosta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464842536/regolamento-patrimonio-bancoposta.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53)"/>
    <x v="187"/>
    <x v="0"/>
    <x v="49"/>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3510.2.4.2"/>
    <s v="POSTE ITALIANE.IT - 10.2.4.2 Titolazione della pagina - D035 Regolamento del Patrimonio BancoPosta:: (#P0154)_x000d__x000a_D035 Regolamento del Patrimonio BancoPosta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64842536/regolamento-patrimonio-bancoposta.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54)"/>
    <x v="188"/>
    <x v="0"/>
    <x v="49"/>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3610.1.3.1"/>
    <s v="POSTE ITALIANE.IT - 10.1.3.1 Informazioni e correlazioni - D036 18 documenti informativi Banco Posta:: (#P0155)_x000d__x000a_D036 18 documenti informativi Banco Posta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611727225/Informativa-al-pubblico-sui-rischi-2023-ITA.pdf  con selettore  _x000d__x000a__x000d__x000a_Possibile Metodologia Risolutiva:_x000d__x000a_001 - Cambiare la struttura del PDF a Tagged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155)"/>
    <x v="189"/>
    <x v="1"/>
    <x v="50"/>
    <x v="15"/>
    <s v="001 - Utilizza i tag per specificare la struttura logica del PDF -Utilizza i tag per specificare la struttura logica del PDF (https://www.w3.org/TR/WCAG20-TECHS/pdf#pdf_notes_acc-sup_tagged)"/>
    <s v="001 - Cambiare la struttura del PDF a Tagged PDF"/>
    <n v="0"/>
  </r>
  <r>
    <s v="D03610.2.4.2"/>
    <s v="POSTE ITALIANE.IT - 10.2.4.2 Titolazione della pagina - D036 18 documenti informativi Banco Posta:: (#P0158)_x000d__x000a_D036 18 documenti informativi Banco Posta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11727225/Informativa-al-pubblico-sui-rischi-2023-ITA.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58)"/>
    <x v="190"/>
    <x v="0"/>
    <x v="50"/>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3710.1.1.1"/>
    <s v="POSTE ITALIANE.IT - 10.1.1.1 Contenuti non testuali - D037 180 documenti relaztivi alle assemblee azionarie (20 ducomenti per anno per 9 anni):: (#P0159)_x000d__x000a_D037 180 documenti relaztivi alle assemblee azionarie (20 ducomenti per anno per 9 anni)_x000d__x000a_Requisito WCAG: 1.1.1_x000d__x000a_Disabilità afflitte: Blind;Cognitive;Deafblind;Mobility;Sighted Keyboard Users_x000d__x000a_Impatto Utente: 1 - Critical_x000d__x000a__x000d__x000a_Descrizione_x000d__x000a_001 - Rendere PDF cercabile in documento PDF basato su immagine-Rendere PDF cercabile in documento PDF basato su immagine [Esempio di fallimento: Documenti scansionati come immagini senza poi utilizzare l'OCR per riconoscere il testo nelle immagini scansionate] (https://www.w3.org/TR/WCAG22/#non-text-content)_x000d__x000a__x000d__x000a_Esempio di violazione individuata sull'oggetto:_x000d__x000a_001 - https://www.posteitaliane.it/files/1476616887006/Assemblea-2024-Verbale-e-allegati-ITA.pdf  con selettore  _x000d__x000a__x000d__x000a_Possibile Metodologia Risolutiva:_x000d__x000a_001 - Utilizza un software OCR (riconoscimento ottico dei caratteri) come Adobe Acrobat Pro DC, ABBYY FineReader, o strumenti online gratuiti (ad esempio, Google Drive o PDF24)._x000a_In Adobe Acrobat Pro DC, apri il PDF, vai su Strumenti &gt; Riconosci testo &gt; In questo file e seleziona la lingua. Questo processo convertirà il testo basato su immagini in testo vero e proprio, rendendo il documento ricercabile.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159)"/>
    <x v="191"/>
    <x v="1"/>
    <x v="51"/>
    <x v="17"/>
    <s v="001 - Rendere PDF cercabile in documento PDF basato su immagine-Rendere PDF cercabile in documento PDF basato su immagine [Esempio di fallimento: Documenti scansionati come immagini senza poi utilizzare l'OCR per riconoscere il testo nelle immagini scansionate] (https://www.w3.org/TR/WCAG22/#non-text-content)"/>
    <s v="001 - Utilizza un software OCR (riconoscimento ottico dei caratteri) come Adobe Acrobat Pro DC, ABBYY FineReader, o strumenti online gratuiti (ad esempio, Google Drive o PDF24)._x000a_In Adobe Acrobat Pro DC, apri il PDF, vai su Strumenti &gt; Riconosci testo &gt; In questo file e seleziona la lingua. Questo processo convertirà il testo basato su immagini in testo vero e proprio, rendendo il documento ricercabile."/>
    <n v="0"/>
  </r>
  <r>
    <s v="D03710.1.3.1"/>
    <s v="POSTE ITALIANE.IT - 10.1.3.1 Informazioni e correlazioni - D037 180 documenti relaztivi alle assemblee azionarie (20 ducomenti per anno per 9 anni):: (#P0160)_x000d__x000a_D037 180 documenti relaztivi alle assemblee azionarie (20 ducomenti per anno per 9 anni)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616887006/Assemblea-2024-Verbale-e-allegati-ITA.pdf  con selettore  _x000d__x000a__x000d__x000a_Possibile Metodologia Risolutiva:_x000d__x000a_001 - Cambiare la struttura del PDF a Tagged PDF_x000d__x000a__x000d__x000a_Occorrenze rilevate: 8 https://posteitaliane.sharepoint.com/:x:/r/teams/ACCESSIBILITRISULTATIVERIFICHETECNICHE/Shared%20Documents/POSTEITALIANE.IT/LOG/Log.xlsx?d=wf3c65046abcc49009aae265aacd619cd&amp;csf=1&amp;web=1&amp;e=knhQX7_x000d__x000a__x000d__x000a_Link al dettaglio requisito WCAG: NOT FOUND_x000d__x000a_"/>
    <x v="0"/>
    <s v="(#P0160)"/>
    <x v="192"/>
    <x v="1"/>
    <x v="51"/>
    <x v="15"/>
    <s v="001 - Utilizza i tag per specificare la struttura logica del PDF -Utilizza i tag per specificare la struttura logica del PDF (https://www.w3.org/TR/WCAG20-TECHS/pdf#pdf_notes_acc-sup_tagged)"/>
    <s v="001 - Cambiare la struttura del PDF a Tagged PDF"/>
    <n v="0"/>
  </r>
  <r>
    <s v="D03710.2.4.2"/>
    <s v="POSTE ITALIANE.IT - 10.2.4.2 Titolazione della pagina - D037 180 documenti relaztivi alle assemblee azionarie (20 ducomenti per anno per 9 anni):: (#P0163)_x000d__x000a_D037 180 documenti relaztivi alle assemblee azionarie (20 ducomenti per anno per 9 anni)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16887006/Assemblea-2024-Verbale-e-allegati-ITA.pdf  con selettore  _x000d__x000a__x000d__x000a_Possibile Metodologia Risolutiva:_x000d__x000a_001 - Imposta il nuovo titolo PDF_x000d__x000a__x000d__x000a_Occorrenze rilevate: 7 https://posteitaliane.sharepoint.com/:x:/r/teams/ACCESSIBILITRISULTATIVERIFICHETECNICHE/Shared%20Documents/POSTEITALIANE.IT/LOG/Log.xlsx?d=wf3c65046abcc49009aae265aacd619cd&amp;csf=1&amp;web=1&amp;e=knhQX7_x000d__x000a__x000d__x000a_Link al dettaglio requisito WCAG: NOT FOUND_x000d__x000a_"/>
    <x v="0"/>
    <s v="(#P0163)"/>
    <x v="193"/>
    <x v="0"/>
    <x v="51"/>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3710.3.1.1"/>
    <s v="POSTE ITALIANE.IT - 10.3.1.1 Lingua della pagina - D037 180 documenti relaztivi alle assemblee azionarie (20 ducomenti per anno per 9 anni):: (#P0164)_x000d__x000a_D037 180 documenti relaztivi alle assemblee azionarie (20 ducomenti per anno per 9 anni)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616887006/Assemblea-2024-Verbale-e-allegati-ITA.pdf  con selettore  _x000d__x000a__x000d__x000a_Possibile Metodologia Risolutiva:_x000d__x000a_001 - Seleziona la lingua principale del PDF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164)"/>
    <x v="194"/>
    <x v="0"/>
    <x v="51"/>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3810.1.3.1"/>
    <s v="POSTE ITALIANE.IT - 10.1.3.1 Informazioni e correlazioni - D038 5 documenti nella sezione media:: (#P0179)_x000d__x000a_D038 5 documenti nella sezione media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3807691496/Highlights-ITA-300624.pdf  con selettore  _x000d__x000a__x000d__x000a_Possibile Metodologia Risolutiva:_x000d__x000a_001 - Cambiare la struttura del PDF a Tagged PDF_x000d__x000a__x000d__x000a_Occorrenze rilevate: 14 https://posteitaliane.sharepoint.com/:x:/r/teams/ACCESSIBILITRISULTATIVERIFICHETECNICHE/Shared%20Documents/POSTEITALIANE.IT/LOG/Log.xlsx?d=wf3c65046abcc49009aae265aacd619cd&amp;csf=1&amp;web=1&amp;e=knhQX7_x000d__x000a__x000d__x000a_Link al dettaglio requisito WCAG: NOT FOUND_x000d__x000a_"/>
    <x v="0"/>
    <s v="(#P0179)"/>
    <x v="195"/>
    <x v="1"/>
    <x v="52"/>
    <x v="15"/>
    <s v="001 - Utilizza i tag per specificare la struttura logica del PDF -Utilizza i tag per specificare la struttura logica del PDF (https://www.w3.org/TR/WCAG20-TECHS/pdf#pdf_notes_acc-sup_tagged)"/>
    <s v="001 - Cambiare la struttura del PDF a Tagged PDF"/>
    <n v="0"/>
  </r>
  <r>
    <s v="D03810.2.4.2"/>
    <s v="POSTE ITALIANE.IT - 10.2.4.2 Titolazione della pagina - D038 5 documenti nella sezione media:: (#P0184)_x000d__x000a_D038 5 documenti nella sezione media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12042717/Relazione-Finanziaria-Annuale-2023-ita.pdf  con selettore  _x000d__x000a__x000d__x000a_Possibile Metodologia Risolutiva:_x000d__x000a_001 - Imposta il nuovo titolo PDF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P0184)"/>
    <x v="196"/>
    <x v="0"/>
    <x v="52"/>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3810.3.1.1"/>
    <s v="POSTE ITALIANE.IT - 10.3.1.1 Lingua della pagina - D038 5 documenti nella sezione media:: (#P0197)_x000d__x000a_D038 5 documenti nella sezione media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630217946/CS-Premio-Italia-Informa-al-DG-Giuseppe-Lasco.pdf  con selettore  _x000d__x000a__x000d__x000a_Possibile Metodologia Risolutiva:_x000d__x000a_001 - Seleziona la lingua principale del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97)"/>
    <x v="197"/>
    <x v="0"/>
    <x v="52"/>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3910.1.3.1"/>
    <s v="POSTE ITALIANE.IT - 10.1.3.1 Informazioni e correlazioni - D039 documento di approfondimento sostenibilità:: (#P0198)_x000d__x000a_D039 documento di approfondimento sostenibilità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files/1476576599111/poste-investo-sostenibile-informativa-sostenibilita.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98)"/>
    <x v="198"/>
    <x v="0"/>
    <x v="53"/>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3910.2.4.2"/>
    <s v="POSTE ITALIANE.IT - 10.2.4.2 Titolazione della pagina - D039 documento di approfondimento sostenibilità:: (#P0199)_x000d__x000a_D039 documento di approfondimento sostenibilità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files/1476576599111/poste-investo-sostenibile-informativa-sostenibilita.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199)"/>
    <x v="199"/>
    <x v="0"/>
    <x v="53"/>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4010.1.3.1"/>
    <s v="POSTE ITALIANE.IT - 10.1.3.1 Informazioni e correlazioni - D040 Politica Aziendale in materia di tutela e protezione dei Diritti Umani:: (#P0200)_x000d__x000a_D040 Politica Aziendale in materia di tutela e protezione dei Diritti Umani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488468165/politica-diritti-umani.pdf  con selettore  _x000d__x000a__x000d__x000a_Possibile Metodologia Risolutiva:_x000d__x000a_001 - Cambiare la struttura del PDF a Tagged PDF_x000d__x000a__x000d__x000a_Occorrenze rilevate: 6 https://posteitaliane.sharepoint.com/:x:/r/teams/ACCESSIBILITRISULTATIVERIFICHETECNICHE/Shared%20Documents/POSTEITALIANE.IT/LOG/Log.xlsx?d=wf3c65046abcc49009aae265aacd619cd&amp;csf=1&amp;web=1&amp;e=knhQX7_x000d__x000a__x000d__x000a_Link al dettaglio requisito WCAG: NOT FOUND_x000d__x000a_"/>
    <x v="0"/>
    <s v="(#P0200)"/>
    <x v="200"/>
    <x v="1"/>
    <x v="54"/>
    <x v="15"/>
    <s v="001 - Utilizza i tag per specificare la struttura logica del PDF -Utilizza i tag per specificare la struttura logica del PDF (https://www.w3.org/TR/WCAG20-TECHS/pdf#pdf_notes_acc-sup_tagged)"/>
    <s v="001 - Cambiare la struttura del PDF a Tagged PDF"/>
    <n v="0"/>
  </r>
  <r>
    <s v="D04010.2.4.2"/>
    <s v="POSTE ITALIANE.IT - 10.2.4.2 Titolazione della pagina - D040 Politica Aziendale in materia di tutela e protezione dei Diritti Umani:: (#P0206)_x000d__x000a_D040 Politica Aziendale in materia di tutela e protezione dei Diritti Umani_x000d__x000a_Requisito WCAG: 2.4.2_x000d__x000a_Disabilità afflitte: Cognitive_x000d__x000a_Impatto Utente: 4 - Minor_x000d__x000a__x000d__x000a_Descrizione_x000d__x000a_001 - &quot;DisplayDocTitle&quot; non impostato-&quot;DisplayDocTitle&quot; non impostato (https://www.w3.org/WAI/WCAG21/Techniques/general/G88)_x000d__x000a__x000d__x000a_Esempio di violazione individuata sull'oggetto:_x000d__x000a_001 - https://www.posteitaliane.it/files/1476488468165/politica-diritti-umani.pdf  con selettore  _x000d__x000a__x000d__x000a_Possibile Metodologia Risolutiva:_x000d__x000a_001 - Impostare l’opzione &quot;DisplayDocTitle&quot; per mostrare il titolo del documento anziché il nome file. In Acrobat, andare su File &gt; Proprietà &gt; Visualizzazione iniziale e selezionare “Mostra titolo documento”.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206)"/>
    <x v="201"/>
    <x v="3"/>
    <x v="54"/>
    <x v="16"/>
    <s v="001 - &quot;DisplayDocTitle&quot; non impostato-&quot;DisplayDocTitle&quot; non impostato (https://www.w3.org/WAI/WCAG21/Techniques/general/G88)"/>
    <s v="001 - Impostare l’opzione &quot;DisplayDocTitle&quot; per mostrare il titolo del documento anziché il nome file. In Acrobat, andare su File &gt; Proprietà &gt; Visualizzazione iniziale e selezionare “Mostra titolo documento”."/>
    <n v="0"/>
  </r>
  <r>
    <s v="D04010.3.1.1"/>
    <s v="POSTE ITALIANE.IT - 10.3.1.1 Lingua della pagina - D040 Politica Aziendale in materia di tutela e protezione dei Diritti Umani:: (#P0209)_x000d__x000a_D040 Politica Aziendale in materia di tutela e protezione dei Diritti Umani_x000d__x000a_Requisito WCAG: 3.1.1_x000d__x000a_Disabilità afflitte: Blind;Cognitive;Deafblind_x000d__x000a_Impatto Utente: 3 - Moderate_x000d__x000a__x000d__x000a_Descrizione_x000d__x000a_001 - I metadati della lingua del documento contengono un errore di sintassi-I metadati della lingua del documento contengono un errore di sintassi (https://www.w3.org/WAI/WCAG21/Techniques/html/H57)_x000d__x000a__x000d__x000a_Esempio di violazione individuata sull'oggetto:_x000d__x000a_001 - https://www.posteitaliane.it/files/1476488468165/politica-diritti-umani.pdf  con selettore  _x000d__x000a__x000d__x000a_Possibile Metodologia Risolutiva:_x000d__x000a_001 - Correggere l'errore di sintassi nei metadati della lingua per consentire ai lettori di schermo di riconoscere correttamente la lingua.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09)"/>
    <x v="202"/>
    <x v="2"/>
    <x v="54"/>
    <x v="18"/>
    <s v="001 - I metadati della lingua del documento contengono un errore di sintassi-I metadati della lingua del documento contengono un errore di sintassi (https://www.w3.org/WAI/WCAG21/Techniques/html/H57)"/>
    <s v="001 - Correggere l'errore di sintassi nei metadati della lingua per consentire ai lettori di schermo di riconoscere correttamente la lingua."/>
    <n v="0"/>
  </r>
  <r>
    <s v="D04110.1.3.1"/>
    <s v="POSTE ITALIANE.IT - 10.1.3.1 Informazioni e correlazioni - D041 Politica Integrata del Gruppo Poste Italiane:: (#P0210)_x000d__x000a_D041 Politica Integrata del Gruppo Poste Italiane_x000d__x000a_Requisito WCAG: 1.3.1_x000d__x000a_Disabilità afflitte: Blind;Deafblind_x000d__x000a_Impatto Utente: 2 - Serious_x000d__x000a__x000d__x000a_Descrizione_x000d__x000a_001 - Fornire intestazioni contrassegnando il contenuto con tag di intestazione nei documenti PDF -Fornire intestazioni contrassegnando il contenuto con tag di intestazione nei documenti PDF (https://www.w3.org/WAI/WCAG22/Techniques/pdf/PDF9)_x000d__x000a__x000d__x000a_Esempio di violazione individuata sull'oggetto:_x000d__x000a_001 - https://www.posteitaliane.it/files/1476487642301/Politica-Integrata-Gruppo-10-12-2021-.pdf  con selettore  _x000d__x000a__x000d__x000a_Possibile Metodologia Risolutiva:_x000d__x000a_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210)"/>
    <x v="203"/>
    <x v="0"/>
    <x v="55"/>
    <x v="15"/>
    <s v="001 - Fornire intestazioni contrassegnando il contenuto con tag di intestazione nei documenti PDF -Fornire intestazioni contrassegnando il contenuto con tag di intestazione nei documenti PDF (https://www.w3.org/WAI/WCAG22/Techniques/pdf/PDF9)"/>
    <s v="001 - I documenti pdf devono avere gli heading correttamente marcati:_x000a_- Aggiungendo o modificando i tag heading su prodotti di modifica PDF_x000a_- Creando documenti in programmi Word usando lo styling corretto per la conversione in PDF_x000a_- Marcando gli heading usando elementi /Hn"/>
    <n v="0"/>
  </r>
  <r>
    <s v="D04110.2.4.2"/>
    <s v="POSTE ITALIANE.IT - 10.2.4.2 Titolazione della pagina - D041 Politica Integrata del Gruppo Poste Italiane:: (#P0211)_x000d__x000a_D041 Politica Integrata del Gruppo Poste Italiane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87642301/Politica-Integrata-Gruppo-10-12-2021-.pdf  con selettore  _x000d__x000a__x000d__x000a_Possibile Metodologia Risolutiva:_x000d__x000a_001 - Imposta il nuovo titolo PDF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P0211)"/>
    <x v="204"/>
    <x v="0"/>
    <x v="55"/>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4110.1.1.1"/>
    <s v="POSTE ITALIANE.IT - 10.1.1.1 Contenuti non testuali - D041 Politica Integrata del Gruppo Poste Italiane:: (#P0212)_x000d__x000a_D041 Politica Integrata del Gruppo Poste Italiane_x000d__x000a_Requisito WCAG: 1.1.1_x000d__x000a_Disabilità afflitte: Blind;Deafblind_x000d__x000a_Impatto Utente: 2 - Serious_x000d__x000a__x000d__x000a_Descrizione_x000d__x000a_001 - Testo alternativo mancante per l'elemento struttura &quot;Figura&quot;-Testo alternativo mancante per l'elemento struttura &quot;Figura&quot; (https://www.w3.org/WAI/WCAG21/Techniques/html/H37)_x000d__x000a__x000d__x000a_Esempio di violazione individuata sull'oggetto:_x000d__x000a_001 - https://www.posteitaliane.it/files/1476487642301/Politica-Integrata-Gruppo-10-12-2021-.pdf  con selettore  _x000d__x000a__x000d__x000a_Possibile Metodologia Risolutiva:_x000d__x000a_001 - Fornire testo alternativo descrittivo per ogni elemento &quot;Figure&quot; in modo che sia comprensibile tramite lettori di schermo. È possibile aggiungere il testo alternativo in Adobe Acrobat andando su Strumenti &gt; Accessibilità &gt; Modifica testo alternativo.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12)"/>
    <x v="205"/>
    <x v="0"/>
    <x v="55"/>
    <x v="17"/>
    <s v="001 - Testo alternativo mancante per l'elemento struttura &quot;Figura&quot;-Testo alternativo mancante per l'elemento struttura &quot;Figura&quot; (https://www.w3.org/WAI/WCAG21/Techniques/html/H37)"/>
    <s v="001 - Fornire testo alternativo descrittivo per ogni elemento &quot;Figure&quot; in modo che sia comprensibile tramite lettori di schermo. È possibile aggiungere il testo alternativo in Adobe Acrobat andando su Strumenti &gt; Accessibilità &gt; Modifica testo alternativo."/>
    <n v="0"/>
  </r>
  <r>
    <s v="D04110.1.4.3"/>
    <s v="POSTE ITALIANE.IT - 10.1.4.3 Contrasto (minimo) - D041 Politica Integrata del Gruppo Poste Italiane:: (#P0215)_x000d__x000a_D041 Politica Integrata del Gruppo Poste Italiane_x000d__x000a_Requisito WCAG: 1.4.3_x000d__x000a_Disabilità afflitte: Blind;Cognitive;Deafblind_x000d__x000a_Impatto Utente: 2 - Serious_x000d__x000a__x000d__x000a_Descrizione_x000d__x000a_001 - Testo con contrasto insufficiente-Testo con contrasto insufficiente (https://www.w3.org/WAI/WCAG21/Techniques/general/G18)_x000d__x000a__x000d__x000a_Esempio di violazione individuata sull'oggetto:_x000d__x000a_001 - https://www.posteitaliane.it/files/1476487642301/Politica-Integrata-Gruppo-10-12-2021-.pdf  con selettore  _x000d__x000a__x000d__x000a_Possibile Metodologia Risolutiva:_x000d__x000a_001 - Regolare il contrasto tra testo e sfondo, assicurandosi che rispetti il rapporto minimo di contrasto di 4.5:1. Modificare il colore del testo o dello sfondo nel software di editing.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15)"/>
    <x v="206"/>
    <x v="0"/>
    <x v="55"/>
    <x v="19"/>
    <s v="001 - Testo con contrasto insufficiente-Testo con contrasto insufficiente (https://www.w3.org/WAI/WCAG21/Techniques/general/G18)"/>
    <s v="001 - Regolare il contrasto tra testo e sfondo, assicurandosi che rispetti il rapporto minimo di contrasto di 4.5:1. Modificare il colore del testo o dello sfondo nel software di editing."/>
    <n v="0"/>
  </r>
  <r>
    <s v="D04310.1.1.1"/>
    <s v="POSTE ITALIANE.IT - 10.1.1.1 Contenuti non testuali - D043 Compliance per la tutela della concorrenza e del consumatore - versione 2023:: (#P0219)_x000d__x000a_D043 Compliance per la tutela della concorrenza e del consumatore - versione 2023_x000d__x000a_Requisito WCAG: 1.1.1_x000d__x000a_Disabilità afflitte: Blind;Deafblind_x000d__x000a_Impatto Utente: 2 - Serious_x000d__x000a__x000d__x000a_Descrizione_x000d__x000a_001 - Descrizione alternativa mancante per un'annotazione-Descrizione alternativa mancante per un'annotazione (https://www.w3.org/WAI/WCAG22/Techniques/html/H30.html)_x000d__x000a__x000d__x000a_Esempio di violazione individuata sull'oggetto:_x000d__x000a_001 - https://www.posteitaliane.it/files/1476526344972/LG-Compliance-tutela-della-concorrenza-e-del-consumatore-ITA.pdf  con selettore  _x000d__x000a__x000d__x000a_Possibile Metodologia Risolutiva:_x000d__x000a_001 - Quando un'immagine è l'unico contenuto di un link, il testo alternativo per l'immagine descrive la funzione unica del link._x000a__x000a_Quando il contenuto di un link contiene sia testo che una o più immagini, se il testo è sufficiente a descrivere lo scopo del link, le immagini possono avere un'alternativa di testo vuota.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19)"/>
    <x v="207"/>
    <x v="0"/>
    <x v="56"/>
    <x v="17"/>
    <s v="001 - Descrizione alternativa mancante per un'annotazione-Descrizione alternativa mancante per un'annotazione (https://www.w3.org/WAI/WCAG22/Techniques/html/H30.html)"/>
    <s v="001 - Quando un'immagine è l'unico contenuto di un link, il testo alternativo per l'immagine descrive la funzione unica del link._x000a__x000a_Quando il contenuto di un link contiene sia testo che una o più immagini, se il testo è sufficiente a descrivere lo scopo del link, le immagini possono avere un'alternativa di testo vuota."/>
    <n v="0"/>
  </r>
  <r>
    <s v="D04310.1.3.1"/>
    <s v="POSTE ITALIANE.IT - 10.1.3.1 Informazioni e correlazioni - D043 Compliance per la tutela della concorrenza e del consumatore - versione 2023:: (#P0220)_x000d__x000a_D043 Compliance per la tutela della concorrenza e del consumatore - versione 2023_x000d__x000a_Requisito WCAG: 1.3.1_x000d__x000a_Disabilità afflitte: Blind;Deafblind_x000d__x000a_Impatto Utente: 1 - Critical_x000d__x000a__x000d__x000a_Descrizione_x000d__x000a_001 - Documento non contrassegnato come taggato-Documento non contrassegnato come taggato (https://www.w3.org/WAI/WCAG21/Techniques/pdf/PDF1)_x000d__x000a__x000d__x000a_Esempio di violazione individuata sull'oggetto:_x000d__x000a_001 - https://www.posteitaliane.it/files/1476526344972/LG-Compliance-tutela-della-concorrenza-e-del-consumatore-ITA.pdf  con selettore  _x000d__x000a__x000d__x000a_Possibile Metodologia Risolutiva:_x000d__x000a_001 - Contrassegnare tutto il documento come taggato per consentire l'accesso agli screen reader. In Adobe Acrobat, selezionare Aggiungi tag al documento.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P0220)"/>
    <x v="208"/>
    <x v="1"/>
    <x v="56"/>
    <x v="15"/>
    <s v="001 - Documento non contrassegnato come taggato-Documento non contrassegnato come taggato (https://www.w3.org/WAI/WCAG21/Techniques/pdf/PDF1)"/>
    <s v="001 - Contrassegnare tutto il documento come taggato per consentire l'accesso agli screen reader. In Adobe Acrobat, selezionare Aggiungi tag al documento."/>
    <n v="0"/>
  </r>
  <r>
    <s v="D04310.2.4.2"/>
    <s v="POSTE ITALIANE.IT - 10.2.4.2 Titolazione della pagina - D043 Compliance per la tutela della concorrenza e del consumatore - versione 2023:: (#P0224)_x000d__x000a_D043 Compliance per la tutela della concorrenza e del consumatore - versione 2023_x000d__x000a_Requisito WCAG: 2.4.2_x000d__x000a_Disabilità afflitte: Cognitive_x000d__x000a_Impatto Utente: 4 - Minor_x000d__x000a__x000d__x000a_Descrizione_x000d__x000a_001 - &quot;DisplayDocTitle&quot; non impostato-&quot;DisplayDocTitle&quot; non impostato (https://www.w3.org/WAI/WCAG21/Techniques/general/G88)_x000d__x000a__x000d__x000a_Esempio di violazione individuata sull'oggetto:_x000d__x000a_001 - https://www.posteitaliane.it/files/1476526344972/LG-Compliance-tutela-della-concorrenza-e-del-consumatore-ITA.pdf  con selettore  _x000d__x000a__x000d__x000a_Possibile Metodologia Risolutiva:_x000d__x000a_001 - Impostare l’opzione &quot;DisplayDocTitle&quot; per mostrare il titolo del documento anziché il nome file. In Acrobat, andare su File &gt; Proprietà &gt; Visualizzazione iniziale e selezionare “Mostra titolo documento”._x000d__x000a__x000d__x000a_Occorrenze rilevate: 2 https://posteitaliane.sharepoint.com/:x:/r/teams/ACCESSIBILITRISULTATIVERIFICHETECNICHE/Shared%20Documents/POSTEITALIANE.IT/LOG/Log.xlsx?d=wf3c65046abcc49009aae265aacd619cd&amp;csf=1&amp;web=1&amp;e=knhQX7_x000d__x000a__x000d__x000a_Link al dettaglio requisito WCAG: NOT FOUND_x000d__x000a_"/>
    <x v="0"/>
    <s v="(#P0224)"/>
    <x v="209"/>
    <x v="3"/>
    <x v="56"/>
    <x v="16"/>
    <s v="001 - &quot;DisplayDocTitle&quot; non impostato-&quot;DisplayDocTitle&quot; non impostato (https://www.w3.org/WAI/WCAG21/Techniques/general/G88)"/>
    <s v="001 - Impostare l’opzione &quot;DisplayDocTitle&quot; per mostrare il titolo del documento anziché il nome file. In Acrobat, andare su File &gt; Proprietà &gt; Visualizzazione iniziale e selezionare “Mostra titolo documento”."/>
    <n v="0"/>
  </r>
  <r>
    <s v="D04310.3.1.1"/>
    <s v="POSTE ITALIANE.IT - 10.3.1.1 Lingua della pagina - D043 Compliance per la tutela della concorrenza e del consumatore - versione 2023:: (#P0226)_x000d__x000a_D043 Compliance per la tutela della concorrenza e del consumatore - versione 2023_x000d__x000a_Requisito WCAG: 3.1.1_x000d__x000a_Disabilità afflitte: Blind;Cognitive;Deafblind_x000d__x000a_Impatto Utente: 3 - Moderate_x000d__x000a__x000d__x000a_Descrizione_x000d__x000a_001 - I metadati della lingua del documento contengono un errore di sintassi-I metadati della lingua del documento contengono un errore di sintassi (https://www.w3.org/WAI/WCAG21/Techniques/html/H57)_x000d__x000a__x000d__x000a_Esempio di violazione individuata sull'oggetto:_x000d__x000a_001 - https://www.posteitaliane.it/files/1476526344972/LG-Compliance-tutela-della-concorrenza-e-del-consumatore-ITA.pdf  con selettore  _x000d__x000a__x000d__x000a_Possibile Metodologia Risolutiva:_x000d__x000a_001 - Correggere l'errore di sintassi nei metadati della lingua per consentire ai lettori di schermo di riconoscere correttamente la lingua.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26)"/>
    <x v="210"/>
    <x v="2"/>
    <x v="56"/>
    <x v="18"/>
    <s v="001 - I metadati della lingua del documento contengono un errore di sintassi-I metadati della lingua del documento contengono un errore di sintassi (https://www.w3.org/WAI/WCAG21/Techniques/html/H57)"/>
    <s v="001 - Correggere l'errore di sintassi nei metadati della lingua per consentire ai lettori di schermo di riconoscere correttamente la lingua."/>
    <n v="0"/>
  </r>
  <r>
    <s v="D04410.1.3.1"/>
    <s v="POSTE ITALIANE.IT - 10.1.3.1 Informazioni e correlazioni - D044 Panoramica dati Valorizzazione delle persone:: (#P0227)_x000d__x000a_D044 Panoramica dati Valorizzazione delle persone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611805835/Relazione-Finanziaria-Annuale-2023-ita.pdf#page=294  con selettore  _x000d__x000a__x000d__x000a_Possibile Metodologia Risolutiva:_x000d__x000a_001 - Cambiare la struttura del PDF a Tagged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227)"/>
    <x v="211"/>
    <x v="1"/>
    <x v="57"/>
    <x v="15"/>
    <s v="001 - Utilizza i tag per specificare la struttura logica del PDF -Utilizza i tag per specificare la struttura logica del PDF (https://www.w3.org/TR/WCAG20-TECHS/pdf#pdf_notes_acc-sup_tagged)"/>
    <s v="001 - Cambiare la struttura del PDF a Tagged PDF"/>
    <n v="0"/>
  </r>
  <r>
    <s v="D04410.2.4.2"/>
    <s v="POSTE ITALIANE.IT - 10.2.4.2 Titolazione della pagina - D044 Panoramica dati Valorizzazione delle persone:: (#P0230)_x000d__x000a_D044 Panoramica dati Valorizzazione delle persone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11805835/Relazione-Finanziaria-Annuale-2023-ita.pdf#page=294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30)"/>
    <x v="212"/>
    <x v="0"/>
    <x v="57"/>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4510.1.3.1"/>
    <s v="POSTE ITALIANE.IT - 10.1.3.1 Informazioni e correlazioni - D045 Download dei dati ambientali del Gruppo Poste Italiane.:: (#P0231)_x000d__x000a_D045 Download dei dati ambientali del Gruppo Poste Italiane.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611805835/Relazione-Finanziaria-Annuale-2023-ita.pdf#page=376  con selettore  _x000d__x000a__x000d__x000a_Possibile Metodologia Risolutiva:_x000d__x000a_001 - Cambiare la struttura del PDF a Tagged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231)"/>
    <x v="213"/>
    <x v="1"/>
    <x v="58"/>
    <x v="15"/>
    <s v="001 - Utilizza i tag per specificare la struttura logica del PDF -Utilizza i tag per specificare la struttura logica del PDF (https://www.w3.org/TR/WCAG20-TECHS/pdf#pdf_notes_acc-sup_tagged)"/>
    <s v="001 - Cambiare la struttura del PDF a Tagged PDF"/>
    <n v="0"/>
  </r>
  <r>
    <s v="D04510.2.4.2"/>
    <s v="POSTE ITALIANE.IT - 10.2.4.2 Titolazione della pagina - D045 Download dei dati ambientali del Gruppo Poste Italiane.:: (#P0234)_x000d__x000a_D045 Download dei dati ambientali del Gruppo Poste Italiane.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11805835/Relazione-Finanziaria-Annuale-2023-ita.pdf#page=376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34)"/>
    <x v="214"/>
    <x v="0"/>
    <x v="58"/>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4610.1.3.1"/>
    <s v="POSTE ITALIANE.IT - 10.1.3.1 Informazioni e correlazioni - D046 5 documenti sulla transazione green :: (#P0235)_x000d__x000a_D046 5 documenti sulla transazione green 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611930835/Relazione_corporate_governance_2023_ITA.pdf  con selettore  _x000d__x000a__x000d__x000a_Possibile Metodologia Risolutiva:_x000d__x000a_001 - Cambiare la struttura del PDF a Tagged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235)"/>
    <x v="215"/>
    <x v="1"/>
    <x v="59"/>
    <x v="15"/>
    <s v="001 - Utilizza i tag per specificare la struttura logica del PDF -Utilizza i tag per specificare la struttura logica del PDF (https://www.w3.org/TR/WCAG20-TECHS/pdf#pdf_notes_acc-sup_tagged)"/>
    <s v="001 - Cambiare la struttura del PDF a Tagged PDF"/>
    <n v="0"/>
  </r>
  <r>
    <s v="D04610.2.4.2"/>
    <s v="POSTE ITALIANE.IT - 10.2.4.2 Titolazione della pagina - D046 5 documenti sulla transazione green :: (#P0238)_x000d__x000a_D046 5 documenti sulla transazione green 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11930835/Relazione_corporate_governance_2023_ITA.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38)"/>
    <x v="216"/>
    <x v="0"/>
    <x v="59"/>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4810.1.3.1"/>
    <s v="POSTE ITALIANE.IT - 10.1.3.1 Informazioni e correlazioni - D048 Panoramica sui dati di Diversità e Inclusione:: (#P0239)_x000d__x000a_D048 Panoramica sui dati di Diversità e Inclusione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611805835/Relazione-Finanziaria-Annuale-2023-ita.pdf#page=313  con selettore  _x000d__x000a__x000d__x000a_Possibile Metodologia Risolutiva:_x000d__x000a_001 - Cambiare la struttura del PDF a Tagged PDF_x000d__x000a__x000d__x000a_Occorrenze rilevate: 7 https://posteitaliane.sharepoint.com/:x:/r/teams/ACCESSIBILITRISULTATIVERIFICHETECNICHE/Shared%20Documents/POSTEITALIANE.IT/LOG/Log.xlsx?d=wf3c65046abcc49009aae265aacd619cd&amp;csf=1&amp;web=1&amp;e=knhQX7_x000d__x000a__x000d__x000a_Link al dettaglio requisito WCAG: NOT FOUND_x000d__x000a_"/>
    <x v="0"/>
    <s v="(#P0239)"/>
    <x v="217"/>
    <x v="1"/>
    <x v="60"/>
    <x v="15"/>
    <s v="001 - Utilizza i tag per specificare la struttura logica del PDF -Utilizza i tag per specificare la struttura logica del PDF (https://www.w3.org/TR/WCAG20-TECHS/pdf#pdf_notes_acc-sup_tagged)"/>
    <s v="001 - Cambiare la struttura del PDF a Tagged PDF"/>
    <n v="0"/>
  </r>
  <r>
    <s v="D04810.2.4.2"/>
    <s v="POSTE ITALIANE.IT - 10.2.4.2 Titolazione della pagina - D048 Panoramica sui dati di Diversità e Inclusione:: (#P0242)_x000d__x000a_D048 Panoramica sui dati di Diversità e Inclusione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11805835/Relazione-Finanziaria-Annuale-2023-ita.pdf#page=313  con selettore  _x000d__x000a__x000d__x000a_Possibile Metodologia Risolutiva:_x000d__x000a_001 - Imposta il nuovo titolo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242)"/>
    <x v="218"/>
    <x v="0"/>
    <x v="60"/>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4810.1.1.1"/>
    <s v="POSTE ITALIANE.IT - 10.1.1.1 Contenuti non testuali - D048 Panoramica sui dati di Diversità e Inclusione:: (#P0243)_x000d__x000a_D048 Panoramica sui dati di Diversità e Inclusione_x000d__x000a_Requisito WCAG: 1.1.1_x000d__x000a_Disabilità afflitte: Blind;Deafblind_x000d__x000a_Impatto Utente: 2 - Serious_x000d__x000a__x000d__x000a_Descrizione_x000d__x000a_001 - Descrizione alternativa mancante per un'annotazione-Descrizione alternativa mancante per un'annotazione (https://www.w3.org/WAI/WCAG22/Techniques/html/H30.html)_x000d__x000a__x000d__x000a_Esempio di violazione individuata sull'oggetto:_x000d__x000a_001 - https://www.posteitaliane.it/files/1476611805835/Relazione-Finanziaria-Annuale-2023-ita.pdf#page=313  con selettore  _x000d__x000a__x000d__x000a_Possibile Metodologia Risolutiva:_x000d__x000a_001 - Quando un'immagine è l'unico contenuto di un link, il testo alternativo per l'immagine descrive la funzione unica del link._x000a__x000a_Quando il contenuto di un link contiene sia testo che una o più immagini, se il testo è sufficiente a descrivere lo scopo del link, le immagini possono avere un'alternativa di testo vuota.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43)"/>
    <x v="219"/>
    <x v="0"/>
    <x v="60"/>
    <x v="17"/>
    <s v="001 - Descrizione alternativa mancante per un'annotazione-Descrizione alternativa mancante per un'annotazione (https://www.w3.org/WAI/WCAG22/Techniques/html/H30.html)"/>
    <s v="001 - Quando un'immagine è l'unico contenuto di un link, il testo alternativo per l'immagine descrive la funzione unica del link._x000a__x000a_Quando il contenuto di un link contiene sia testo che una o più immagini, se il testo è sufficiente a descrivere lo scopo del link, le immagini possono avere un'alternativa di testo vuota."/>
    <n v="0"/>
  </r>
  <r>
    <s v="D04810.1.4.3"/>
    <s v="POSTE ITALIANE.IT - 10.1.4.3 Contrasto (minimo) - D048 Panoramica sui dati di Diversità e Inclusione:: (#P0248)_x000d__x000a_D048 Panoramica sui dati di Diversità e Inclusione_x000d__x000a_Requisito WCAG: 1.4.3_x000d__x000a_Disabilità afflitte: Blind;Cognitive;Deafblind_x000d__x000a_Impatto Utente: 2 - Serious_x000d__x000a__x000d__x000a_Descrizione_x000d__x000a_001 - Testo con contrasto insufficiente-Testo con contrasto insufficiente (https://www.w3.org/WAI/WCAG21/Techniques/general/G18)_x000d__x000a__x000d__x000a_Esempio di violazione individuata sull'oggetto:_x000d__x000a_001 - https://www.posteitaliane.it/files/1476611805835/Relazione-Finanziaria-Annuale-2023-ita.pdf#page=313  con selettore  _x000d__x000a__x000d__x000a_Possibile Metodologia Risolutiva:_x000d__x000a_001 - Regolare il contrasto tra testo e sfondo, assicurandosi che rispetti il rapporto minimo di contrasto di 4.5:1. Modificare il colore del testo o dello sfondo nel software di editing.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48)"/>
    <x v="220"/>
    <x v="0"/>
    <x v="60"/>
    <x v="19"/>
    <s v="001 - Testo con contrasto insufficiente-Testo con contrasto insufficiente (https://www.w3.org/WAI/WCAG21/Techniques/general/G18)"/>
    <s v="001 - Regolare il contrasto tra testo e sfondo, assicurandosi che rispetti il rapporto minimo di contrasto di 4.5:1. Modificare il colore del testo o dello sfondo nel software di editing."/>
    <n v="0"/>
  </r>
  <r>
    <s v="D04910.1.3.1"/>
    <s v="POSTE ITALIANE.IT - 10.1.3.1 Informazioni e correlazioni - D049 Policy Diversity and Inclusion:: (#P0251)_x000d__x000a_D049 Policy Diversity and Inclusion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516401324/Policy-Diversity-Inclusion-ita.pdf  con selettore  _x000d__x000a__x000d__x000a_Possibile Metodologia Risolutiva:_x000d__x000a_001 - Cambiare la struttura del PDF a Tagged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251)"/>
    <x v="221"/>
    <x v="1"/>
    <x v="61"/>
    <x v="15"/>
    <s v="001 - Utilizza i tag per specificare la struttura logica del PDF -Utilizza i tag per specificare la struttura logica del PDF (https://www.w3.org/TR/WCAG20-TECHS/pdf#pdf_notes_acc-sup_tagged)"/>
    <s v="001 - Cambiare la struttura del PDF a Tagged PDF"/>
    <n v="0"/>
  </r>
  <r>
    <s v="D04910.2.4.2"/>
    <s v="POSTE ITALIANE.IT - 10.2.4.2 Titolazione della pagina - D049 Policy Diversity and Inclusion:: (#P0254)_x000d__x000a_D049 Policy Diversity and Inclusion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516401324/Policy-Diversity-Inclusion-ita.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54)"/>
    <x v="222"/>
    <x v="0"/>
    <x v="61"/>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4910.3.1.1"/>
    <s v="POSTE ITALIANE.IT - 10.3.1.1 Lingua della pagina - D049 Policy Diversity and Inclusion:: (#P0255)_x000d__x000a_D049 Policy Diversity and Inclusion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516401324/Policy-Diversity-Inclusion-ita.pdf  con selettore  _x000d__x000a__x000d__x000a_Possibile Metodologia Risolutiva:_x000d__x000a_001 - Seleziona la lingua principale del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55)"/>
    <x v="223"/>
    <x v="0"/>
    <x v="61"/>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5010.1.3.1"/>
    <s v="POSTE ITALIANE.IT - 10.1.3.1 Informazioni e correlazioni - D050 Politica in materia di diversità degli organi di amministrazione e controllo di Poste Italiane:: (#P0256)_x000d__x000a_D050 Politica in materia di diversità degli organi di amministrazione e controllo di Poste Italiane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582525830/Relazione-Finanziaria-Annuale-2022.pdf#page=322  con selettore  _x000d__x000a__x000d__x000a_Possibile Metodologia Risolutiva:_x000d__x000a_001 - Cambiare la struttura del PDF a Tagged PDF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P0256)"/>
    <x v="224"/>
    <x v="1"/>
    <x v="62"/>
    <x v="15"/>
    <s v="001 - Utilizza i tag per specificare la struttura logica del PDF -Utilizza i tag per specificare la struttura logica del PDF (https://www.w3.org/TR/WCAG20-TECHS/pdf#pdf_notes_acc-sup_tagged)"/>
    <s v="001 - Cambiare la struttura del PDF a Tagged PDF"/>
    <n v="0"/>
  </r>
  <r>
    <s v="D05010.2.4.2"/>
    <s v="POSTE ITALIANE.IT - 10.2.4.2 Titolazione della pagina - D050 Politica in materia di diversità degli organi di amministrazione e controllo di Poste Italiane:: (#P0259)_x000d__x000a_D050 Politica in materia di diversità degli organi di amministrazione e controllo di Poste Italiane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582525830/Relazione-Finanziaria-Annuale-2022.pdf#page=322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59)"/>
    <x v="225"/>
    <x v="0"/>
    <x v="62"/>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5410.1.1.1"/>
    <s v="POSTE ITALIANE.IT - 10.1.1.1 Contenuti non testuali - D054 14 documenti in finanza sostenibile:: (#P0260)_x000a_D054 14 documenti in finanza sostenibile_x000a_Requisito WCAG: 1.1.1_x000a_Disabilità afflitte: Blind;Deafblind_x000a_Impatto Utente: 2 - Serious_x000a__x000a_Descrizione_x000a_001 - Descrizione alternativa mancante per un'annotazione-Descrizione alternativa mancante per un'annotazione (https://www.w3.org/WAI/WCAG22/Techniques/html/H30.html)_x000a__x000a_Esempio di violazione individuata sull'oggetto:_x000a_001 - https://www.poste.it/files/1476496460196/BPF-linea-guida-investimento-settori-sensibili.pdf  con selettore  _x000a__x000a_Possibile Metodologia Risolutiva:_x000a_001 - Quando un'immagine è l'unico contenuto di un link, il testo alternativo per l'immagine descrive la funzione unica del link._x000a__x000a_Quando il contenuto di un link contiene sia testo che una o più immagini, se il testo è sufficiente a descrivere lo scopo del link, le immagini possono avere un'alternativa di testo vuota._x000a__x000a_Occorrenze rilevate: 1 https://posteitaliane.sharepoint.com/:x:/r/teams/ACCESSIBILITRISULTATIVERIFICHETECNICHE/Shared%20Documents/POSTEITALIANE.IT/LOG/Log.xlsx?d=wf3c65046abcc49009aae265aacd619cd&amp;csf=1&amp;web=1&amp;e=knhQX7_x000a__x000a_Link al dettaglio requisito WCAG: NOT FOUND_x000a_"/>
    <x v="0"/>
    <s v="(#P0260)"/>
    <x v="226"/>
    <x v="0"/>
    <x v="63"/>
    <x v="17"/>
    <s v="001 - Descrizione alternativa mancante per un'annotazione-Descrizione alternativa mancante per un'annotazione (https://www.w3.org/WAI/WCAG22/Techniques/html/H30.html)"/>
    <s v="001 - Quando un'immagine è l'unico contenuto di un link, il testo alternativo per l'immagine descrive la funzione unica del link._x000a__x000a_Quando il contenuto di un link contiene sia testo che una o più immagini, se il testo è sufficiente a descrivere lo scopo del link, le immagini possono avere un'alternativa di testo vuota."/>
    <n v="0"/>
  </r>
  <r>
    <s v="D05410.1.3.1"/>
    <s v="POSTE ITALIANE.IT - 10.1.3.1 Informazioni e correlazioni - D054 14 documenti in finanza sostenibile:: (#P0261)_x000d__x000a_D054 14 documenti in finanza sostenibile_x000d__x000a_Requisito WCAG: 1.3.1_x000d__x000a_Disabilità afflitte: Blind;Cognitive;Deafblind_x000d__x000a_Impatto Utente: 2 - Serious_x000d__x000a__x000d__x000a_Descrizione_x000d__x000a_001 - Cella di intestazione della tabella senza celle associate-Cella di intestazione della tabella senza celle associate (https://www.w3.org/WAI/WCAG21/Techniques/html/H63)_x000d__x000a__x000d__x000a_Esempio di violazione individuata sull'oggetto:_x000d__x000a_001 - https://www.poste.it/files/1476496460196/BPF-linea-guida-investimento-settori-sensibili.pdf  con selettore  _x000d__x000a__x000d__x000a_Possibile Metodologia Risolutiva:_x000d__x000a_001 - Associare ciascuna cella di intestazione alle celle di dati corrispondenti utilizzando attributi scope o id. In Acrobat, aggiungere tag di intestazione nella struttura della tabella._x000d__x000a__x000d__x000a_Occorrenze rilevate: 5 https://posteitaliane.sharepoint.com/:x:/r/teams/ACCESSIBILITRISULTATIVERIFICHETECNICHE/Shared%20Documents/POSTEITALIANE.IT/LOG/Log.xlsx?d=wf3c65046abcc49009aae265aacd619cd&amp;csf=1&amp;web=1&amp;e=knhQX7_x000d__x000a__x000d__x000a_Link al dettaglio requisito WCAG: NOT FOUND_x000d__x000a_"/>
    <x v="0"/>
    <s v="(#P0261)"/>
    <x v="227"/>
    <x v="0"/>
    <x v="63"/>
    <x v="15"/>
    <s v="001 - Cella di intestazione della tabella senza celle associate-Cella di intestazione della tabella senza celle associate (https://www.w3.org/WAI/WCAG21/Techniques/html/H63)"/>
    <s v="001 - Associare ciascuna cella di intestazione alle celle di dati corrispondenti utilizzando attributi scope o id. In Acrobat, aggiungere tag di intestazione nella struttura della tabella."/>
    <n v="0"/>
  </r>
  <r>
    <s v="D05410.2.4.2"/>
    <s v="POSTE ITALIANE.IT - 10.2.4.2 Titolazione della pagina - D054 14 documenti in finanza sostenibile:: (#P0266)_x000d__x000a_D054 14 documenti in finanza sostenibile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498642634/GruppoPosteVita-Linea-Guida-materia-Esercizio-Diritto-Voto-Attvita-Engagement-BPF-SGR.pdf  con selettore  _x000d__x000a__x000d__x000a_Possibile Metodologia Risolutiva:_x000d__x000a_001 - Imposta il nuovo titolo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66)"/>
    <x v="228"/>
    <x v="0"/>
    <x v="63"/>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5410.3.1.1"/>
    <s v="POSTE ITALIANE.IT - 10.3.1.1 Lingua della pagina - D054 14 documenti in finanza sostenibile:: (#P0267)_x000d__x000a_D054 14 documenti in finanza sostenibile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498642634/GruppoPosteVita-Linea-Guida-materia-Esercizio-Diritto-Voto-Attvita-Engagement-BPF-SGR.pdf  con selettore  _x000d__x000a__x000d__x000a_Possibile Metodologia Risolutiva:_x000d__x000a_001 - Seleziona la lingua principale del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67)"/>
    <x v="229"/>
    <x v="0"/>
    <x v="63"/>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5510.1.1.1"/>
    <s v="POSTE ITALIANE.IT - 10.1.1.1 Contenuti non testuali - D055 6 Docuemnti sulle politoche attive del lavoro:: (#P0268)_x000d__x000a_D055 6 Docuemnti sulle politoche attive del lavoro_x000d__x000a_Requisito WCAG: 1.1.1_x000d__x000a_Disabilità afflitte: Blind;Cognitive;Deafblind;Mobility;Sighted Keyboard Users_x000d__x000a_Impatto Utente: 1 - Critical_x000d__x000a__x000d__x000a_Descrizione_x000d__x000a_001 - Rendere PDF cercabile in documento PDF basato su immagine-Rendere PDF cercabile in documento PDF basato su immagine [Esempio di fallimento: Documenti scansionati come immagini senza poi utilizzare l'OCR per riconoscere il testo nelle immagini scansionate] (https://www.w3.org/TR/WCAG22/#non-text-content)_x000d__x000a__x000d__x000a_Esempio di violazione individuata sull'oggetto:_x000d__x000a_001 - https://www.posteitaliane.it/files/1476608995633/Politiche-Attive-Verbale-Accordo-16-maggio-2024.pdf  con selettore  _x000d__x000a__x000d__x000a_Possibile Metodologia Risolutiva:_x000d__x000a_001 - Utilizza un software OCR (riconoscimento ottico dei caratteri) come Adobe Acrobat Pro DC, ABBYY FineReader, o strumenti online gratuiti (ad esempio, Google Drive o PDF24)._x000a_In Adobe Acrobat Pro DC, apri il PDF, vai su Strumenti &gt; Riconosci testo &gt; In questo file e seleziona la lingua. Questo processo convertirà il testo basato su immagini in testo vero e proprio, rendendo il documento ricercabile.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68)"/>
    <x v="230"/>
    <x v="1"/>
    <x v="64"/>
    <x v="17"/>
    <s v="001 - Rendere PDF cercabile in documento PDF basato su immagine-Rendere PDF cercabile in documento PDF basato su immagine [Esempio di fallimento: Documenti scansionati come immagini senza poi utilizzare l'OCR per riconoscere il testo nelle immagini scansionate] (https://www.w3.org/TR/WCAG22/#non-text-content)"/>
    <s v="001 - Utilizza un software OCR (riconoscimento ottico dei caratteri) come Adobe Acrobat Pro DC, ABBYY FineReader, o strumenti online gratuiti (ad esempio, Google Drive o PDF24)._x000a_In Adobe Acrobat Pro DC, apri il PDF, vai su Strumenti &gt; Riconosci testo &gt; In questo file e seleziona la lingua. Questo processo convertirà il testo basato su immagini in testo vero e proprio, rendendo il documento ricercabile."/>
    <n v="0"/>
  </r>
  <r>
    <s v="D05510.1.3.1"/>
    <s v="POSTE ITALIANE.IT - 10.1.3.1 Informazioni e correlazioni - D055 6 Docuemnti sulle politoche attive del lavoro:: (#P0269)_x000d__x000a_D055 6 Docuemnti sulle politoche attive del lavoro_x000d__x000a_Requisito WCAG: 1.3.1_x000d__x000a_Disabilità afflitte: Blind;Deafblind;Mobility_x000d__x000a_Impatto Utente: 1 - Critical_x000d__x000a__x000d__x000a_Descrizione_x000d__x000a_001 - Utilizza i tag per specificare la struttura logica del PDF -Utilizza i tag per specificare la struttura logica del PDF (https://www.w3.org/TR/WCAG20-TECHS/pdf#pdf_notes_acc-sup_tagged)_x000d__x000a__x000d__x000a_Esempio di violazione individuata sull'oggetto:_x000d__x000a_001 - https://www.posteitaliane.it/files/1476608995633/Politiche-Attive-Verbale-Accordo-16-maggio-2024.pdf  con selettore  _x000d__x000a__x000d__x000a_Possibile Metodologia Risolutiva:_x000d__x000a_001 - Cambiare la struttura del PDF a Tagged PDF_x000d__x000a__x000d__x000a_Occorrenze rilevate: 10 https://posteitaliane.sharepoint.com/:x:/r/teams/ACCESSIBILITRISULTATIVERIFICHETECNICHE/Shared%20Documents/POSTEITALIANE.IT/LOG/Log.xlsx?d=wf3c65046abcc49009aae265aacd619cd&amp;csf=1&amp;web=1&amp;e=knhQX7_x000d__x000a__x000d__x000a_Link al dettaglio requisito WCAG: NOT FOUND_x000d__x000a_"/>
    <x v="0"/>
    <s v="(#P0269)"/>
    <x v="231"/>
    <x v="1"/>
    <x v="64"/>
    <x v="15"/>
    <s v="001 - Utilizza i tag per specificare la struttura logica del PDF -Utilizza i tag per specificare la struttura logica del PDF (https://www.w3.org/TR/WCAG20-TECHS/pdf#pdf_notes_acc-sup_tagged)"/>
    <s v="001 - Cambiare la struttura del PDF a Tagged PDF"/>
    <n v="0"/>
  </r>
  <r>
    <s v="D05510.2.4.2"/>
    <s v="POSTE ITALIANE.IT - 10.2.4.2 Titolazione della pagina - D055 6 Docuemnti sulle politoche attive del lavoro:: (#P0272)_x000d__x000a_D055 6 Docuemnti sulle politoche attive del lavoro_x000d__x000a_Requisito WCAG: 2.4.2_x000d__x000a_Disabilità afflitte: Blind;Deafblind_x000d__x000a_Impatto Utente: 2 - Serious_x000d__x000a__x000d__x000a_Descrizione_x000d__x000a_001 - Specificare il titolo del documento utilizzando la voce Titolo nel dizionario delle informazioni di un documento PDF -Specificare il titolo del documento utilizzando la voce Titolo nel dizionario delle informazioni di un documento PDF (https://www.w3.org/WAI/WCAG22/Techniques/pdf/PDF18)_x000d__x000a__x000d__x000a_Esempio di violazione individuata sull'oggetto:_x000d__x000a_001 - https://www.posteitaliane.it/files/1476608995633/Politiche-Attive-Verbale-Accordo-16-maggio-2024.pdf  con selettore  _x000d__x000a__x000d__x000a_Possibile Metodologia Risolutiva:_x000d__x000a_001 - Imposta il nuovo titolo PDF_x000d__x000a__x000d__x000a_Occorrenze rilevate: 6 https://posteitaliane.sharepoint.com/:x:/r/teams/ACCESSIBILITRISULTATIVERIFICHETECNICHE/Shared%20Documents/POSTEITALIANE.IT/LOG/Log.xlsx?d=wf3c65046abcc49009aae265aacd619cd&amp;csf=1&amp;web=1&amp;e=knhQX7_x000d__x000a__x000d__x000a_Link al dettaglio requisito WCAG: NOT FOUND_x000d__x000a_"/>
    <x v="0"/>
    <s v="(#P0272)"/>
    <x v="232"/>
    <x v="0"/>
    <x v="64"/>
    <x v="16"/>
    <s v="001 - Specificare il titolo del documento utilizzando la voce Titolo nel dizionario delle informazioni di un documento PDF -Specificare il titolo del documento utilizzando la voce Titolo nel dizionario delle informazioni di un documento PDF (https://www.w3.org/WAI/WCAG22/Techniques/pdf/PDF18)"/>
    <s v="001 - Imposta il nuovo titolo PDF"/>
    <n v="0"/>
  </r>
  <r>
    <s v="D05510.3.1.1"/>
    <s v="POSTE ITALIANE.IT - 10.3.1.1 Lingua della pagina - D055 6 Docuemnti sulle politoche attive del lavoro:: (#P0273)_x000d__x000a_D055 6 Docuemnti sulle politoche attive del lavoro_x000d__x000a_Requisito WCAG: 3.1.1_x000d__x000a_Disabilità afflitte: Blind;Cognitive;Deafblind_x000d__x000a_Impatto Utente: 2 - Serious_x000d__x000a__x000d__x000a_Descrizione_x000d__x000a_001 - Impostazione della lingua predefinita utilizzando la voce /Lang nel catalogo documenti di un documento PDF-Impostazione della lingua predefinita utilizzando la voce /Lang nel catalogo documenti di un documento PDF (https://www.w3.org/WAI/WCAG22/Techniques/pdf/PDF16)_x000d__x000a__x000d__x000a_Esempio di violazione individuata sull'oggetto:_x000d__x000a_001 - https://www.posteitaliane.it/files/1476608995633/Politiche-Attive-Verbale-Accordo-16-maggio-2024.pdf  con selettore  _x000d__x000a__x000d__x000a_Possibile Metodologia Risolutiva:_x000d__x000a_001 - Seleziona la lingua principale del PDF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P0273)"/>
    <x v="233"/>
    <x v="0"/>
    <x v="64"/>
    <x v="18"/>
    <s v="001 - Impostazione della lingua predefinita utilizzando la voce /Lang nel catalogo documenti di un documento PDF-Impostazione della lingua predefinita utilizzando la voce /Lang nel catalogo documenti di un documento PDF (https://www.w3.org/WAI/WCAG22/Techniques/pdf/PDF16)"/>
    <s v="001 - Seleziona la lingua principale del PDF"/>
    <n v="0"/>
  </r>
  <r>
    <s v="D01810.2.4.2"/>
    <s v="POSTE ITALIANE.IT - 10.2.4.2 Titolazione della pagina - D018 Poste Italiane - Q3 2024 Financial Database:: (#P0286)_x000d__x000a_D018 Poste Italiane - Q3 2024 Financial Database_x000d__x000a_Requisito WCAG: 2.4.2_x000d__x000a_Disabilità afflitte: Blind;Deafblind_x000d__x000a_Impatto Utente: 2 - Serious_x000d__x000a__x000d__x000a_Descrizione_x000d__x000a_001 - Specificare il titolo del documento utilizzando la voce Titolo nel dizionario delle informazioni-Specificare il titolo del documento utilizzando la voce Titolo nel dizionario delle informazioni (https://www.w3.org/WAI/WCAG22/Techniques/pdf/PDF18)_x000d__x000a__x000d__x000a_Esempio di violazione individuata sull'oggetto:_x000d__x000a_001 - https://www.posteitaliane.it/it/database-finanziario.html  con selettore  _x000d__x000a__x000d__x000a_Possibile Metodologia Risolutiva:_x000d__x000a_001 - Imposta il nuovo titolo_x000d__x000a__x000d__x000a_Occorrenze rilevate: 8 https://posteitaliane.sharepoint.com/:x:/r/teams/ACCESSIBILITRISULTATIVERIFICHETECNICHE/Shared%20Documents/POSTEITALIANE.IT/LOG/Log.xlsx?d=wf3c65046abcc49009aae265aacd619cd&amp;csf=1&amp;web=1&amp;e=knhQX7_x000d__x000a__x000d__x000a_Link al dettaglio requisito WCAG: NOT FOUND_x000d__x000a_"/>
    <x v="0"/>
    <s v="(#P0286)"/>
    <x v="234"/>
    <x v="0"/>
    <x v="65"/>
    <x v="16"/>
    <s v="001 - Specificare il titolo del documento utilizzando la voce Titolo nel dizionario delle informazioni-Specificare il titolo del documento utilizzando la voce Titolo nel dizionario delle informazioni (https://www.w3.org/WAI/WCAG22/Techniques/pdf/PDF18)"/>
    <s v="001 - Imposta il nuovo titolo"/>
    <n v="0"/>
  </r>
  <r>
    <s v="V0029.1.2.1"/>
    <s v="POSTE ITALIANE.IT - 9.1.2.1 Solo audio e solo video (preregistrati) - V002 Video Super App:: (#TM0725)_x000d__x000a_V002 Video Super App_x000d__x000a_Requisito WCAG: 1.2.1_x000d__x000a_Disabilità afflitte: Blind;Deafblind_x000d__x000a_Impatto Utente: 2 - Serious_x000d__x000a__x000d__x000a_Descrizione_x000d__x000a_001 - Contenuto del video interrotto o incompleto-Durante la riproduzione, si verifica un'interruzione che causa un salto improvviso di contenuto(https://www.w3.org/WAI/WCAG22/Understanding/audio-only-and-video-only-prerecorded.html)_x000d__x000a__x000d__x000a_Esempio di violazione individuata sull'oggetto:_x000d__x000a_001 - https://www.posteitaliane.it/it/capital-markets-day-2024.html_super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25)"/>
    <x v="235"/>
    <x v="0"/>
    <x v="66"/>
    <x v="22"/>
    <s v="001 - Contenuto del video interrotto o incompleto-Durante la riproduzione, si verifica un'interruzione che causa un salto improvviso di contenuto(https://www.w3.org/WAI/WCAG22/Understanding/audio-only-and-video-only-prerecorded.html)"/>
    <s v="001 -  "/>
    <n v="0"/>
  </r>
  <r>
    <s v="V0039.1.2.1"/>
    <s v="POSTE ITALIANE.IT - 9.1.2.1 Solo audio e solo video (preregistrati) - V003 Video PostePay Every Day:: (#TM0726)_x000d__x000a_V003 Video PostePay Every Day_x000d__x000a_Requisito WCAG: 1.2.1_x000d__x000a_Disabilità afflitte: Blind;Deafblind;Cognitive_x000d__x000a_Impatto Utente: 2 - Serious_x000d__x000a__x000d__x000a_Descrizione_x000d__x000a_001 - Non è disponibile alcuna descrizione testuale o audio per i contenuti multimediali-Non è disponibile alcuna descrizione testuale o audio per i contenuti multimediali [Ulteriori informazioni] (https://docs.deque.com/issue-help/1.0.0/en/nonvisual-description-missing-multimedia)_x000d__x000a__x000d__x000a_Esempio di violazione individuata sull'oggetto:_x000d__x000a_001 - https://www.posteitaliane.it/it/capital-markets-day-2024.html_everyDay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26)"/>
    <x v="236"/>
    <x v="0"/>
    <x v="67"/>
    <x v="22"/>
    <s v="001 - Non è disponibile alcuna descrizione testuale o audio per i contenuti multimediali-Non è disponibile alcuna descrizione testuale o audio per i contenuti multimediali [Ulteriori informazioni] (https://docs.deque.com/issue-help/1.0.0/en/nonvisual-description-missing-multimedia)"/>
    <s v="001 -  "/>
    <n v="0"/>
  </r>
  <r>
    <s v="V0049.1.2.1"/>
    <s v="POSTE ITALIANE.IT - 9.1.2.1 Solo audio e solo video (preregistrati) - V004 Video Poste Micro-Fullfillment:: (#TM0727)_x000d__x000a_V004 Video Poste Micro-Fullfillment_x000d__x000a_Requisito WCAG: 1.2.1_x000d__x000a_Disabilità afflitte: Blind;Deafblind;Cognitive_x000d__x000a_Impatto Utente: 2 - Serious_x000d__x000a__x000d__x000a_Descrizione_x000d__x000a_001 - Non è disponibile alcuna descrizione testuale o audio per i contenuti multimediali-Non è disponibile alcuna descrizione testuale o audio per i contenuti multimediali [Ulteriori informazioni] (https://docs.deque.com/issue-help/1.0.0/en/nonvisual-description-missing-multimedia)_x000d__x000a__x000d__x000a_Esempio di violazione individuata sull'oggetto:_x000d__x000a_001 - https://www.posteitaliane.it/it/capital-markets-day-2024.html_microfull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27)"/>
    <x v="237"/>
    <x v="0"/>
    <x v="68"/>
    <x v="22"/>
    <s v="001 - Non è disponibile alcuna descrizione testuale o audio per i contenuti multimediali-Non è disponibile alcuna descrizione testuale o audio per i contenuti multimediali [Ulteriori informazioni] (https://docs.deque.com/issue-help/1.0.0/en/nonvisual-description-missing-multimedia)"/>
    <s v="001 -  "/>
    <n v="0"/>
  </r>
  <r>
    <s v="V0059.1.2.2"/>
    <s v="POSTE ITALIANE.IT - 9.1.2.2 Sottotitoli (preregistrati) - V005 Resilienza:: (#TM0728)_x000d__x000a_V005 Resilienza_x000d__x000a_Requisito WCAG: 1.2.2_x000d__x000a_Disabilità afflitte: Deaf;_x000d__x000a_Impatto Utente: 1 - Critical_x000d__x000a__x000d__x000a_Descrizione_x000d__x000a_001 - Il video non presenta sottotitoli-Il video non include sottotitoli[Maggiori Informazioni](https://www.w3.org/WAI/WCAG21/Understanding/captions-prerecorded.html)_x000d__x000a__x000d__x000a_Esempio di violazione individuata sull'oggetto:_x000d__x000a_001 - https://www.posteitaliane.it/it/capital-markets-day-2021.html_resi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28)"/>
    <x v="4"/>
    <x v="1"/>
    <x v="69"/>
    <x v="23"/>
    <s v="001 - Il video non presenta sottotitoli-Il video non include sottotitoli[Maggiori Informazioni](https://www.w3.org/WAI/WCAG21/Understanding/captions-prerecorded.html)"/>
    <s v="001 -  "/>
    <n v="0"/>
  </r>
  <r>
    <s v="V0059.1.2.1"/>
    <s v="POSTE ITALIANE.IT - 9.1.2.1 Solo audio e solo video (preregistrati) - V005 Resilienza:: (#TM0729)_x000d__x000a_V005 Resilienza_x000d__x000a_Requisito WCAG: 1.2.1_x000d__x000a_Disabilità afflitte: Blind;Deafblind_x000d__x000a_Impatto Utente: 2 - Serious_x000d__x000a__x000d__x000a_Descrizione_x000d__x000a_001 - Contenuto del video interrotto o incompleto-Durante la riproduzione, si verifica un'interruzione che causa un salto improvviso di contenuto(https://www.w3.org/WAI/WCAG22/Understanding/audio-only-and-video-only-prerecorded.html)_x000d__x000a__x000d__x000a_Esempio di violazione individuata sull'oggetto:_x000d__x000a_001 - https://www.posteitaliane.it/it/capital-markets-day-2021.html_resi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29)"/>
    <x v="238"/>
    <x v="0"/>
    <x v="69"/>
    <x v="22"/>
    <s v="001 - Contenuto del video interrotto o incompleto-Durante la riproduzione, si verifica un'interruzione che causa un salto improvviso di contenuto(https://www.w3.org/WAI/WCAG22/Understanding/audio-only-and-video-only-prerecorded.html)"/>
    <s v="001 -  "/>
    <n v="0"/>
  </r>
  <r>
    <s v="V0069.1.2.2"/>
    <s v="POSTE ITALIANE.IT - 9.1.2.2 Sottotitoli (preregistrati) - V006 Achievements:: (#TM0730)_x000d__x000a_V006 Achievements_x000d__x000a_Requisito WCAG: 1.2.2_x000d__x000a_Disabilità afflitte: Deaf;_x000d__x000a_Impatto Utente: 1 - Critical_x000d__x000a__x000d__x000a_Descrizione_x000d__x000a_001 - Il video non presenta sottotitoli-Il video non include sottotitoli[Maggiori Informazioni](https://www.w3.org/WAI/WCAG21/Understanding/captions-prerecorded.html)_x000d__x000a__x000d__x000a_Esempio di violazione individuata sull'oggetto:_x000d__x000a_001 - https://www.posteitaliane.it/it/capital-markets-day-2021.html_achiv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30)"/>
    <x v="4"/>
    <x v="1"/>
    <x v="70"/>
    <x v="23"/>
    <s v="001 - Il video non presenta sottotitoli-Il video non include sottotitoli[Maggiori Informazioni](https://www.w3.org/WAI/WCAG21/Understanding/captions-prerecorded.html)"/>
    <s v="001 -  "/>
    <n v="0"/>
  </r>
  <r>
    <s v="V0079.1.2.2"/>
    <s v="POSTE ITALIANE.IT - 9.1.2.2 Sottotitoli (preregistrati) - V007 C2X Services:: (#TM0731)_x000d__x000a_V007 C2X Services_x000d__x000a_Requisito WCAG: 1.2.2_x000d__x000a_Disabilità afflitte: Deaf;_x000d__x000a_Impatto Utente: 1 - Critical_x000d__x000a__x000d__x000a_Descrizione_x000d__x000a_001 - Il video non presenta sottotitoli-Il video non include sottotitoli[Maggiori Informazioni](https://www.w3.org/WAI/WCAG21/Understanding/captions-prerecorded.html)_x000d__x000a__x000d__x000a_Esempio di violazione individuata sull'oggetto:_x000d__x000a_001 - https://www.posteitaliane.it/it/capital-markets-day-2021.html_c2x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31)"/>
    <x v="4"/>
    <x v="1"/>
    <x v="71"/>
    <x v="23"/>
    <s v="001 - Il video non presenta sottotitoli-Il video non include sottotitoli[Maggiori Informazioni](https://www.w3.org/WAI/WCAG21/Understanding/captions-prerecorded.html)"/>
    <s v="001 -  "/>
    <n v="0"/>
  </r>
  <r>
    <s v="V0089.1.2.2"/>
    <s v="POSTE ITALIANE.IT - 9.1.2.2 Sottotitoli (preregistrati) - V008 BancoPosta:: (#TM0732)_x000d__x000a_V008 BancoPosta_x000d__x000a_Requisito WCAG: 1.2.2_x000d__x000a_Disabilità afflitte: Deaf;_x000d__x000a_Impatto Utente: 1 - Critical_x000d__x000a__x000d__x000a_Descrizione_x000d__x000a_001 - Il video non presenta sottotitoli-Il video non include sottotitoli[Maggiori Informazioni](https://www.w3.org/WAI/WCAG21/Understanding/captions-prerecorded.html)_x000d__x000a__x000d__x000a_Esempio di violazione individuata sull'oggetto:_x000d__x000a_001 - https://www.posteitaliane.it/it/capital-markets-day-2021.html_bancoposta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32)"/>
    <x v="4"/>
    <x v="1"/>
    <x v="72"/>
    <x v="23"/>
    <s v="001 - Il video non presenta sottotitoli-Il video non include sottotitoli[Maggiori Informazioni](https://www.w3.org/WAI/WCAG21/Understanding/captions-prerecorded.html)"/>
    <s v="001 -  "/>
    <n v="0"/>
  </r>
  <r>
    <s v="V0099.1.2.2"/>
    <s v="POSTE ITALIANE.IT - 9.1.2.2 Sottotitoli (preregistrati) - V009 I terview with Sadya Nadella:: (#TM0733)_x000d__x000a_V009 I terview with Sadya Nadella_x000d__x000a_Requisito WCAG: 1.2.2_x000d__x000a_Disabilità afflitte: Deaf;_x000d__x000a_Impatto Utente: 1 - Critical_x000d__x000a__x000d__x000a_Descrizione_x000d__x000a_001 - Il video non presenta sottotitoli-Il video non include sottotitoli[Maggiori Informazioni](https://www.w3.org/WAI/WCAG21/Understanding/captions-prerecorded.html)_x000d__x000a__x000d__x000a_Esempio di violazione individuata sull'oggetto:_x000d__x000a_001 - https://www.posteitaliane.it/it/capital-markets-day-2021.html_nadella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33)"/>
    <x v="4"/>
    <x v="1"/>
    <x v="73"/>
    <x v="23"/>
    <s v="001 - Il video non presenta sottotitoli-Il video non include sottotitoli[Maggiori Informazioni](https://www.w3.org/WAI/WCAG21/Understanding/captions-prerecorded.html)"/>
    <s v="001 -  "/>
    <n v="0"/>
  </r>
  <r>
    <s v="V0109.1.2.2"/>
    <s v="POSTE ITALIANE.IT - 9.1.2.2 Sottotitoli (preregistrati) - V010 Sostenibilità Scelta Strategica:: (#TM0734)_x000d__x000a_V010 Sostenibilità Scelta Strategica_x000d__x000a_Requisito WCAG: 1.2.2_x000d__x000a_Disabilità afflitte: Deaf;_x000d__x000a_Impatto Utente: 1 - Critical_x000d__x000a__x000d__x000a_Descrizione_x000d__x000a_001 - Il video non presenta sottotitoli-Il video non include sottotitoli[Maggiori Informazioni](https://www.w3.org/WAI/WCAG21/Understanding/captions-prerecorded.html)_x000d__x000a__x000d__x000a_Esempio di violazione individuata sull'oggetto:_x000d__x000a_001 - https://www.posteitaliane.it/it/capital-markets-day-2021.html_soste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34)"/>
    <x v="4"/>
    <x v="1"/>
    <x v="74"/>
    <x v="23"/>
    <s v="001 - Il video non presenta sottotitoli-Il video non include sottotitoli[Maggiori Informazioni](https://www.w3.org/WAI/WCAG21/Understanding/captions-prerecorded.html)"/>
    <s v="001 -  "/>
    <n v="0"/>
  </r>
  <r>
    <s v="V0119.1.2.1"/>
    <s v="POSTE ITALIANE.IT - 9.1.2.1 Solo audio e solo video (preregistrati) - V011 Sezione Media : 7 video :: (#TM0737)_x000d__x000a_V011 Sezione Media : 7 video _x000d__x000a_Requisito WCAG: 1.2.1_x000d__x000a_Disabilità afflitte: Blind;Deafblind;Cognitive_x000d__x000a_Impatto Utente: 2 - Serious_x000d__x000a__x000d__x000a_Descrizione_x000d__x000a_001 - Non è disponibile alcuna descrizione testuale o audio per i contenuti multimediali-Non è disponibile alcuna descrizione testuale o audio per i contenuti multimediali [Ulteriori informazioni] (https://docs.deque.com/issue-help/1.0.0/en/nonvisual-description-missing-multimedia)_x000d__x000a__x000d__x000a_Esempio di violazione individuata sull'oggetto:_x000d__x000a_001 - https://www.posteitaliane.it/it/multimedia.html#/video_3  con selettore  _x000d__x000a__x000d__x000a_Possibile Metodologia Risolutiva:_x000d__x000a_001 -  _x000d__x000a__x000d__x000a_Occorrenze rilevate: 3 https://posteitaliane.sharepoint.com/:x:/r/teams/ACCESSIBILITRISULTATIVERIFICHETECNICHE/Shared%20Documents/POSTEITALIANE.IT/LOG/Log.xlsx?d=wf3c65046abcc49009aae265aacd619cd&amp;csf=1&amp;web=1&amp;e=knhQX7_x000d__x000a__x000d__x000a_Link al dettaglio requisito WCAG: NOT FOUND_x000d__x000a_"/>
    <x v="0"/>
    <s v="(#TM0737)"/>
    <x v="239"/>
    <x v="0"/>
    <x v="75"/>
    <x v="22"/>
    <s v="001 - Non è disponibile alcuna descrizione testuale o audio per i contenuti multimediali-Non è disponibile alcuna descrizione testuale o audio per i contenuti multimediali [Ulteriori informazioni] (https://docs.deque.com/issue-help/1.0.0/en/nonvisual-description-missing-multimedia)"/>
    <s v="001 -  "/>
    <n v="0"/>
  </r>
  <r>
    <s v="V0119.1.2.2"/>
    <s v="POSTE ITALIANE.IT - 9.1.2.2 Sottotitoli (preregistrati) - V011 Sezione Media : 7 video :: (#TM0741)_x000d__x000a_V011 Sezione Media : 7 video _x000d__x000a_Requisito WCAG: 1.2.2_x000d__x000a_Disabilità afflitte: Deaf;_x000d__x000a_Impatto Utente: 1 - Critical_x000d__x000a__x000d__x000a_Descrizione_x000d__x000a_001 - Il video non presenta sottotitoli-Il video non include sottotitoli[Maggiori Informazioni](https://www.w3.org/WAI/WCAG21/Understanding/captions-prerecorded.html)_x000d__x000a__x000d__x000a_Esempio di violazione individuata sull'oggetto:_x000d__x000a_001 - https://www.posteitaliane.it/it/multimedia.html#/video_7  con selettore  _x000d__x000a__x000d__x000a_Possibile Metodologia Risolutiva:_x000d__x000a_001 -  _x000d__x000a__x000d__x000a_Occorrenze rilevate: 4 https://posteitaliane.sharepoint.com/:x:/r/teams/ACCESSIBILITRISULTATIVERIFICHETECNICHE/Shared%20Documents/POSTEITALIANE.IT/LOG/Log.xlsx?d=wf3c65046abcc49009aae265aacd619cd&amp;csf=1&amp;web=1&amp;e=knhQX7_x000d__x000a__x000d__x000a_Link al dettaglio requisito WCAG: NOT FOUND_x000d__x000a_"/>
    <x v="0"/>
    <s v="(#TM0741)"/>
    <x v="4"/>
    <x v="1"/>
    <x v="75"/>
    <x v="23"/>
    <s v="001 - Il video non presenta sottotitoli-Il video non include sottotitoli[Maggiori Informazioni](https://www.w3.org/WAI/WCAG21/Understanding/captions-prerecorded.html)"/>
    <s v="001 -  "/>
    <n v="0"/>
  </r>
  <r>
    <s v="S0079.1.2.2"/>
    <s v="POSTE ITALIANE.IT - 9.1.2.2 Sottotitoli (preregistrati) - S007 Sostenibilità:: (#TM0749)_x000d__x000a_S007 Sostenibilità_x000d__x000a_Requisito WCAG: 1.2.2_x000d__x000a_Disabilità afflitte: Deaf;_x000d__x000a_Impatto Utente: 1 - Critical_x000d__x000a__x000d__x000a_Descrizione_x000d__x000a_001 - Il video non presenta sottotitoli-Il video non include sottotitoli[Maggiori Informazioni](https://www.w3.org/WAI/WCAG21/Understanding/captions-prerecorded.html)_x000d__x000a__x000d__x000a_Esempio di violazione individuata sull'oggetto:_x000d__x000a_001 - https://www.posteitaliane.it/it/generazione-ef-podcast-7.html  con selettore  _x000d__x000a__x000d__x000a_Possibile Metodologia Risolutiva:_x000d__x000a_001 -  _x000d__x000a__x000d__x000a_Occorrenze rilevate: 8 https://posteitaliane.sharepoint.com/:x:/r/teams/ACCESSIBILITRISULTATIVERIFICHETECNICHE/Shared%20Documents/POSTEITALIANE.IT/LOG/Log.xlsx?d=wf3c65046abcc49009aae265aacd619cd&amp;csf=1&amp;web=1&amp;e=knhQX7_x000d__x000a__x000d__x000a_Link al dettaglio requisito WCAG: NOT FOUND_x000d__x000a_"/>
    <x v="0"/>
    <s v="(#TM0749)"/>
    <x v="240"/>
    <x v="1"/>
    <x v="11"/>
    <x v="23"/>
    <s v="001 - Il video non presenta sottotitoli-Il video non include sottotitoli[Maggiori Informazioni](https://www.w3.org/WAI/WCAG21/Understanding/captions-prerecorded.html)"/>
    <s v="001 -  "/>
    <n v="0"/>
  </r>
  <r>
    <s v="S0059.1.2.2"/>
    <s v="POSTE ITALIANE.IT - 9.1.2.2 Sottotitoli (preregistrati) - S005 Media:: (#TM0750)_x000d__x000a_S005 Media_x000d__x000a_Requisito WCAG: 1.2.2_x000d__x000a_Disabilità afflitte: Deaf;_x000d__x000a_Impatto Utente: 1 - Critical_x000d__x000a__x000d__x000a_Descrizione_x000d__x000a_001 - Il video non presenta sottotitoli-Il video non include sottotitoli[Maggiori Informazioni](https://www.w3.org/WAI/WCAG21/Understanding/captions-prerecorded.html)_x000d__x000a__x000d__x000a_Esempio di violazione individuata sull'oggetto:_x000d__x000a_001 - https://www.posteitaliane.it/it/le-opportunita-open-innovation-podcast.html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50)"/>
    <x v="241"/>
    <x v="1"/>
    <x v="6"/>
    <x v="23"/>
    <s v="001 - Il video non presenta sottotitoli-Il video non include sottotitoli[Maggiori Informazioni](https://www.w3.org/WAI/WCAG21/Understanding/captions-prerecorded.html)"/>
    <s v="001 -  "/>
    <n v="0"/>
  </r>
  <r>
    <s v="S0059.1.2.1"/>
    <s v="POSTE ITALIANE.IT - 9.1.2.1 Solo audio e solo video (preregistrati) - S005 Media:: (#TM0751)_x000d__x000a_S005 Media_x000d__x000a_Requisito WCAG: 1.2.1_x000d__x000a_Disabilità afflitte: Deaf;_x000d__x000a_Impatto Utente: 2 - Serious_x000d__x000a__x000d__x000a_Descrizione_x000d__x000a_001 - Video senza alternativa testuale-il video non fornisce un'alternativa testuale completa per il contenuto audio [Maggiori Informazioni](https://www.w3.org/WAI/WCAG21/Understanding/audio-only-and-video-only-prerecorded.html)_x000d__x000a__x000d__x000a_Esempio di violazione individuata sull'oggetto:_x000d__x000a_001 - https://www.posteitaliane.it/it/le-opportunita-open-innovation-podcast.html  con selettore  _x000d__x000a__x000d__x000a_Possibile Metodologia Risolutiva:_x000d__x000a_001 -  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TM0751)"/>
    <x v="242"/>
    <x v="0"/>
    <x v="6"/>
    <x v="22"/>
    <s v="001 - Video senza alternativa testuale-il video non fornisce un'alternativa testuale completa per il contenuto audio [Maggiori Informazioni](https://www.w3.org/WAI/WCAG21/Understanding/audio-only-and-video-only-prerecorded.html)"/>
    <s v="001 -  "/>
    <n v="0"/>
  </r>
  <r>
    <s v="UNIC12.2.2"/>
    <s v="POSTE ITALIANE.IT - 12.2.2 Informazioni sulle caratteristiche di accessibilità e compatibilità - UNICEIEN301549_Cap12 Documentazione e servizi di supporto:: (#)_x000d__x000a_UNICEIEN301549_Cap12 Documentazione e servizi di supporto_x000d__x000a_Requisito WCAG: 12.2.2_x000d__x000a_Disabilità afflitte: All_x000d__x000a_Impatto Utente: 2 - Serious_x000d__x000a__x000d__x000a_Descrizione_x000d__x000a_001 - I servizi di supporto ICT non sono presenti-Se i servizi di supporto ICT non sono presenti, gli utenti non saranno in grado di sfruttare appieno il prodotto o di risolvere problemi di accessibilità in autonomia._x000d__x000a__x000d__x000a_Possibile Metodologia Risolutiva:_x000d__x000a_001 - Creare una sezione dedicata alle FAQ o alla guida online che tratti in dettaglio le caratteristiche di accessibilità._x000a_Assicurare che il supporto sia disponibile anche tramite canali alternativi (es. chat o e-mail accessibili).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
    <x v="243"/>
    <x v="0"/>
    <x v="76"/>
    <x v="24"/>
    <s v="001 - I servizi di supporto ICT non sono presenti-Se i servizi di supporto ICT non sono presenti, gli utenti non saranno in grado di sfruttare appieno il prodotto o di risolvere problemi di accessibilità in autonomia."/>
    <s v="001 - Creare una sezione dedicata alle FAQ o alla guida online che tratti in dettaglio le caratteristiche di accessibilità._x000a_Assicurare che il supporto sia disponibile anche tramite canali alternativi (es. chat o e-mail accessibili)."/>
    <n v="0"/>
  </r>
  <r>
    <s v="UNIC12.2.3"/>
    <s v="POSTE ITALIANE.IT - 12.2.3 Comunicazione effettiva - UNICEIEN301549_Cap12 Documentazione e servizi di supporto:: (#)_x000d__x000a_UNICEIEN301549_Cap12 Documentazione e servizi di supporto_x000d__x000a_Requisito WCAG: 12.2.3_x000d__x000a_Disabilità afflitte: All_x000d__x000a_Impatto Utente: 1 - Critical_x000d__x000a__x000d__x000a_Descrizione_x000d__x000a_001 - Comunicazione effettiva impossibilitata-I servizi di supporto all’ICT non possono soddisfare le esigenze di comunicazione delle persone con disabilità direttamente o tramite un punto di riferimento, in quanto non sono presenti canali per questo tipo di comunicazione_x000d__x000a__x000d__x000a_Possibile Metodologia Risolutiva:_x000d__x000a_001 - Offrire opzioni di comunicazione alternative, come chat, e-mail, o videochiamate con interpreti di lingua dei segni._x000d__x000a__x000d__x000a_Occorrenze rilevate: 1 https://posteitaliane.sharepoint.com/:x:/r/teams/ACCESSIBILITRISULTATIVERIFICHETECNICHE/Shared%20Documents/POSTEITALIANE.IT/LOG/Log.xlsx?d=wf3c65046abcc49009aae265aacd619cd&amp;csf=1&amp;web=1&amp;e=knhQX7_x000d__x000a__x000d__x000a_Link al dettaglio requisito WCAG: NOT FOUND_x000d__x000a_"/>
    <x v="0"/>
    <s v="(#)"/>
    <x v="244"/>
    <x v="1"/>
    <x v="76"/>
    <x v="25"/>
    <s v="001 - Comunicazione effettiva impossibilitata-I servizi di supporto all’ICT non possono soddisfare le esigenze di comunicazione delle persone con disabilità direttamente o tramite un punto di riferimento, in quanto non sono presenti canali per questo tipo di comunicazione"/>
    <s v="001 - Offrire opzioni di comunicazione alternative, come chat, e-mail, o videochiamate con interpreti di lingua dei segni."/>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F25794-A1C8-4E8B-A978-CF8F8CEA0CA4}" name="PivotTable1" cacheId="0" applyNumberFormats="0" applyBorderFormats="0" applyFontFormats="0" applyPatternFormats="0" applyAlignmentFormats="0" applyWidthHeightFormats="1" dataCaption="Values" grandTotalCaption="Totali" updatedVersion="8" minRefreshableVersion="3" showDrill="0" useAutoFormatting="1" itemPrintTitles="1" createdVersion="8" indent="0" outline="1" outlineData="1" multipleFieldFilters="0" rowHeaderCaption="Servizio Digitale">
  <location ref="A3:B45" firstHeaderRow="1" firstDataRow="1" firstDataCol="1"/>
  <pivotFields count="11">
    <pivotField dataField="1" showAll="0"/>
    <pivotField showAll="0"/>
    <pivotField showAll="0">
      <items count="2">
        <item x="0"/>
        <item t="default"/>
      </items>
    </pivotField>
    <pivotField showAll="0"/>
    <pivotField axis="axisRow" multipleItemSelectionAllowed="1" showAll="0">
      <items count="246">
        <item x="46"/>
        <item x="44"/>
        <item x="50"/>
        <item x="47"/>
        <item x="45"/>
        <item x="51"/>
        <item x="49"/>
        <item x="92"/>
        <item x="48"/>
        <item x="43"/>
        <item x="8"/>
        <item x="10"/>
        <item x="7"/>
        <item x="11"/>
        <item x="91"/>
        <item x="9"/>
        <item x="25"/>
        <item x="27"/>
        <item x="57"/>
        <item x="24"/>
        <item x="96"/>
        <item x="26"/>
        <item x="56"/>
        <item x="41"/>
        <item x="109"/>
        <item x="40"/>
        <item x="42"/>
        <item x="29"/>
        <item x="242"/>
        <item x="241"/>
        <item x="31"/>
        <item x="28"/>
        <item x="30"/>
        <item x="58"/>
        <item x="33"/>
        <item x="35"/>
        <item x="32"/>
        <item x="34"/>
        <item x="53"/>
        <item x="240"/>
        <item x="64"/>
        <item x="54"/>
        <item x="52"/>
        <item x="113"/>
        <item x="101"/>
        <item x="55"/>
        <item x="102"/>
        <item x="99"/>
        <item x="22"/>
        <item x="59"/>
        <item x="21"/>
        <item x="23"/>
        <item x="71"/>
        <item x="76"/>
        <item x="73"/>
        <item x="70"/>
        <item x="107"/>
        <item x="74"/>
        <item x="72"/>
        <item x="75"/>
        <item x="69"/>
        <item x="80"/>
        <item x="78"/>
        <item x="79"/>
        <item x="81"/>
        <item x="77"/>
        <item x="66"/>
        <item x="68"/>
        <item x="65"/>
        <item x="67"/>
        <item x="112"/>
        <item x="61"/>
        <item x="63"/>
        <item x="60"/>
        <item x="62"/>
        <item x="100"/>
        <item x="37"/>
        <item x="39"/>
        <item x="36"/>
        <item x="38"/>
        <item x="84"/>
        <item x="85"/>
        <item x="89"/>
        <item x="82"/>
        <item x="83"/>
        <item x="90"/>
        <item x="86"/>
        <item x="88"/>
        <item x="87"/>
        <item x="105"/>
        <item x="108"/>
        <item x="103"/>
        <item x="106"/>
        <item x="104"/>
        <item x="94"/>
        <item x="111"/>
        <item x="93"/>
        <item x="95"/>
        <item x="1"/>
        <item x="98"/>
        <item x="0"/>
        <item x="5"/>
        <item x="6"/>
        <item x="2"/>
        <item x="3"/>
        <item x="13"/>
        <item x="110"/>
        <item x="12"/>
        <item x="14"/>
        <item x="17"/>
        <item x="19"/>
        <item x="20"/>
        <item x="16"/>
        <item x="18"/>
        <item x="97"/>
        <item x="15"/>
        <item x="243"/>
        <item x="244"/>
        <item x="114"/>
        <item x="115"/>
        <item x="118"/>
        <item x="116"/>
        <item x="117"/>
        <item x="127"/>
        <item x="128"/>
        <item x="129"/>
        <item x="130"/>
        <item x="133"/>
        <item x="132"/>
        <item x="234"/>
        <item x="150"/>
        <item x="148"/>
        <item x="149"/>
        <item x="151"/>
        <item x="152"/>
        <item x="153"/>
        <item x="168"/>
        <item x="169"/>
        <item x="170"/>
        <item x="171"/>
        <item x="174"/>
        <item x="172"/>
        <item x="177"/>
        <item x="175"/>
        <item x="173"/>
        <item x="176"/>
        <item x="178"/>
        <item x="179"/>
        <item x="180"/>
        <item x="181"/>
        <item x="182"/>
        <item x="183"/>
        <item x="185"/>
        <item x="186"/>
        <item x="184"/>
        <item x="187"/>
        <item x="188"/>
        <item x="189"/>
        <item x="190"/>
        <item x="191"/>
        <item x="192"/>
        <item x="193"/>
        <item x="194"/>
        <item x="195"/>
        <item x="196"/>
        <item x="197"/>
        <item x="200"/>
        <item x="201"/>
        <item x="202"/>
        <item x="205"/>
        <item x="203"/>
        <item x="206"/>
        <item x="204"/>
        <item x="207"/>
        <item x="208"/>
        <item x="209"/>
        <item x="210"/>
        <item x="219"/>
        <item x="217"/>
        <item x="220"/>
        <item x="218"/>
        <item x="226"/>
        <item x="227"/>
        <item x="228"/>
        <item x="235"/>
        <item x="236"/>
        <item x="237"/>
        <item x="238"/>
        <item x="239"/>
        <item x="119"/>
        <item x="120"/>
        <item x="121"/>
        <item x="122"/>
        <item x="123"/>
        <item x="124"/>
        <item x="125"/>
        <item x="126"/>
        <item x="131"/>
        <item x="134"/>
        <item x="135"/>
        <item x="136"/>
        <item x="137"/>
        <item x="138"/>
        <item x="139"/>
        <item x="140"/>
        <item x="141"/>
        <item x="142"/>
        <item x="143"/>
        <item x="144"/>
        <item x="145"/>
        <item x="146"/>
        <item x="147"/>
        <item x="154"/>
        <item x="157"/>
        <item x="155"/>
        <item x="156"/>
        <item x="158"/>
        <item x="159"/>
        <item x="163"/>
        <item x="164"/>
        <item x="165"/>
        <item x="166"/>
        <item x="167"/>
        <item x="198"/>
        <item x="199"/>
        <item x="211"/>
        <item x="212"/>
        <item x="213"/>
        <item x="214"/>
        <item x="215"/>
        <item x="216"/>
        <item x="221"/>
        <item x="222"/>
        <item x="223"/>
        <item x="224"/>
        <item x="225"/>
        <item x="160"/>
        <item x="162"/>
        <item x="230"/>
        <item x="231"/>
        <item x="232"/>
        <item x="233"/>
        <item x="229"/>
        <item x="161"/>
        <item h="1" x="4"/>
        <item t="default"/>
      </items>
    </pivotField>
    <pivotField showAll="0">
      <items count="5">
        <item n="Critica" x="1"/>
        <item n="Alta" x="0"/>
        <item n="Media" x="2"/>
        <item n="Bassa" x="3"/>
        <item t="default"/>
      </items>
    </pivotField>
    <pivotField showAll="0">
      <items count="78">
        <item x="19"/>
        <item x="20"/>
        <item x="21"/>
        <item x="22"/>
        <item x="23"/>
        <item x="24"/>
        <item x="25"/>
        <item x="26"/>
        <item x="27"/>
        <item x="28"/>
        <item x="29"/>
        <item x="30"/>
        <item x="31"/>
        <item x="32"/>
        <item x="33"/>
        <item x="34"/>
        <item x="35"/>
        <item x="65"/>
        <item x="36"/>
        <item x="37"/>
        <item x="38"/>
        <item x="39"/>
        <item x="40"/>
        <item x="41"/>
        <item x="42"/>
        <item x="43"/>
        <item x="44"/>
        <item x="45"/>
        <item x="46"/>
        <item x="47"/>
        <item x="48"/>
        <item x="49"/>
        <item x="50"/>
        <item x="51"/>
        <item x="52"/>
        <item x="53"/>
        <item x="54"/>
        <item x="55"/>
        <item x="56"/>
        <item x="57"/>
        <item x="58"/>
        <item x="59"/>
        <item x="60"/>
        <item x="61"/>
        <item x="62"/>
        <item x="63"/>
        <item x="64"/>
        <item x="10"/>
        <item x="1"/>
        <item x="5"/>
        <item x="9"/>
        <item x="6"/>
        <item x="7"/>
        <item x="11"/>
        <item x="4"/>
        <item x="14"/>
        <item x="15"/>
        <item x="13"/>
        <item x="12"/>
        <item x="8"/>
        <item x="16"/>
        <item x="18"/>
        <item x="17"/>
        <item x="0"/>
        <item x="2"/>
        <item x="3"/>
        <item x="76"/>
        <item x="66"/>
        <item x="67"/>
        <item x="68"/>
        <item x="69"/>
        <item x="70"/>
        <item x="71"/>
        <item x="72"/>
        <item x="73"/>
        <item x="74"/>
        <item x="75"/>
        <item t="default"/>
      </items>
    </pivotField>
    <pivotField axis="axisRow" showAll="0">
      <items count="27">
        <item sd="0" x="17"/>
        <item sd="0" x="15"/>
        <item sd="0" x="21"/>
        <item sd="0" x="19"/>
        <item sd="0" x="16"/>
        <item sd="0" x="18"/>
        <item sd="0" x="20"/>
        <item sd="0" x="24"/>
        <item sd="0" x="25"/>
        <item sd="0" x="1"/>
        <item sd="0" x="22"/>
        <item sd="0" x="23"/>
        <item sd="0" x="7"/>
        <item sd="0" x="10"/>
        <item sd="0" x="9"/>
        <item sd="0" x="0"/>
        <item sd="0" x="8"/>
        <item sd="0" x="5"/>
        <item sd="0" x="12"/>
        <item sd="0" x="6"/>
        <item sd="0" x="2"/>
        <item x="4"/>
        <item x="14"/>
        <item x="11"/>
        <item x="13"/>
        <item x="3"/>
        <item t="default"/>
      </items>
    </pivotField>
    <pivotField showAll="0"/>
    <pivotField showAll="0"/>
    <pivotField showAll="0"/>
  </pivotFields>
  <rowFields count="2">
    <field x="7"/>
    <field x="4"/>
  </rowFields>
  <rowItems count="42">
    <i>
      <x/>
    </i>
    <i>
      <x v="1"/>
    </i>
    <i>
      <x v="2"/>
    </i>
    <i>
      <x v="3"/>
    </i>
    <i>
      <x v="4"/>
    </i>
    <i>
      <x v="5"/>
    </i>
    <i>
      <x v="6"/>
    </i>
    <i>
      <x v="7"/>
    </i>
    <i>
      <x v="8"/>
    </i>
    <i>
      <x v="9"/>
    </i>
    <i>
      <x v="10"/>
    </i>
    <i>
      <x v="11"/>
    </i>
    <i>
      <x v="12"/>
    </i>
    <i>
      <x v="13"/>
    </i>
    <i>
      <x v="14"/>
    </i>
    <i>
      <x v="15"/>
    </i>
    <i>
      <x v="16"/>
    </i>
    <i>
      <x v="17"/>
    </i>
    <i>
      <x v="18"/>
    </i>
    <i>
      <x v="19"/>
    </i>
    <i>
      <x v="20"/>
    </i>
    <i>
      <x v="22"/>
    </i>
    <i r="1">
      <x v="46"/>
    </i>
    <i>
      <x v="23"/>
    </i>
    <i r="1">
      <x v="59"/>
    </i>
    <i r="1">
      <x v="87"/>
    </i>
    <i>
      <x v="24"/>
    </i>
    <i r="1">
      <x v="114"/>
    </i>
    <i>
      <x v="25"/>
    </i>
    <i r="1">
      <x v="9"/>
    </i>
    <i r="1">
      <x v="22"/>
    </i>
    <i r="1">
      <x v="33"/>
    </i>
    <i r="1">
      <x v="47"/>
    </i>
    <i r="1">
      <x v="60"/>
    </i>
    <i r="1">
      <x v="65"/>
    </i>
    <i r="1">
      <x v="70"/>
    </i>
    <i r="1">
      <x v="75"/>
    </i>
    <i r="1">
      <x v="88"/>
    </i>
    <i r="1">
      <x v="93"/>
    </i>
    <i r="1">
      <x v="104"/>
    </i>
    <i r="1">
      <x v="115"/>
    </i>
    <i t="grand">
      <x/>
    </i>
  </rowItems>
  <colItems count="1">
    <i/>
  </colItems>
  <dataFields count="1">
    <dataField name="Count of ID Silk" fld="0" subtotal="count" baseField="0" baseItem="0"/>
  </dataFields>
  <formats count="36">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5" type="button" dataOnly="0" labelOnly="1" outline="0"/>
    </format>
    <format dxfId="116">
      <pivotArea type="topRight" dataOnly="0" labelOnly="1" outline="0" fieldPosition="0"/>
    </format>
    <format dxfId="115">
      <pivotArea field="6" type="button" dataOnly="0" labelOnly="1" outline="0"/>
    </format>
    <format dxfId="114">
      <pivotArea dataOnly="0" labelOnly="1" grandRow="1" outline="0" fieldPosition="0"/>
    </format>
    <format dxfId="113">
      <pivotArea dataOnly="0" labelOnly="1" grandCol="1" outline="0" fieldPosition="0"/>
    </format>
    <format dxfId="112">
      <pivotArea dataOnly="0" fieldPosition="0">
        <references count="1">
          <reference field="7" count="1">
            <x v="0"/>
          </reference>
        </references>
      </pivotArea>
    </format>
    <format dxfId="111">
      <pivotArea dataOnly="0" fieldPosition="0">
        <references count="1">
          <reference field="7" count="1">
            <x v="1"/>
          </reference>
        </references>
      </pivotArea>
    </format>
    <format dxfId="110">
      <pivotArea dataOnly="0" fieldPosition="0">
        <references count="1">
          <reference field="7" count="1">
            <x v="2"/>
          </reference>
        </references>
      </pivotArea>
    </format>
    <format dxfId="109">
      <pivotArea dataOnly="0" fieldPosition="0">
        <references count="1">
          <reference field="7" count="1">
            <x v="3"/>
          </reference>
        </references>
      </pivotArea>
    </format>
    <format dxfId="108">
      <pivotArea dataOnly="0" fieldPosition="0">
        <references count="1">
          <reference field="7" count="1">
            <x v="4"/>
          </reference>
        </references>
      </pivotArea>
    </format>
    <format dxfId="107">
      <pivotArea dataOnly="0" fieldPosition="0">
        <references count="1">
          <reference field="7" count="1">
            <x v="5"/>
          </reference>
        </references>
      </pivotArea>
    </format>
    <format dxfId="106">
      <pivotArea dataOnly="0" fieldPosition="0">
        <references count="1">
          <reference field="7" count="1">
            <x v="6"/>
          </reference>
        </references>
      </pivotArea>
    </format>
    <format dxfId="105">
      <pivotArea dataOnly="0" fieldPosition="0">
        <references count="1">
          <reference field="7" count="1">
            <x v="7"/>
          </reference>
        </references>
      </pivotArea>
    </format>
    <format dxfId="104">
      <pivotArea dataOnly="0" fieldPosition="0">
        <references count="1">
          <reference field="7" count="1">
            <x v="8"/>
          </reference>
        </references>
      </pivotArea>
    </format>
    <format dxfId="103">
      <pivotArea dataOnly="0" fieldPosition="0">
        <references count="1">
          <reference field="7" count="1">
            <x v="9"/>
          </reference>
        </references>
      </pivotArea>
    </format>
    <format dxfId="102">
      <pivotArea dataOnly="0" fieldPosition="0">
        <references count="1">
          <reference field="7" count="1">
            <x v="10"/>
          </reference>
        </references>
      </pivotArea>
    </format>
    <format dxfId="101">
      <pivotArea dataOnly="0" fieldPosition="0">
        <references count="1">
          <reference field="7" count="1">
            <x v="11"/>
          </reference>
        </references>
      </pivotArea>
    </format>
    <format dxfId="100">
      <pivotArea dataOnly="0" fieldPosition="0">
        <references count="1">
          <reference field="7" count="1">
            <x v="12"/>
          </reference>
        </references>
      </pivotArea>
    </format>
    <format dxfId="99">
      <pivotArea dataOnly="0" fieldPosition="0">
        <references count="1">
          <reference field="7" count="1">
            <x v="13"/>
          </reference>
        </references>
      </pivotArea>
    </format>
    <format dxfId="98">
      <pivotArea dataOnly="0" fieldPosition="0">
        <references count="1">
          <reference field="7" count="1">
            <x v="14"/>
          </reference>
        </references>
      </pivotArea>
    </format>
    <format dxfId="97">
      <pivotArea collapsedLevelsAreSubtotals="1" fieldPosition="0">
        <references count="1">
          <reference field="7" count="1">
            <x v="15"/>
          </reference>
        </references>
      </pivotArea>
    </format>
    <format dxfId="96">
      <pivotArea dataOnly="0" labelOnly="1" fieldPosition="0">
        <references count="1">
          <reference field="7" count="1">
            <x v="15"/>
          </reference>
        </references>
      </pivotArea>
    </format>
    <format dxfId="95">
      <pivotArea collapsedLevelsAreSubtotals="1" fieldPosition="0">
        <references count="1">
          <reference field="7" count="1">
            <x v="16"/>
          </reference>
        </references>
      </pivotArea>
    </format>
    <format dxfId="94">
      <pivotArea dataOnly="0" labelOnly="1" fieldPosition="0">
        <references count="1">
          <reference field="7" count="1">
            <x v="16"/>
          </reference>
        </references>
      </pivotArea>
    </format>
    <format dxfId="93">
      <pivotArea collapsedLevelsAreSubtotals="1" fieldPosition="0">
        <references count="1">
          <reference field="7" count="1">
            <x v="17"/>
          </reference>
        </references>
      </pivotArea>
    </format>
    <format dxfId="92">
      <pivotArea dataOnly="0" labelOnly="1" fieldPosition="0">
        <references count="1">
          <reference field="7" count="1">
            <x v="17"/>
          </reference>
        </references>
      </pivotArea>
    </format>
    <format dxfId="91">
      <pivotArea dataOnly="0" fieldPosition="0">
        <references count="1">
          <reference field="7" count="1">
            <x v="18"/>
          </reference>
        </references>
      </pivotArea>
    </format>
    <format dxfId="90">
      <pivotArea dataOnly="0" fieldPosition="0">
        <references count="1">
          <reference field="7" count="1">
            <x v="19"/>
          </reference>
        </references>
      </pivotArea>
    </format>
    <format dxfId="89">
      <pivotArea dataOnly="0" fieldPosition="0">
        <references count="1">
          <reference field="7" count="1">
            <x v="20"/>
          </reference>
        </references>
      </pivotArea>
    </format>
    <format dxfId="88">
      <pivotArea dataOnly="0" fieldPosition="0">
        <references count="1">
          <reference field="7" count="1">
            <x v="22"/>
          </reference>
        </references>
      </pivotArea>
    </format>
    <format dxfId="87">
      <pivotArea dataOnly="0" fieldPosition="0">
        <references count="1">
          <reference field="7" count="1">
            <x v="23"/>
          </reference>
        </references>
      </pivotArea>
    </format>
    <format dxfId="86">
      <pivotArea dataOnly="0" fieldPosition="0">
        <references count="1">
          <reference field="7" count="1">
            <x v="24"/>
          </reference>
        </references>
      </pivotArea>
    </format>
    <format dxfId="85">
      <pivotArea dataOnly="0" fieldPosition="0">
        <references count="1">
          <reference field="7" count="1">
            <x v="2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837DB5-76C7-43A5-B127-0049305D0AE5}" name="outTable" displayName="outTable" ref="A1:N59" totalsRowShown="0" dataDxfId="152">
  <autoFilter ref="A1:N59" xr:uid="{E4837DB5-76C7-43A5-B127-0049305D0AE5}"/>
  <sortState xmlns:xlrd2="http://schemas.microsoft.com/office/spreadsheetml/2017/richdata2" ref="A2:N59">
    <sortCondition ref="H1:H59"/>
  </sortState>
  <tableColumns count="14">
    <tableColumn id="1" xr3:uid="{5CBAC5D4-44C2-4D29-B160-11BC0A04616E}" name="ID Silk" dataDxfId="151"/>
    <tableColumn id="14" xr3:uid="{EA5E85C6-8BDB-4067-A291-62E228D24E53}" name="Colonna1" dataDxfId="150">
      <calculatedColumnFormula>_xlfn.XLOOKUP(outTable[[#This Row],[ID Silk]],Tabella4[ID Silk],Tabella4[Titolo Defect],,0,1)</calculatedColumnFormula>
    </tableColumn>
    <tableColumn id="2" xr3:uid="{AD1C88F4-4A0B-43B8-A384-7D92DD31D9D2}" name="Descrizione" dataDxfId="149"/>
    <tableColumn id="3" xr3:uid="{2648B2EA-8DA1-4B7A-A42F-2B765A99E7FF}" name="Severity" dataDxfId="148"/>
    <tableColumn id="4" xr3:uid="{1E8482EB-9944-47FB-8191-4762087F38B3}" name="Identificativo in relazione  " dataDxfId="147"/>
    <tableColumn id="5" xr3:uid="{09E06CEA-D755-46FD-9312-1B29FD0454DB}" name="Numero ticket  " dataDxfId="146"/>
    <tableColumn id="6" xr3:uid="{AB321D0B-D37A-425F-B4E8-0DFC05C72F23}" name="Priorità  " dataDxfId="145"/>
    <tableColumn id="7" xr3:uid="{984227D9-17FC-4144-9B08-0EED8282EAC1}" name="Servizio_digitale-pagina" dataDxfId="144"/>
    <tableColumn id="8" xr3:uid="{E2028131-79AB-4CC9-A59C-3BA940BCF831}" name="Requisito_criterio_violato" dataDxfId="143"/>
    <tableColumn id="9" xr3:uid="{F1C48CD7-808A-4BD3-88DC-1472627F2D89}" name="Errore  " dataDxfId="142"/>
    <tableColumn id="10" xr3:uid="{1CA1E845-9D3D-4E5F-8456-C008C2B6951D}" name="Soluzione  " dataDxfId="141"/>
    <tableColumn id="11" xr3:uid="{F35C1D63-53E3-4D77-A306-28DC0B5C7BA0}" name="Link screenshot / video  " dataDxfId="140"/>
    <tableColumn id="12" xr3:uid="{69E97E94-91CC-49B5-92B9-C4F13E10281D}" name="AP" dataDxfId="139"/>
    <tableColumn id="13" xr3:uid="{672223CB-CBBA-4B6B-B79A-5FD7EEAB0713}" name="PK" dataDxfId="1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a1" displayName="Tabella1" ref="A2:S16" totalsRowShown="0">
  <autoFilter ref="A2:S16" xr:uid="{00000000-0009-0000-0100-000001000000}"/>
  <tableColumns count="19">
    <tableColumn id="1" xr3:uid="{00000000-0010-0000-0000-000001000000}" name="Page ID" dataDxfId="137"/>
    <tableColumn id="7" xr3:uid="{00000000-0010-0000-0000-000007000000}" name="URL" dataDxfId="136"/>
    <tableColumn id="19" xr3:uid="{B340CAEB-A5EB-4941-9189-61670E8E8B88}" name="Funzionalità">
      <calculatedColumnFormula>_xlfn.XLOOKUP(Tabella1[[#This Row],[Servizio]],Tabella5[Area funzionale],Tabella5[Funzionalita],,0,1)</calculatedColumnFormula>
    </tableColumn>
    <tableColumn id="16" xr3:uid="{5ADDD916-9AF3-4AD6-A73F-B35C9F5A2877}" name="Servizio" dataDxfId="135"/>
    <tableColumn id="17" xr3:uid="{8FC50816-7959-4C84-A675-EE410015BE40}" name="Campione" dataDxfId="134"/>
    <tableColumn id="18" xr3:uid="{33F170C2-B053-4F17-B944-8204E755AA0A}" name="Nome del file"/>
    <tableColumn id="3" xr3:uid="{00000000-0010-0000-0000-000003000000}" name="Score" dataDxfId="133">
      <calculatedColumnFormula>AVERAGE(Tabella1[[#This Row],[Mobile Score]],Tabella1[[#This Row],[Desktop Score]])</calculatedColumnFormula>
    </tableColumn>
    <tableColumn id="13" xr3:uid="{6D8E6FA6-6457-4C4E-A9DB-292B61635882}" name="Passed" dataDxfId="132">
      <calculatedColumnFormula>AVERAGE(Tabella1[[#This Row],[M-Passed]],Tabella1[[#This Row],[D-Passed]])</calculatedColumnFormula>
    </tableColumn>
    <tableColumn id="14" xr3:uid="{55CC689D-E2C5-4F88-913F-0D9672B983EB}" name="Not Passed" dataDxfId="131">
      <calculatedColumnFormula>AVERAGE(Tabella1[[#This Row],[M-Not Passed]],Tabella1[[#This Row],[D-Not Passed]])</calculatedColumnFormula>
    </tableColumn>
    <tableColumn id="15" xr3:uid="{1C439D8C-5DC1-4EB7-8099-F35553C461F1}" name="Not Applicable" dataDxfId="130">
      <calculatedColumnFormula>AVERAGE(Tabella1[[#This Row],[M-Not Applicable]],Tabella1[[#This Row],[D-Not Applicable]])</calculatedColumnFormula>
    </tableColumn>
    <tableColumn id="12" xr3:uid="{5F510BC4-C669-4954-81B7-9076DF873287}" name="Issue" dataDxfId="129">
      <calculatedColumnFormula>COUNTIF(Tabella4[Page ID],Tabella1[[#This Row],[Page ID]])</calculatedColumnFormula>
    </tableColumn>
    <tableColumn id="4" xr3:uid="{00000000-0010-0000-0000-000004000000}" name="Desktop Score" dataDxfId="128"/>
    <tableColumn id="5" xr3:uid="{00000000-0010-0000-0000-000005000000}" name="D-Passed" dataDxfId="127"/>
    <tableColumn id="6" xr3:uid="{00000000-0010-0000-0000-000006000000}" name="D-Not Passed" dataDxfId="126"/>
    <tableColumn id="2" xr3:uid="{714046A4-014A-4463-AB5A-232FE0510188}" name="D-Not Applicable" dataDxfId="125"/>
    <tableColumn id="8" xr3:uid="{03CEDA90-BA01-456A-A7C5-E8ACF17B3252}" name="Mobile Score" dataDxfId="124"/>
    <tableColumn id="9" xr3:uid="{02E6D7AC-9A78-44DB-8F4B-B464F2D254E5}" name="M-Passed" dataDxfId="123"/>
    <tableColumn id="10" xr3:uid="{CC8AB405-FDD0-4B92-B78A-FB53394CFF6B}" name="M-Not Passed" dataDxfId="122"/>
    <tableColumn id="11" xr3:uid="{D2D1B026-A2EA-4E05-96F8-F506BFE496CE}" name="M-Not Applicable" dataDxfId="121"/>
  </tableColumns>
  <tableStyleInfo name="Cl"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ella4" displayName="Tabella4" ref="A1:AF484" totalsRowShown="0" headerRowDxfId="84" dataDxfId="83">
  <autoFilter ref="A1:AF484" xr:uid="{00000000-000C-0000-FFFF-FFFF01000000}"/>
  <tableColumns count="32">
    <tableColumn id="27" xr3:uid="{F6D45CE0-3514-46E6-812B-0B0EC24D7C8F}" name="ID Silk" dataDxfId="82">
      <calculatedColumnFormula>MID(Tabella4[[#This Row],[Servizio]],1,4)&amp;Tabella4[[#This Row],[UNI CEI EN 301549]]</calculatedColumnFormula>
    </tableColumn>
    <tableColumn id="31" xr3:uid="{97D97E57-CE39-464C-9B28-359226D095BD}" name="subID" dataDxfId="81">
      <calculatedColumnFormula>Tabella4[[#This Row],[ID Silk]]&amp;"_1"</calculatedColumnFormula>
    </tableColumn>
    <tableColumn id="1" xr3:uid="{00000000-0010-0000-0100-000001000000}" name="#ID" dataDxfId="80"/>
    <tableColumn id="28" xr3:uid="{2D62D2D6-4557-4439-82A1-ECC015382B1D}" name="ID defectXsilk" dataDxfId="79">
      <calculatedColumnFormula>"(#"&amp;Tabella4[[#This Row],['#ID]]&amp;")"</calculatedColumnFormula>
    </tableColumn>
    <tableColumn id="10" xr3:uid="{96AB24D8-B2C0-4618-977F-309E3A01F4F9}" name="Componente" dataDxfId="78">
      <calculatedColumnFormula>IF(MID(Tabella4[[#This Row],['#ID]],1,1)="M","Mobile",IF(MID(Tabella4[[#This Row],['#ID]],1,1)="D","Desktop",IF(MID(Tabella4[[#This Row],['#ID]],1,2)="TM","Manuale","Documenti")))</calculatedColumnFormula>
    </tableColumn>
    <tableColumn id="2" xr3:uid="{00000000-0010-0000-0100-000002000000}" name="Livello" dataDxfId="77"/>
    <tableColumn id="3" xr3:uid="{00000000-0010-0000-0100-000003000000}" name="Criterio" dataDxfId="76"/>
    <tableColumn id="32" xr3:uid="{09F757E2-BC66-49A5-BB09-B0DD5515E07C}" name="UNI CEI EN 301549" dataDxfId="75">
      <calculatedColumnFormula>IF(Tabella4[[#This Row],[Componente]]="Documenti","10.","9.")&amp;Tabella4[[#This Row],[Criterio]]</calculatedColumnFormula>
    </tableColumn>
    <tableColumn id="4" xr3:uid="{00000000-0010-0000-0100-000004000000}" name="User Impact" dataDxfId="74"/>
    <tableColumn id="5" xr3:uid="{00000000-0010-0000-0100-000005000000}" name="Disabilities" dataDxfId="73"/>
    <tableColumn id="6" xr3:uid="{00000000-0010-0000-0100-000006000000}" name="Title" dataDxfId="72"/>
    <tableColumn id="7" xr3:uid="{00000000-0010-0000-0100-000007000000}" name="Titolo" dataDxfId="71"/>
    <tableColumn id="9" xr3:uid="{54CEFA52-F662-46FC-AF1D-19E25AAF2007}" name="Descrizione" dataDxfId="70"/>
    <tableColumn id="11" xr3:uid="{25916A0F-76E6-412B-BCDD-4FC3391A8230}" name="Rejected Element" dataDxfId="69"/>
    <tableColumn id="12" xr3:uid="{25C59FC4-3E56-4648-9F27-AEA10CA39741}" name="Detail" dataDxfId="68"/>
    <tableColumn id="13" xr3:uid="{BEB4947F-84EA-4358-9A62-C00CD0372B42}" name="URL" dataDxfId="67"/>
    <tableColumn id="34" xr3:uid="{6166A38F-298C-4021-8F41-45ACBA0BFA28}" name="Nome del file"/>
    <tableColumn id="14" xr3:uid="{93A28714-644F-4F87-87BF-17A09460C1FA}" name="Page ID" dataDxfId="66">
      <calculatedColumnFormula>IF(Tabella4[[#This Row],[Componente]]="Documenti",_xlfn.XLOOKUP(Tabella4[[#This Row],[URL]],Tabella27[URL],Tabella27[PDF ID],,0),_xlfn.XLOOKUP(Tabella4[[#This Row],[URL]],Tabella1[URL],Tabella1[Page ID],,0))</calculatedColumnFormula>
    </tableColumn>
    <tableColumn id="15" xr3:uid="{D2615275-6AEA-4464-B9B4-00DD6490C729}" name="Tool" dataDxfId="65"/>
    <tableColumn id="16" xr3:uid="{19B68C53-39DF-4D9F-BED0-4C42E143AAF5}" name="ID" dataDxfId="64"/>
    <tableColumn id="19" xr3:uid="{ECEEC208-1E16-49CD-88FF-B7A62AA62775}" name="ItemsNodeLabel" dataDxfId="63"/>
    <tableColumn id="20" xr3:uid="{B2E10C1C-55E8-4A09-8817-9906FB55BAAA}" name="ItemsExplanation" dataDxfId="62"/>
    <tableColumn id="30" xr3:uid="{A3B6EDF0-BF35-4EB9-8B6D-8E21AB32DB72}" name="Soluzione note aggiuntive" dataDxfId="61"/>
    <tableColumn id="8" xr3:uid="{7CD06805-6A71-402A-B4CC-7D2CB57C3F81}" name="Detail univoco" dataDxfId="60">
      <calculatedColumnFormula>IFERROR(IF(Tabella4[[#This Row],[Tool]]="lighthouse",Tabella4[[#This Row],[Detail]],MID(Tabella4[[#This Row],[Detail]],1,FIND("&gt;",Tabella4[[#This Row],[Detail]]))),Tabella4[[#This Row],[Detail]])</calculatedColumnFormula>
    </tableColumn>
    <tableColumn id="21" xr3:uid="{C4BFF04C-3FA2-4E30-9384-66C8E0BA9F48}" name="Rejected Element Univoco" dataDxfId="59">
      <calculatedColumnFormula>SUBSTITUTE(IF(Tabella4[[#This Row],[Tool]]="axe-core",MID(Tabella4[[#This Row],[Rejected Element]],3,LEN(Tabella4[[#This Row],[Rejected Element]])-4),Tabella4[[#This Row],[Rejected Element]]),"\","")</calculatedColumnFormula>
    </tableColumn>
    <tableColumn id="22" xr3:uid="{0B1C9630-E3D5-4850-AD69-E998521F7D60}" name="Diffusione" dataDxfId="58">
      <calculatedColumnFormula>COUNTIFS(Tabella4[Detail univoco],Tabella4[[#This Row],[Detail univoco]],Tabella4[Rejected Element Univoco],Tabella4[[#This Row],[Rejected Element Univoco]],Tabella4[ItemsNodeLabel],Tabella4[[#This Row],[ItemsNodeLabel]])</calculatedColumnFormula>
    </tableColumn>
    <tableColumn id="23" xr3:uid="{E35B5902-3F05-40CB-9D0E-E2C6F3E38584}" name="Servizio" dataDxfId="57">
      <calculatedColumnFormula>IF(Tabella4[[#This Row],[Componente]]="Documenti",VLOOKUP(Tabella4[[#This Row],[URL]],Tabella27[[URL]:[Servizio]],4,FALSE),VLOOKUP(Tabella4[[#This Row],[Page ID]],Tabella1[[Page ID]:[Servizio]],4,FALSE))</calculatedColumnFormula>
    </tableColumn>
    <tableColumn id="24" xr3:uid="{339A7C3F-7BD2-4E54-AA9D-5095CC74D9C7}" name="Share URL" dataDxfId="56"/>
    <tableColumn id="25" xr3:uid="{CEABC3C3-AF02-4AEF-A9E3-BF48A57210B7}" name="Severity" dataDxfId="55">
      <calculatedColumnFormula>Tabella4[[#This Row],[User Impact]]</calculatedColumnFormula>
    </tableColumn>
    <tableColumn id="26" xr3:uid="{BB6C8DBD-944E-4692-A090-D2D30A2BA6A2}" name="Titolo Defect" dataDxfId="54">
      <calculatedColumnFormula>Copertina!C$2&amp;" - "&amp;Tabella4[[#This Row],[UNI CEI EN 301549]]&amp;" "&amp;VLOOKUP(Tabella4[[#This Row],[Criterio]],Tabella5[[ID]:[Criterio di successo]],2,FALSE)&amp;" - "&amp;Tabella4[[#This Row],[Servizio]]&amp;":"</calculatedColumnFormula>
    </tableColumn>
    <tableColumn id="29" xr3:uid="{2EC99B1C-155E-4E72-8FC3-B33C71078C57}" name="Description Defect" dataDxfId="53">
      <calculatedColumnFormula>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calculatedColumnFormula>
    </tableColumn>
    <tableColumn id="33" xr3:uid="{4AB7B498-E724-4DF6-B633-FAAB8E33D161}" name="Caricato su Silk" dataDxfId="52" dataCellStyle="Normale">
      <calculatedColumnFormula>_xlfn.XLOOKUP(Tabella4[[#This Row],[ID Silk]],outTable[ID Silk],outTable[Numero ticket  ],,0,1)</calculatedColumnFormula>
    </tableColumn>
  </tableColumns>
  <tableStyleInfo name="Cl"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C06EB7-5EAD-4C56-858A-DD956394E2C8}" name="Tabella27" displayName="Tabella27" ref="A2:L7" totalsRowShown="0" headerRowDxfId="51" dataDxfId="49" headerRowBorderDxfId="50" tableBorderDxfId="48">
  <autoFilter ref="A2:L7" xr:uid="{237E6B66-EC81-49A9-842B-9D2B7DF435D8}"/>
  <tableColumns count="12">
    <tableColumn id="1" xr3:uid="{114A9CA4-05E0-4005-B088-B46FB2DFD062}" name="PDF ID" dataDxfId="47"/>
    <tableColumn id="2" xr3:uid="{8A91A686-BBE5-4F4C-A922-D6B09B01E87D}" name="URL" dataDxfId="46"/>
    <tableColumn id="7" xr3:uid="{7C01F22E-5F18-4B69-AC57-0F83AD2E02DA}" name="Nome del file"/>
    <tableColumn id="12" xr3:uid="{D7222490-B17F-445E-AB9A-3715F41526CE}" name="Funzionalita" dataDxfId="45"/>
    <tableColumn id="8" xr3:uid="{9E76BA1E-AD20-4293-A2C9-CCE510289EC8}" name="Servizio"/>
    <tableColumn id="3" xr3:uid="{146FA4D7-D696-4F67-A66F-A17ABD629BAB}" name="M - Score" dataDxfId="44">
      <calculatedColumnFormula>ROUND(Tabella27[[#This Row],[M - Passed]]/7*100,0)</calculatedColumnFormula>
    </tableColumn>
    <tableColumn id="4" xr3:uid="{B192D417-D6D5-4572-868C-2BEDA4F04CC0}" name="M - Passed" dataDxfId="43"/>
    <tableColumn id="5" xr3:uid="{24BF4F08-744A-4F75-B151-93D564DFCEBA}" name="M - Not Passed" dataDxfId="42">
      <calculatedColumnFormula>7-Tabella27[[#This Row],[M - Passed]]</calculatedColumnFormula>
    </tableColumn>
    <tableColumn id="9" xr3:uid="{E62A91F3-27AD-4A93-9BD4-BE88C87904C5}" name="P - Passed" dataDxfId="41"/>
    <tableColumn id="11" xr3:uid="{23919EBB-FA9C-48B3-AF8E-DA4A073302A2}" name="P - Warned" dataDxfId="40"/>
    <tableColumn id="10" xr3:uid="{8D3BEC3E-2474-4096-B308-00CFBE969996}" name="P - Failed" dataDxfId="39"/>
    <tableColumn id="6" xr3:uid="{CCA96492-E3C1-4D03-9C6E-D6714C00A3AA}" name="Issues" dataDxfId="38">
      <calculatedColumnFormula>COUNTIF(Tabella399[URL],Tabella27[[#This Row],[URL]])</calculatedColumnFormula>
    </tableColumn>
  </tableColumns>
  <tableStyleInfo name="Cl"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823FA87-1DB7-460E-802D-E5D5F18BC183}" name="Tabella399" displayName="Tabella399" ref="A1:M59" totalsRowShown="0" headerRowDxfId="37" headerRowBorderDxfId="36" tableBorderDxfId="35">
  <autoFilter ref="A1:M59" xr:uid="{C61F6C41-9EF6-4150-9CB6-56046F6182EE}"/>
  <tableColumns count="13">
    <tableColumn id="1" xr3:uid="{D3BBD228-9201-4986-BDCA-99A1E1EBD62D}" name="#ID"/>
    <tableColumn id="2" xr3:uid="{0F6228F8-F0E2-4A68-B349-ED159FD8604E}" name="URL" dataDxfId="34"/>
    <tableColumn id="3" xr3:uid="{65AB303A-E4CF-4B59-BFF6-1FAE65DE614E}" name="Fail" dataDxfId="33"/>
    <tableColumn id="4" xr3:uid="{F8EAB91A-DAF4-45EA-8266-CDA3BEF57144}" name="Livello" dataDxfId="32"/>
    <tableColumn id="5" xr3:uid="{BDAAA985-ECDF-42A1-B4E6-8C7FA475B937}" name="Criterio" dataDxfId="31"/>
    <tableColumn id="6" xr3:uid="{CA3F5E27-0FD0-4489-8AC4-24BD06F037E3}" name="User Impact" dataDxfId="30"/>
    <tableColumn id="7" xr3:uid="{12674592-E67F-4717-A466-069C2F15CA79}" name="Disabilities" dataDxfId="29"/>
    <tableColumn id="8" xr3:uid="{ED5E53D4-BB6E-45EE-B69F-DAE635878E9B}" name="Title" dataDxfId="28"/>
    <tableColumn id="10" xr3:uid="{5B3CD916-CF20-4FA5-801E-9E61439E24B8}" name="Titolo" dataDxfId="27"/>
    <tableColumn id="12" xr3:uid="{8E103EE9-7867-4872-A621-AF118695C05B}" name="Descrizione" dataDxfId="26"/>
    <tableColumn id="9" xr3:uid="{5F7E1BE2-E4F8-4226-81AC-1A3EC8FA6670}" name="Tool" dataDxfId="25"/>
    <tableColumn id="11" xr3:uid="{7347AB98-D310-4D29-B63E-DD5E761F3AA9}" name="Fix summary" dataDxfId="24"/>
    <tableColumn id="13" xr3:uid="{10B45175-9AE9-4B0A-AE16-FC4AA6874A09}" name="Soluzione note aggiuntive" dataDxfId="23"/>
  </tableColumns>
  <tableStyleInfo name="Cl"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D4427D7-ABB7-49C7-8101-4163FB4762A1}" name="Tabella2" displayName="Tabella2" ref="A1:D46" totalsRowShown="0">
  <autoFilter ref="A1:D46" xr:uid="{18EDB92E-4842-4B65-8D52-1DD12EE11E61}"/>
  <tableColumns count="4">
    <tableColumn id="4" xr3:uid="{50418DD5-BBA5-460A-91A6-C02EE0F4B7A1}" name="Page ID" dataDxfId="22"/>
    <tableColumn id="1" xr3:uid="{F63B5B7F-59D4-4577-AD75-0C79520E7D68}" name="Test ID" dataDxfId="21"/>
    <tableColumn id="2" xr3:uid="{D903B8AC-B8A6-44C3-9C62-5A3F2A614217}" name="Test Description" dataDxfId="20"/>
    <tableColumn id="3" xr3:uid="{E40DEB0A-D6FA-435F-875F-80868BF64A70}" name="Result" dataDxfId="19"/>
  </tableColumns>
  <tableStyleInfo name="Cl"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ella5" displayName="Tabella5" ref="A1:G92" totalsRowShown="0" headerRowDxfId="18" dataDxfId="16" headerRowBorderDxfId="17" tableBorderDxfId="15">
  <autoFilter ref="A1:G92" xr:uid="{00000000-0009-0000-0100-000005000000}"/>
  <tableColumns count="7">
    <tableColumn id="1" xr3:uid="{00000000-0010-0000-0200-000001000000}" name="Area funzionale" dataDxfId="14"/>
    <tableColumn id="4" xr3:uid="{002D2216-DD88-46B9-B4EF-5BFE0F957BD1}" name="Funzionalita" dataDxfId="13"/>
    <tableColumn id="2" xr3:uid="{40589AAD-F5EC-4C95-9A7D-41176DEC3F55}" name="ID" dataDxfId="12"/>
    <tableColumn id="3" xr3:uid="{0340885C-0D29-4874-AEF7-FD3AA068684F}" name="Criterio di successo" dataDxfId="11"/>
    <tableColumn id="6" xr3:uid="{7C29F7B5-343F-4E02-AFCB-9FB10824603A}" name="REQUISITO" dataDxfId="10"/>
    <tableColumn id="7" xr3:uid="{4E3229F9-27DB-4180-9F88-5EFAB0D7B8AD}" name="NOME DOCUMENTO E LINK" dataDxfId="9"/>
    <tableColumn id="8" xr3:uid="{35D380B9-AF98-4711-BECA-7E10860C03F9}" name="LINK ESTESO" dataDxfId="8"/>
  </tableColumns>
  <tableStyleInfo name="Cl" showFirstColumn="0" showLastColumn="0" showRowStripes="1" showColumnStripes="0"/>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8" Type="http://schemas.openxmlformats.org/officeDocument/2006/relationships/hyperlink" Target="../../../../../../_vti_history/22016/Documenti%20condivisi/:w:/r/teams/ACCESSIBILITRISULTATIVERIFICHETECNICHE/Shared%20Documents/Generale/SCHEDE_REQUISITI/11.1.4.3_Contrasto_(minimo).docx?d=w61b20e8f7ec6428fbe679b262725c98f&amp;csf=1&amp;web=1&amp;e=Pnm4F4" TargetMode="External"/><Relationship Id="rId13" Type="http://schemas.openxmlformats.org/officeDocument/2006/relationships/hyperlink" Target="../../../../../../_vti_history/22016/Documenti%20condivisi/:w:/r/teams/ACCESSIBILITRISULTATIVERIFICHETECNICHE/Shared%20Documents/Generale/SCHEDE_REQUISITI/11.4.1.2.1_Nome,ruolo,valore_(funzionalit%C3%A0_aperta).docx?d=wb96cf3f2554842538f60f52e05fa31f4&amp;csf=1&amp;web=1&amp;e=FzyCQ3" TargetMode="External"/><Relationship Id="rId18" Type="http://schemas.openxmlformats.org/officeDocument/2006/relationships/hyperlink" Target="../../../../../../_vti_history/22016/Documenti%20condivisi/:w:/r/teams/ACCESSIBILITRISULTATIVERIFICHETECNICHE/Shared%20Documents/Generale/SCHEDE_REQUISITI/9.1.4.4%20Ridimensionamento%20del%20testo.docx?d=wb29e3fb3b6f9461f9c272ad4ae5b9539&amp;csf=1&amp;web=1&amp;e=DsXnvH" TargetMode="External"/><Relationship Id="rId26" Type="http://schemas.openxmlformats.org/officeDocument/2006/relationships/hyperlink" Target="../../../../../../_vti_history/22016/Documenti%20condivisi/:w:/r/teams/ACCESSIBILITRISULTATIVERIFICHETECNICHE/Shared%20Documents/Generale/SCHEDE_REQUISITI/9.3.3.1%20Identificazione%20degli%20errori.docx?d=w7557ede362e04860b5036f0d4737a4b8&amp;csf=1&amp;web=1&amp;e=17zl1d" TargetMode="External"/><Relationship Id="rId3" Type="http://schemas.openxmlformats.org/officeDocument/2006/relationships/hyperlink" Target="../../../../../../_vti_history/22016/Documenti%20condivisi/:w:/r/teams/ACCESSIBILITRISULTATIVERIFICHETECNICHE/Shared%20Documents/Generale/SCHEDE_REQUISITI/10.1.4.3%20Contrasto%20(minimo).docx?d=wb5da035a086249bca8fc7050a31c158c&amp;csf=1&amp;web=1&amp;e=SVKGXy" TargetMode="External"/><Relationship Id="rId21" Type="http://schemas.openxmlformats.org/officeDocument/2006/relationships/hyperlink" Target="../../../../../../_vti_history/22016/Documenti%20condivisi/:w:/r/teams/ACCESSIBILITRISULTATIVERIFICHETECNICHE/Shared%20Documents/Generale/SCHEDE_REQUISITI/9.2.4.3%20Ordine%20del%20focus.docx?d=w8cfd3853e81f4868a46cbdbabe5c4d99&amp;csf=1&amp;web=1&amp;e=ii42fw" TargetMode="External"/><Relationship Id="rId7" Type="http://schemas.openxmlformats.org/officeDocument/2006/relationships/hyperlink" Target="../../../../../../_vti_history/22016/Documenti%20condivisi/:w:/r/teams/ACCESSIBILITRISULTATIVERIFICHETECNICHE/Shared%20Documents/Generale/SCHEDE_REQUISITI/11.1.3.1.1_Informazioni_e_correlazioni_(funzionalit%C3%A0_aperta).docx?d=w1723de3ac60b4c5f9c588e068a27725a&amp;csf=1&amp;web=1&amp;e=Gv7WM5" TargetMode="External"/><Relationship Id="rId12" Type="http://schemas.openxmlformats.org/officeDocument/2006/relationships/hyperlink" Target="../../../../../../_vti_history/22016/Documenti%20condivisi/:w:/r/teams/ACCESSIBILITRISULTATIVERIFICHETECNICHE/Shared%20Documents/Generale/SCHEDE_REQUISITI/11.2.4.6_Intestazioni_ed_etichette.docx?d=we6de86faee7f485db6c8ae30b4ef3d0f&amp;csf=1&amp;web=1&amp;e=izmYSc" TargetMode="External"/><Relationship Id="rId17" Type="http://schemas.openxmlformats.org/officeDocument/2006/relationships/hyperlink" Target="../../../../../../_vti_history/22016/Documenti%20condivisi/:w:/r/teams/ACCESSIBILITRISULTATIVERIFICHETECNICHE/Shared%20Documents/Generale/SCHEDE_REQUISITI/9.1.4.3%20Contrasto%20(minimo).docx?d=w9f2bd23069d041949f3883a7dbad3f2c&amp;csf=1&amp;web=1&amp;e=tMcxqJ" TargetMode="External"/><Relationship Id="rId25" Type="http://schemas.openxmlformats.org/officeDocument/2006/relationships/hyperlink" Target="../../../../../../_vti_history/22016/Documenti%20condivisi/:w:/r/teams/ACCESSIBILITRISULTATIVERIFICHETECNICHE/Shared%20Documents/Generale/SCHEDE_REQUISITI/9.2.5.3%20Etichetta%20nel%20nome.docx?d=w7044ef49b041441cb975967bc49a7316&amp;csf=1&amp;web=1&amp;e=20GbnH" TargetMode="External"/><Relationship Id="rId2" Type="http://schemas.openxmlformats.org/officeDocument/2006/relationships/hyperlink" Target="../../../../../../_vti_history/22016/Documenti%20condivisi/:w:/r/teams/ACCESSIBILITRISULTATIVERIFICHETECNICHE/Shared%20Documents/Generale/SCHEDE_REQUISITI/10.1.3.2%20Sequenza%20significativa.docx?d=wc358fe04604c46dcad4900207034af1e&amp;csf=1&amp;web=1&amp;e=ovB9eB" TargetMode="External"/><Relationship Id="rId16" Type="http://schemas.openxmlformats.org/officeDocument/2006/relationships/hyperlink" Target="../../../../../../_vti_history/22016/Documenti%20condivisi/:w:/r/teams/ACCESSIBILITRISULTATIVERIFICHETECNICHE/Shared%20Documents/Generale/SCHEDE_REQUISITI/9.1.4.10%20Ricalcolo%20del%20flusso.docx?d=wcab1a4b7ac854b1896f011100ac19e1a&amp;csf=1&amp;web=1&amp;e=olvDEd" TargetMode="External"/><Relationship Id="rId20" Type="http://schemas.openxmlformats.org/officeDocument/2006/relationships/hyperlink" Target="../../../../../../_vti_history/22016/Documenti%20condivisi/:w:/r/teams/ACCESSIBILITRISULTATIVERIFICHETECNICHE/Shared%20Documents/Generale/SCHEDE_REQUISITI/9.2.4.3%20Ordine%20del%20focus.docx?d=w8cfd3853e81f4868a46cbdbabe5c4d99&amp;csf=1&amp;web=1&amp;e=ii42fw" TargetMode="External"/><Relationship Id="rId29" Type="http://schemas.openxmlformats.org/officeDocument/2006/relationships/hyperlink" Target="../../../../../../_vti_history/22016/Documenti%20condivisi/:w:/r/teams/ACCESSIBILITRISULTATIVERIFICHETECNICHE/Shared%20Documents/Generale/SCHEDE_REQUISITI/9.4.1.3%20Messaggi%20di%20stato.docx?d=wcac2bab4ebfc469689210a383cc417e0&amp;csf=1&amp;web=1&amp;e=r7iq8O" TargetMode="External"/><Relationship Id="rId1" Type="http://schemas.openxmlformats.org/officeDocument/2006/relationships/hyperlink" Target="../../../../../../_vti_history/22016/Documenti%20condivisi/:w:/r/teams/ACCESSIBILITRISULTATIVERIFICHETECNICHE/Shared%20Documents/Generale/SCHEDE_REQUISITI/10.1.3.1%20Informazioni%20e%20correlazioni.docx?d=w16f7613ad3554851b2c89a5ca010a7a2&amp;csf=1&amp;web=1&amp;e=AFWDmi" TargetMode="External"/><Relationship Id="rId6" Type="http://schemas.openxmlformats.org/officeDocument/2006/relationships/hyperlink" Target="../../../../../../_vti_history/22016/Documenti%20condivisi/:w:/r/teams/ACCESSIBILITRISULTATIVERIFICHETECNICHE/Shared%20Documents/Generale/SCHEDE_REQUISITI/11.1.1.1.1_Contenuti_non_testuali_(funzionalit%C3%A0_aperta).docx?d=w87e8fee9cda64daea0b797bbf7db8184&amp;csf=1&amp;web=1&amp;e=GdUue0" TargetMode="External"/><Relationship Id="rId11" Type="http://schemas.openxmlformats.org/officeDocument/2006/relationships/hyperlink" Target="../../../../../../_vti_history/22016/Documenti%20condivisi/:w:/r/teams/ACCESSIBILITRISULTATIVERIFICHETECNICHE/Shared%20Documents/Generale/SCHEDE_REQUISITI/11.2.4.3_Ordine_del_focus.docx?d=wcb056349c8564b71b5cf8e23274b72d3&amp;csf=1&amp;web=1&amp;e=XCZDB2" TargetMode="External"/><Relationship Id="rId24" Type="http://schemas.openxmlformats.org/officeDocument/2006/relationships/hyperlink" Target="../../../../../../_vti_history/22016/Documenti%20condivisi/:w:/r/teams/ACCESSIBILITRISULTATIVERIFICHETECNICHE/Shared%20Documents/Generale/SCHEDE_REQUISITI/9.2.5.3%20Etichetta%20nel%20nome.docx?d=w7044ef49b041441cb975967bc49a7316&amp;csf=1&amp;web=1&amp;e=20GbnH" TargetMode="External"/><Relationship Id="rId5" Type="http://schemas.openxmlformats.org/officeDocument/2006/relationships/hyperlink" Target="../../../../../../_vti_history/22016/Documenti%20condivisi/:w:/r/teams/ACCESSIBILITRISULTATIVERIFICHETECNICHE/Shared%20Documents/Generale/SCHEDE_REQUISITI/11.1.1.1.1_Contenuti_non_testuali_(funzionalit%C3%A0_aperta).docx?d=w87e8fee9cda64daea0b797bbf7db8184&amp;csf=1&amp;web=1&amp;e=GdUue0" TargetMode="External"/><Relationship Id="rId15" Type="http://schemas.openxmlformats.org/officeDocument/2006/relationships/hyperlink" Target="../../../../../../_vti_history/22016/Documenti%20condivisi/:w:/r/teams/ACCESSIBILITRISULTATIVERIFICHETECNICHE/Shared%20Documents/Generale/SCHEDE_REQUISITI/9.1.3.1%20Informazioni%20e%20correlazioni.docx?d=w7a79f28f1f0b4b86bd6f702204ff96de&amp;csf=1&amp;web=1&amp;e=l3sokQ" TargetMode="External"/><Relationship Id="rId23" Type="http://schemas.openxmlformats.org/officeDocument/2006/relationships/hyperlink" Target="../../../../../../_vti_history/22016/Documenti%20condivisi/:w:/r/teams/ACCESSIBILITRISULTATIVERIFICHETECNICHE/Shared%20Documents/Generale/SCHEDE_REQUISITI/9.2.4.7%20Focus%20visibile.docx?d=w1fc5b839f5674a11b612c49a913c44e9&amp;csf=1&amp;web=1&amp;e=8oysv3" TargetMode="External"/><Relationship Id="rId28" Type="http://schemas.openxmlformats.org/officeDocument/2006/relationships/hyperlink" Target="../../../../../../_vti_history/22016/Documenti%20condivisi/:w:/r/teams/ACCESSIBILITRISULTATIVERIFICHETECNICHE/Shared%20Documents/Generale/SCHEDE_REQUISITI/9.4.1.2%20Nome,%20ruolo,%20valore.docx?d=wc532360c915c4d57b69c2d2be6d3c155&amp;csf=1&amp;web=1&amp;e=RZyIkK" TargetMode="External"/><Relationship Id="rId10" Type="http://schemas.openxmlformats.org/officeDocument/2006/relationships/hyperlink" Target="../../../../../../_vti_history/22016/Documenti%20condivisi/:w:/r/teams/ACCESSIBILITRISULTATIVERIFICHETECNICHE/Shared%20Documents/Generale/SCHEDE_REQUISITI/11.2.1.1.1%20Tastiera%20(funzionalit%C3%A0%20aperta).docx?d=w62b4d3c4acf14dfd8425f81a2052d5fc&amp;csf=1&amp;web=1&amp;e=hOD3Af" TargetMode="External"/><Relationship Id="rId19" Type="http://schemas.openxmlformats.org/officeDocument/2006/relationships/hyperlink" Target="../../../../../../_vti_history/22016/Documenti%20condivisi/:w:/r/teams/ACCESSIBILITRISULTATIVERIFICHETECNICHE/Shared%20Documents/Generale/SCHEDE_REQUISITI/9.2.1.1%20Tastiera.docx?d=w7e0af80dcc2f478eb0c964bfb973ea4e&amp;csf=1&amp;web=1&amp;e=1LDvvU" TargetMode="External"/><Relationship Id="rId4" Type="http://schemas.openxmlformats.org/officeDocument/2006/relationships/hyperlink" Target="../../../../../../_vti_history/22016/Documenti%20condivisi/:w:/r/teams/ACCESSIBILITRISULTATIVERIFICHETECNICHE/Shared%20Documents/Generale/SCHEDE_REQUISITI/10.2.4.2%20Titolazione%20del%20documento.docx?d=wd1431799a8524b148514a35ac1863838&amp;csf=1&amp;web=1&amp;e=9MpdKG" TargetMode="External"/><Relationship Id="rId9" Type="http://schemas.openxmlformats.org/officeDocument/2006/relationships/hyperlink" Target="../../../../../../_vti_history/22016/Documenti%20condivisi/:w:/r/teams/ACCESSIBILITRISULTATIVERIFICHETECNICHE/Shared%20Documents/Generale/SCHEDE_REQUISITI/11.1.4.4.1_Ridimensionamento_del_testo_(funzionalit%C3%A0_aperta).docx?d=w48964c94b2224c57bcf3e84b2beb00f2&amp;csf=1&amp;web=1&amp;e=gNF9AI" TargetMode="External"/><Relationship Id="rId14" Type="http://schemas.openxmlformats.org/officeDocument/2006/relationships/hyperlink" Target="../../../../../../_vti_history/22016/Documenti%20condivisi/:w:/r/teams/ACCESSIBILITRISULTATIVERIFICHETECNICHE/Shared%20Documents/Generale/SCHEDE_REQUISITI/9.1.1.1%20Contenuti%20non%20testuali%20.docx?d=w096cbdf06fa14fbf9d8a34e20106b52f&amp;csf=1&amp;web=1&amp;e=GfrHzT" TargetMode="External"/><Relationship Id="rId22" Type="http://schemas.openxmlformats.org/officeDocument/2006/relationships/hyperlink" Target="../../../../../../_vti_history/22016/Documenti%20condivisi/:w:/r/teams/ACCESSIBILITRISULTATIVERIFICHETECNICHE/Shared%20Documents/Generale/SCHEDE_REQUISITI/9.2.4.6%20Intestazioni%20ed%20etichette.docx?d=wf6c9c284bd7149b995df5c13ab23753c&amp;csf=1&amp;web=1&amp;e=ThNYfp" TargetMode="External"/><Relationship Id="rId27" Type="http://schemas.openxmlformats.org/officeDocument/2006/relationships/hyperlink" Target="../../../../../../_vti_history/22016/Documenti%20condivisi/:w:/r/teams/ACCESSIBILITRISULTATIVERIFICHETECNICHE/Shared%20Documents/Generale/SCHEDE_REQUISITI/9.3.3.3%20Suggerimenti%20per%20gli%20errori.docx?d=wb025a58cdf8347f6866094fffc511a0b&amp;csf=1&amp;web=1&amp;e=caJkec" TargetMode="External"/><Relationship Id="rId30"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E6F53-F176-40CC-A27C-D0D3C76BBE92}">
  <dimension ref="A1:N59"/>
  <sheetViews>
    <sheetView tabSelected="1" workbookViewId="0">
      <selection activeCell="I2" sqref="I2"/>
    </sheetView>
  </sheetViews>
  <sheetFormatPr defaultRowHeight="14.4"/>
  <cols>
    <col min="1" max="7" width="11" customWidth="1"/>
    <col min="8" max="8" width="80.88671875" customWidth="1"/>
    <col min="9" max="9" width="11" customWidth="1"/>
    <col min="10" max="13" width="12" customWidth="1"/>
  </cols>
  <sheetData>
    <row r="1" spans="1:14">
      <c r="A1" t="s">
        <v>56</v>
      </c>
      <c r="B1" t="s">
        <v>2077</v>
      </c>
      <c r="C1" t="s">
        <v>68</v>
      </c>
      <c r="D1" t="s">
        <v>80</v>
      </c>
      <c r="E1" t="s">
        <v>1830</v>
      </c>
      <c r="F1" t="s">
        <v>1831</v>
      </c>
      <c r="G1" t="s">
        <v>1832</v>
      </c>
      <c r="H1" t="s">
        <v>2078</v>
      </c>
      <c r="I1" t="s">
        <v>2079</v>
      </c>
      <c r="J1" t="s">
        <v>1833</v>
      </c>
      <c r="K1" t="s">
        <v>1834</v>
      </c>
      <c r="L1" t="s">
        <v>1835</v>
      </c>
      <c r="M1" t="s">
        <v>1836</v>
      </c>
      <c r="N1" t="s">
        <v>1837</v>
      </c>
    </row>
    <row r="2" spans="1:14">
      <c r="A2" t="s">
        <v>1903</v>
      </c>
      <c r="B2" t="str">
        <f>_xlfn.XLOOKUP(outTable[[#This Row],[ID Silk]],Tabella4[ID Silk],Tabella4[Titolo Defect],,0,1)</f>
        <v>Insurance Brocker - 10.1.3.1 Informazioni e correlazioni - D001 Modello CAI - LN (:</v>
      </c>
      <c r="C2" t="s">
        <v>2036</v>
      </c>
      <c r="D2" t="s">
        <v>1023</v>
      </c>
      <c r="E2" t="s">
        <v>1904</v>
      </c>
      <c r="F2">
        <v>5958</v>
      </c>
      <c r="G2" t="s">
        <v>1023</v>
      </c>
      <c r="H2" t="s">
        <v>196</v>
      </c>
      <c r="I2" t="s">
        <v>30</v>
      </c>
      <c r="J2" t="s">
        <v>1905</v>
      </c>
      <c r="K2" t="s">
        <v>1906</v>
      </c>
      <c r="L2">
        <v>0</v>
      </c>
      <c r="M2" t="s">
        <v>2075</v>
      </c>
      <c r="N2" t="s">
        <v>2076</v>
      </c>
    </row>
    <row r="3" spans="1:14">
      <c r="A3" t="s">
        <v>1907</v>
      </c>
      <c r="B3" t="str">
        <f>_xlfn.XLOOKUP(outTable[[#This Row],[ID Silk]],Tabella4[ID Silk],Tabella4[Titolo Defect],,0,1)</f>
        <v>Insurance Brocker - 10.1.3.2 Sequenza significativa - D001 Modello CAI - LN (:</v>
      </c>
      <c r="C3" t="s">
        <v>2037</v>
      </c>
      <c r="D3" t="s">
        <v>1007</v>
      </c>
      <c r="E3" t="s">
        <v>1908</v>
      </c>
      <c r="F3">
        <v>5959</v>
      </c>
      <c r="G3" t="s">
        <v>1007</v>
      </c>
      <c r="H3" t="s">
        <v>196</v>
      </c>
      <c r="I3" t="s">
        <v>131</v>
      </c>
      <c r="J3" t="s">
        <v>1909</v>
      </c>
      <c r="K3" t="s">
        <v>1910</v>
      </c>
      <c r="L3">
        <v>0</v>
      </c>
      <c r="M3" t="s">
        <v>2075</v>
      </c>
      <c r="N3" t="s">
        <v>2076</v>
      </c>
    </row>
    <row r="4" spans="1:14">
      <c r="A4" t="s">
        <v>1919</v>
      </c>
      <c r="B4" t="str">
        <f>_xlfn.XLOOKUP(outTable[[#This Row],[ID Silk]],Tabella4[ID Silk],Tabella4[Titolo Defect],,0,1)</f>
        <v>Insurance Brocker - 10.1.4.3 Contrasto (minimo) - D001 Modello CAI - LN (:</v>
      </c>
      <c r="C4" t="s">
        <v>2040</v>
      </c>
      <c r="D4" t="s">
        <v>1023</v>
      </c>
      <c r="E4" t="s">
        <v>1920</v>
      </c>
      <c r="F4">
        <v>5960</v>
      </c>
      <c r="G4" t="s">
        <v>1023</v>
      </c>
      <c r="H4" t="s">
        <v>196</v>
      </c>
      <c r="I4" t="s">
        <v>32</v>
      </c>
      <c r="J4" t="s">
        <v>1921</v>
      </c>
      <c r="K4" t="s">
        <v>1922</v>
      </c>
      <c r="L4">
        <v>0</v>
      </c>
      <c r="M4" t="s">
        <v>2075</v>
      </c>
      <c r="N4" t="s">
        <v>2076</v>
      </c>
    </row>
    <row r="5" spans="1:14">
      <c r="A5" t="s">
        <v>1911</v>
      </c>
      <c r="B5" t="str">
        <f>_xlfn.XLOOKUP(outTable[[#This Row],[ID Silk]],Tabella4[ID Silk],Tabella4[Titolo Defect],,0,1)</f>
        <v>Insurance Brocker - 10.2.4.2 Titolazione della pagina - D001 Modello CAI - LN (:</v>
      </c>
      <c r="C5" t="s">
        <v>2038</v>
      </c>
      <c r="D5" t="s">
        <v>1195</v>
      </c>
      <c r="E5" t="s">
        <v>1912</v>
      </c>
      <c r="F5">
        <v>5961</v>
      </c>
      <c r="G5" t="s">
        <v>1195</v>
      </c>
      <c r="H5" t="s">
        <v>196</v>
      </c>
      <c r="I5" t="s">
        <v>33</v>
      </c>
      <c r="J5" t="s">
        <v>1913</v>
      </c>
      <c r="K5" t="s">
        <v>1914</v>
      </c>
      <c r="L5">
        <v>0</v>
      </c>
      <c r="M5" t="s">
        <v>2075</v>
      </c>
      <c r="N5" t="s">
        <v>2076</v>
      </c>
    </row>
    <row r="6" spans="1:14">
      <c r="A6" t="s">
        <v>1915</v>
      </c>
      <c r="B6" t="str">
        <f>_xlfn.XLOOKUP(outTable[[#This Row],[ID Silk]],Tabella4[ID Silk],Tabella4[Titolo Defect],,0,1)</f>
        <v>Insurance Brocker - 10.3.1.1 Lingua della pagina - D001 Modello CAI - LN (:</v>
      </c>
      <c r="C6" t="s">
        <v>2039</v>
      </c>
      <c r="D6" t="s">
        <v>1036</v>
      </c>
      <c r="E6" t="s">
        <v>1916</v>
      </c>
      <c r="F6">
        <v>5962</v>
      </c>
      <c r="G6" t="s">
        <v>1036</v>
      </c>
      <c r="H6" t="s">
        <v>196</v>
      </c>
      <c r="I6" t="s">
        <v>35</v>
      </c>
      <c r="J6" t="s">
        <v>1917</v>
      </c>
      <c r="K6" t="s">
        <v>1918</v>
      </c>
      <c r="L6">
        <v>0</v>
      </c>
      <c r="M6" t="s">
        <v>2075</v>
      </c>
      <c r="N6" t="s">
        <v>2076</v>
      </c>
    </row>
    <row r="7" spans="1:14">
      <c r="A7" t="s">
        <v>1923</v>
      </c>
      <c r="B7" t="str">
        <f>_xlfn.XLOOKUP(outTable[[#This Row],[ID Silk]],Tabella4[ID Silk],Tabella4[Titolo Defect],,0,1)</f>
        <v>Insurance Brocker - 10.3.1.2 Parti in lingua - D001 Modello CAI - LN (:</v>
      </c>
      <c r="C7" t="s">
        <v>2041</v>
      </c>
      <c r="D7" t="s">
        <v>1023</v>
      </c>
      <c r="E7" t="s">
        <v>1924</v>
      </c>
      <c r="F7">
        <v>5963</v>
      </c>
      <c r="G7" t="s">
        <v>1023</v>
      </c>
      <c r="H7" t="s">
        <v>196</v>
      </c>
      <c r="I7" t="s">
        <v>1925</v>
      </c>
      <c r="J7" t="s">
        <v>1926</v>
      </c>
      <c r="K7" t="s">
        <v>1927</v>
      </c>
      <c r="L7">
        <v>0</v>
      </c>
      <c r="M7" t="s">
        <v>2075</v>
      </c>
      <c r="N7" t="s">
        <v>2076</v>
      </c>
    </row>
    <row r="8" spans="1:14">
      <c r="A8" t="s">
        <v>1928</v>
      </c>
      <c r="B8" t="str">
        <f>_xlfn.XLOOKUP(outTable[[#This Row],[ID Silk]],Tabella4[ID Silk],Tabella4[Titolo Defect],,0,1)</f>
        <v>Insurance Brocker - 10.1.3.1 Informazioni e correlazioni - D002 Modello CAI - GN:</v>
      </c>
      <c r="C8" t="s">
        <v>1929</v>
      </c>
      <c r="D8" t="s">
        <v>1036</v>
      </c>
      <c r="E8" t="s">
        <v>1930</v>
      </c>
      <c r="F8">
        <v>5964</v>
      </c>
      <c r="G8" t="s">
        <v>1036</v>
      </c>
      <c r="H8" t="s">
        <v>202</v>
      </c>
      <c r="I8" t="s">
        <v>30</v>
      </c>
      <c r="J8" t="s">
        <v>1931</v>
      </c>
      <c r="K8" t="s">
        <v>1932</v>
      </c>
      <c r="L8">
        <v>0</v>
      </c>
      <c r="M8" t="s">
        <v>2075</v>
      </c>
      <c r="N8" t="s">
        <v>2076</v>
      </c>
    </row>
    <row r="9" spans="1:14">
      <c r="A9" t="s">
        <v>1933</v>
      </c>
      <c r="B9" t="str">
        <f>_xlfn.XLOOKUP(outTable[[#This Row],[ID Silk]],Tabella4[ID Silk],Tabella4[Titolo Defect],,0,1)</f>
        <v>Insurance Brocker - 10.1.3.2 Sequenza significativa - D002 Modello CAI - GN:</v>
      </c>
      <c r="C9" t="s">
        <v>1934</v>
      </c>
      <c r="D9" t="s">
        <v>1007</v>
      </c>
      <c r="E9" t="s">
        <v>1935</v>
      </c>
      <c r="F9">
        <v>5965</v>
      </c>
      <c r="G9" t="s">
        <v>1007</v>
      </c>
      <c r="H9" t="s">
        <v>202</v>
      </c>
      <c r="I9" t="s">
        <v>131</v>
      </c>
      <c r="J9" t="s">
        <v>1909</v>
      </c>
      <c r="K9" t="s">
        <v>1910</v>
      </c>
      <c r="L9">
        <v>0</v>
      </c>
      <c r="M9" t="s">
        <v>2075</v>
      </c>
      <c r="N9" t="s">
        <v>2076</v>
      </c>
    </row>
    <row r="10" spans="1:14">
      <c r="A10" t="s">
        <v>1944</v>
      </c>
      <c r="B10" t="str">
        <f>_xlfn.XLOOKUP(outTable[[#This Row],[ID Silk]],Tabella4[ID Silk],Tabella4[Titolo Defect],,0,1)</f>
        <v>Insurance Brocker - 10.1.4.3 Contrasto (minimo) - D002 Modello CAI - GN:</v>
      </c>
      <c r="C10" t="s">
        <v>1945</v>
      </c>
      <c r="D10" t="s">
        <v>1023</v>
      </c>
      <c r="E10" t="s">
        <v>1946</v>
      </c>
      <c r="F10">
        <v>5968</v>
      </c>
      <c r="G10" t="s">
        <v>1023</v>
      </c>
      <c r="H10" t="s">
        <v>202</v>
      </c>
      <c r="I10" t="s">
        <v>32</v>
      </c>
      <c r="J10" t="s">
        <v>1921</v>
      </c>
      <c r="K10" t="s">
        <v>1922</v>
      </c>
      <c r="L10">
        <v>0</v>
      </c>
      <c r="M10" t="s">
        <v>2075</v>
      </c>
      <c r="N10" t="s">
        <v>2076</v>
      </c>
    </row>
    <row r="11" spans="1:14">
      <c r="A11" t="s">
        <v>1936</v>
      </c>
      <c r="B11" t="str">
        <f>_xlfn.XLOOKUP(outTable[[#This Row],[ID Silk]],Tabella4[ID Silk],Tabella4[Titolo Defect],,0,1)</f>
        <v>Insurance Brocker - 10.2.4.2 Titolazione della pagina - D002 Modello CAI - GN:</v>
      </c>
      <c r="C11" t="s">
        <v>1937</v>
      </c>
      <c r="D11" t="s">
        <v>1195</v>
      </c>
      <c r="E11" t="s">
        <v>1938</v>
      </c>
      <c r="F11">
        <v>5969</v>
      </c>
      <c r="G11" t="s">
        <v>1195</v>
      </c>
      <c r="H11" t="s">
        <v>202</v>
      </c>
      <c r="I11" t="s">
        <v>33</v>
      </c>
      <c r="J11" t="s">
        <v>1939</v>
      </c>
      <c r="K11" t="s">
        <v>1940</v>
      </c>
      <c r="L11">
        <v>0</v>
      </c>
      <c r="M11" t="s">
        <v>2075</v>
      </c>
      <c r="N11" t="s">
        <v>2076</v>
      </c>
    </row>
    <row r="12" spans="1:14">
      <c r="A12" t="s">
        <v>1941</v>
      </c>
      <c r="B12" t="str">
        <f>_xlfn.XLOOKUP(outTable[[#This Row],[ID Silk]],Tabella4[ID Silk],Tabella4[Titolo Defect],,0,1)</f>
        <v>Insurance Brocker - 10.3.1.1 Lingua della pagina - D002 Modello CAI - GN:</v>
      </c>
      <c r="C12" t="s">
        <v>1942</v>
      </c>
      <c r="D12" t="s">
        <v>1036</v>
      </c>
      <c r="E12" t="s">
        <v>1943</v>
      </c>
      <c r="F12">
        <v>5971</v>
      </c>
      <c r="G12" t="s">
        <v>1036</v>
      </c>
      <c r="H12" t="s">
        <v>202</v>
      </c>
      <c r="I12" t="s">
        <v>35</v>
      </c>
      <c r="J12" t="s">
        <v>1917</v>
      </c>
      <c r="K12" t="s">
        <v>1918</v>
      </c>
      <c r="L12">
        <v>0</v>
      </c>
      <c r="M12" t="s">
        <v>2075</v>
      </c>
      <c r="N12" t="s">
        <v>2076</v>
      </c>
    </row>
    <row r="13" spans="1:14">
      <c r="A13" t="s">
        <v>1947</v>
      </c>
      <c r="B13" t="str">
        <f>_xlfn.XLOOKUP(outTable[[#This Row],[ID Silk]],Tabella4[ID Silk],Tabella4[Titolo Defect],,0,1)</f>
        <v>Insurance Brocker - 10.3.1.2 Parti in lingua - D002 Modello CAI - GN:</v>
      </c>
      <c r="C13" t="s">
        <v>1948</v>
      </c>
      <c r="D13" t="s">
        <v>1023</v>
      </c>
      <c r="E13" t="s">
        <v>1949</v>
      </c>
      <c r="F13">
        <v>5973</v>
      </c>
      <c r="G13" t="s">
        <v>1023</v>
      </c>
      <c r="H13" t="s">
        <v>202</v>
      </c>
      <c r="I13" t="s">
        <v>1925</v>
      </c>
      <c r="J13" t="s">
        <v>1926</v>
      </c>
      <c r="K13" t="s">
        <v>1927</v>
      </c>
      <c r="L13">
        <v>0</v>
      </c>
      <c r="M13" t="s">
        <v>2075</v>
      </c>
      <c r="N13" t="s">
        <v>2076</v>
      </c>
    </row>
    <row r="14" spans="1:14">
      <c r="A14" t="s">
        <v>1950</v>
      </c>
      <c r="B14" t="str">
        <f>_xlfn.XLOOKUP(outTable[[#This Row],[ID Silk]],Tabella4[ID Silk],Tabella4[Titolo Defect],,0,1)</f>
        <v>Insurance Brocker - 10.1.3.1 Informazioni e correlazioni - D003 RCA Poste Guidare Sicuri Genertel:</v>
      </c>
      <c r="C14" t="s">
        <v>1951</v>
      </c>
      <c r="D14" t="s">
        <v>1023</v>
      </c>
      <c r="E14" t="s">
        <v>1952</v>
      </c>
      <c r="F14">
        <v>5976</v>
      </c>
      <c r="G14" t="s">
        <v>1023</v>
      </c>
      <c r="H14" t="s">
        <v>207</v>
      </c>
      <c r="I14" t="s">
        <v>30</v>
      </c>
      <c r="J14" t="s">
        <v>1953</v>
      </c>
      <c r="K14" t="s">
        <v>1954</v>
      </c>
      <c r="L14">
        <v>0</v>
      </c>
      <c r="M14" t="s">
        <v>2075</v>
      </c>
      <c r="N14" t="s">
        <v>2076</v>
      </c>
    </row>
    <row r="15" spans="1:14">
      <c r="A15" t="s">
        <v>1955</v>
      </c>
      <c r="B15" t="str">
        <f>_xlfn.XLOOKUP(outTable[[#This Row],[ID Silk]],Tabella4[ID Silk],Tabella4[Titolo Defect],,0,1)</f>
        <v>Insurance Brocker - 10.1.3.2 Sequenza significativa - D003 RCA Poste Guidare Sicuri Genertel:</v>
      </c>
      <c r="C15" t="s">
        <v>1956</v>
      </c>
      <c r="D15" t="s">
        <v>1007</v>
      </c>
      <c r="E15" t="s">
        <v>1957</v>
      </c>
      <c r="F15">
        <v>5977</v>
      </c>
      <c r="G15" t="s">
        <v>1007</v>
      </c>
      <c r="H15" t="s">
        <v>207</v>
      </c>
      <c r="I15" t="s">
        <v>131</v>
      </c>
      <c r="J15" t="s">
        <v>1909</v>
      </c>
      <c r="K15" t="s">
        <v>1910</v>
      </c>
      <c r="L15">
        <v>0</v>
      </c>
      <c r="M15" t="s">
        <v>2075</v>
      </c>
      <c r="N15" t="s">
        <v>2076</v>
      </c>
    </row>
    <row r="16" spans="1:14">
      <c r="A16" t="s">
        <v>1961</v>
      </c>
      <c r="B16" t="str">
        <f>_xlfn.XLOOKUP(outTable[[#This Row],[ID Silk]],Tabella4[ID Silk],Tabella4[Titolo Defect],,0,1)</f>
        <v>Insurance Brocker - 10.1.4.3 Contrasto (minimo) - D003 RCA Poste Guidare Sicuri Genertel:</v>
      </c>
      <c r="C16" t="s">
        <v>1962</v>
      </c>
      <c r="D16" t="s">
        <v>1023</v>
      </c>
      <c r="E16" t="s">
        <v>1963</v>
      </c>
      <c r="F16">
        <v>5978</v>
      </c>
      <c r="G16" t="s">
        <v>1023</v>
      </c>
      <c r="H16" t="s">
        <v>207</v>
      </c>
      <c r="I16" t="s">
        <v>32</v>
      </c>
      <c r="J16" t="s">
        <v>1921</v>
      </c>
      <c r="K16" t="s">
        <v>1922</v>
      </c>
      <c r="L16">
        <v>0</v>
      </c>
      <c r="M16" t="s">
        <v>2075</v>
      </c>
      <c r="N16" t="s">
        <v>2076</v>
      </c>
    </row>
    <row r="17" spans="1:14">
      <c r="A17" t="s">
        <v>1958</v>
      </c>
      <c r="B17" t="str">
        <f>_xlfn.XLOOKUP(outTable[[#This Row],[ID Silk]],Tabella4[ID Silk],Tabella4[Titolo Defect],,0,1)</f>
        <v>Insurance Brocker - 10.2.4.2 Titolazione della pagina - D003 RCA Poste Guidare Sicuri Genertel:</v>
      </c>
      <c r="C17" t="s">
        <v>1959</v>
      </c>
      <c r="D17" t="s">
        <v>1195</v>
      </c>
      <c r="E17" t="s">
        <v>1960</v>
      </c>
      <c r="F17">
        <v>5980</v>
      </c>
      <c r="G17" t="s">
        <v>1195</v>
      </c>
      <c r="H17" t="s">
        <v>207</v>
      </c>
      <c r="I17" t="s">
        <v>33</v>
      </c>
      <c r="J17" t="s">
        <v>1913</v>
      </c>
      <c r="K17" t="s">
        <v>1914</v>
      </c>
      <c r="L17">
        <v>0</v>
      </c>
      <c r="M17" t="s">
        <v>2075</v>
      </c>
      <c r="N17" t="s">
        <v>2076</v>
      </c>
    </row>
    <row r="18" spans="1:14">
      <c r="A18" t="s">
        <v>1975</v>
      </c>
      <c r="B18" t="str">
        <f>_xlfn.XLOOKUP(outTable[[#This Row],[ID Silk]],Tabella4[ID Silk],Tabella4[Titolo Defect],,0,1)</f>
        <v>Insurance Brocker - 10.1.1.1 Contenuti non testuali - D004 RCA Poste Guidare Sicuri Linear:</v>
      </c>
      <c r="C18" t="s">
        <v>1976</v>
      </c>
      <c r="D18" t="s">
        <v>1023</v>
      </c>
      <c r="E18" t="s">
        <v>1977</v>
      </c>
      <c r="F18">
        <v>5984</v>
      </c>
      <c r="G18" t="s">
        <v>1023</v>
      </c>
      <c r="H18" t="s">
        <v>213</v>
      </c>
      <c r="I18" t="s">
        <v>29</v>
      </c>
      <c r="J18" t="s">
        <v>1978</v>
      </c>
      <c r="K18" t="s">
        <v>1979</v>
      </c>
      <c r="L18">
        <v>0</v>
      </c>
      <c r="M18" t="s">
        <v>2075</v>
      </c>
      <c r="N18" t="s">
        <v>2076</v>
      </c>
    </row>
    <row r="19" spans="1:14">
      <c r="A19" t="s">
        <v>1964</v>
      </c>
      <c r="B19" t="str">
        <f>_xlfn.XLOOKUP(outTable[[#This Row],[ID Silk]],Tabella4[ID Silk],Tabella4[Titolo Defect],,0,1)</f>
        <v>Insurance Brocker - 10.1.3.1 Informazioni e correlazioni - D004 RCA Poste Guidare Sicuri Linear:</v>
      </c>
      <c r="C19" t="s">
        <v>1965</v>
      </c>
      <c r="D19" t="s">
        <v>1036</v>
      </c>
      <c r="E19" t="s">
        <v>1966</v>
      </c>
      <c r="F19">
        <v>5987</v>
      </c>
      <c r="G19" t="s">
        <v>1036</v>
      </c>
      <c r="H19" t="s">
        <v>213</v>
      </c>
      <c r="I19" t="s">
        <v>30</v>
      </c>
      <c r="J19" t="s">
        <v>1967</v>
      </c>
      <c r="K19" t="s">
        <v>1968</v>
      </c>
      <c r="L19">
        <v>0</v>
      </c>
      <c r="M19" t="s">
        <v>2075</v>
      </c>
      <c r="N19" t="s">
        <v>2076</v>
      </c>
    </row>
    <row r="20" spans="1:14">
      <c r="A20" t="s">
        <v>1980</v>
      </c>
      <c r="B20" t="str">
        <f>_xlfn.XLOOKUP(outTable[[#This Row],[ID Silk]],Tabella4[ID Silk],Tabella4[Titolo Defect],,0,1)</f>
        <v>Insurance Brocker - 10.1.4.3 Contrasto (minimo) - D004 RCA Poste Guidare Sicuri Linear:</v>
      </c>
      <c r="C20" t="s">
        <v>1981</v>
      </c>
      <c r="D20" t="s">
        <v>1023</v>
      </c>
      <c r="E20" t="s">
        <v>1982</v>
      </c>
      <c r="F20">
        <v>5988</v>
      </c>
      <c r="G20" t="s">
        <v>1023</v>
      </c>
      <c r="H20" t="s">
        <v>213</v>
      </c>
      <c r="I20" t="s">
        <v>32</v>
      </c>
      <c r="J20" t="s">
        <v>1921</v>
      </c>
      <c r="K20" t="s">
        <v>1922</v>
      </c>
      <c r="L20">
        <v>0</v>
      </c>
      <c r="M20" t="s">
        <v>2075</v>
      </c>
      <c r="N20" t="s">
        <v>2076</v>
      </c>
    </row>
    <row r="21" spans="1:14">
      <c r="A21" t="s">
        <v>1969</v>
      </c>
      <c r="B21" t="str">
        <f>_xlfn.XLOOKUP(outTable[[#This Row],[ID Silk]],Tabella4[ID Silk],Tabella4[Titolo Defect],,0,1)</f>
        <v>Insurance Brocker - 10.2.4.2 Titolazione della pagina - D004 RCA Poste Guidare Sicuri Linear:</v>
      </c>
      <c r="C21" t="s">
        <v>1970</v>
      </c>
      <c r="D21" t="s">
        <v>1195</v>
      </c>
      <c r="E21" t="s">
        <v>1971</v>
      </c>
      <c r="F21">
        <v>5989</v>
      </c>
      <c r="G21" t="s">
        <v>1195</v>
      </c>
      <c r="H21" t="s">
        <v>213</v>
      </c>
      <c r="I21" t="s">
        <v>33</v>
      </c>
      <c r="J21" t="s">
        <v>1913</v>
      </c>
      <c r="K21" t="s">
        <v>1914</v>
      </c>
      <c r="L21">
        <v>0</v>
      </c>
      <c r="M21" t="s">
        <v>2075</v>
      </c>
      <c r="N21" t="s">
        <v>2076</v>
      </c>
    </row>
    <row r="22" spans="1:14">
      <c r="A22" t="s">
        <v>1972</v>
      </c>
      <c r="B22" t="str">
        <f>_xlfn.XLOOKUP(outTable[[#This Row],[ID Silk]],Tabella4[ID Silk],Tabella4[Titolo Defect],,0,1)</f>
        <v>Insurance Brocker - 10.3.1.1 Lingua della pagina - D004 RCA Poste Guidare Sicuri Linear:</v>
      </c>
      <c r="C22" t="s">
        <v>1973</v>
      </c>
      <c r="D22" t="s">
        <v>1036</v>
      </c>
      <c r="E22" t="s">
        <v>1974</v>
      </c>
      <c r="F22">
        <v>5990</v>
      </c>
      <c r="G22" t="s">
        <v>1036</v>
      </c>
      <c r="H22" t="s">
        <v>213</v>
      </c>
      <c r="I22" t="s">
        <v>35</v>
      </c>
      <c r="J22" t="s">
        <v>1917</v>
      </c>
      <c r="K22" t="s">
        <v>1918</v>
      </c>
      <c r="L22">
        <v>0</v>
      </c>
      <c r="M22" t="s">
        <v>2075</v>
      </c>
      <c r="N22" t="s">
        <v>2076</v>
      </c>
    </row>
    <row r="23" spans="1:14">
      <c r="A23" t="s">
        <v>1983</v>
      </c>
      <c r="B23" t="str">
        <f>_xlfn.XLOOKUP(outTable[[#This Row],[ID Silk]],Tabella4[ID Silk],Tabella4[Titolo Defect],,0,1)</f>
        <v>Insurance Brocker - 10.3.1.2 Parti in lingua - D004 RCA Poste Guidare Sicuri Linear:</v>
      </c>
      <c r="C23" t="s">
        <v>1984</v>
      </c>
      <c r="D23" t="s">
        <v>1023</v>
      </c>
      <c r="E23" t="s">
        <v>1985</v>
      </c>
      <c r="F23">
        <v>5992</v>
      </c>
      <c r="G23" t="s">
        <v>1023</v>
      </c>
      <c r="H23" t="s">
        <v>213</v>
      </c>
      <c r="I23" t="s">
        <v>1925</v>
      </c>
      <c r="J23" t="s">
        <v>1986</v>
      </c>
      <c r="K23" t="s">
        <v>1987</v>
      </c>
      <c r="L23">
        <v>0</v>
      </c>
      <c r="M23" t="s">
        <v>2075</v>
      </c>
      <c r="N23" t="s">
        <v>2076</v>
      </c>
    </row>
    <row r="24" spans="1:14">
      <c r="A24" t="s">
        <v>1996</v>
      </c>
      <c r="B24" t="str">
        <f>_xlfn.XLOOKUP(outTable[[#This Row],[ID Silk]],Tabella4[ID Silk],Tabella4[Titolo Defect],,0,1)</f>
        <v>Insurance Brocker - 10.1.1.1 Contenuti non testuali - D005 Set informativo:</v>
      </c>
      <c r="C24" t="s">
        <v>1997</v>
      </c>
      <c r="D24" t="s">
        <v>1023</v>
      </c>
      <c r="E24" t="s">
        <v>1998</v>
      </c>
      <c r="F24">
        <v>5994</v>
      </c>
      <c r="G24" t="s">
        <v>1023</v>
      </c>
      <c r="H24" t="s">
        <v>218</v>
      </c>
      <c r="I24" t="s">
        <v>29</v>
      </c>
      <c r="J24" t="s">
        <v>1999</v>
      </c>
      <c r="K24" t="s">
        <v>2000</v>
      </c>
      <c r="L24">
        <v>0</v>
      </c>
      <c r="M24" t="s">
        <v>2075</v>
      </c>
      <c r="N24" t="s">
        <v>2076</v>
      </c>
    </row>
    <row r="25" spans="1:14">
      <c r="A25" t="s">
        <v>1988</v>
      </c>
      <c r="B25" t="str">
        <f>_xlfn.XLOOKUP(outTable[[#This Row],[ID Silk]],Tabella4[ID Silk],Tabella4[Titolo Defect],,0,1)</f>
        <v>Insurance Brocker - 10.1.3.1 Informazioni e correlazioni - D005 Set informativo:</v>
      </c>
      <c r="C25" t="s">
        <v>1989</v>
      </c>
      <c r="D25" t="s">
        <v>1036</v>
      </c>
      <c r="E25" t="s">
        <v>1990</v>
      </c>
      <c r="F25">
        <v>5996</v>
      </c>
      <c r="G25" t="s">
        <v>1036</v>
      </c>
      <c r="H25" t="s">
        <v>218</v>
      </c>
      <c r="I25" t="s">
        <v>30</v>
      </c>
      <c r="J25" t="s">
        <v>1967</v>
      </c>
      <c r="K25" t="s">
        <v>1968</v>
      </c>
      <c r="L25">
        <v>0</v>
      </c>
      <c r="M25" t="s">
        <v>2075</v>
      </c>
      <c r="N25" t="s">
        <v>2076</v>
      </c>
    </row>
    <row r="26" spans="1:14">
      <c r="A26" t="s">
        <v>2001</v>
      </c>
      <c r="B26" t="str">
        <f>_xlfn.XLOOKUP(outTable[[#This Row],[ID Silk]],Tabella4[ID Silk],Tabella4[Titolo Defect],,0,1)</f>
        <v>Insurance Brocker - 10.1.4.3 Contrasto (minimo) - D005 Set informativo:</v>
      </c>
      <c r="C26" t="s">
        <v>2002</v>
      </c>
      <c r="D26" t="s">
        <v>1023</v>
      </c>
      <c r="E26" t="s">
        <v>2003</v>
      </c>
      <c r="F26">
        <v>5998</v>
      </c>
      <c r="G26" t="s">
        <v>1023</v>
      </c>
      <c r="H26" t="s">
        <v>218</v>
      </c>
      <c r="I26" t="s">
        <v>32</v>
      </c>
      <c r="J26" t="s">
        <v>1921</v>
      </c>
      <c r="K26" t="s">
        <v>1922</v>
      </c>
      <c r="L26">
        <v>0</v>
      </c>
      <c r="M26" t="s">
        <v>2075</v>
      </c>
      <c r="N26" t="s">
        <v>2076</v>
      </c>
    </row>
    <row r="27" spans="1:14">
      <c r="A27" t="s">
        <v>1991</v>
      </c>
      <c r="B27" t="str">
        <f>_xlfn.XLOOKUP(outTable[[#This Row],[ID Silk]],Tabella4[ID Silk],Tabella4[Titolo Defect],,0,1)</f>
        <v>Insurance Brocker - 10.2.4.2 Titolazione della pagina - D005 Set informativo:</v>
      </c>
      <c r="C27" t="s">
        <v>1992</v>
      </c>
      <c r="D27" t="s">
        <v>1036</v>
      </c>
      <c r="E27" t="s">
        <v>1993</v>
      </c>
      <c r="F27">
        <v>6000</v>
      </c>
      <c r="G27" t="s">
        <v>1036</v>
      </c>
      <c r="H27" t="s">
        <v>218</v>
      </c>
      <c r="I27" t="s">
        <v>33</v>
      </c>
      <c r="J27" t="s">
        <v>1994</v>
      </c>
      <c r="K27" t="s">
        <v>1995</v>
      </c>
      <c r="L27">
        <v>0</v>
      </c>
      <c r="M27" t="s">
        <v>2075</v>
      </c>
      <c r="N27" t="s">
        <v>2076</v>
      </c>
    </row>
    <row r="28" spans="1:14">
      <c r="A28" t="s">
        <v>2068</v>
      </c>
      <c r="B28" t="str">
        <f>_xlfn.XLOOKUP(outTable[[#This Row],[ID Silk]],Tabella4[ID Silk],Tabella4[Titolo Defect],,0,1)</f>
        <v>Insurance Brocker - 9.1.3.1 Informazioni e correlazioni - S001 Homepage:</v>
      </c>
      <c r="C28" t="s">
        <v>2030</v>
      </c>
      <c r="D28" t="s">
        <v>1036</v>
      </c>
      <c r="E28" t="s">
        <v>1893</v>
      </c>
      <c r="F28">
        <v>6001</v>
      </c>
      <c r="G28" t="s">
        <v>1036</v>
      </c>
      <c r="H28" t="s">
        <v>122</v>
      </c>
      <c r="I28" t="s">
        <v>42</v>
      </c>
      <c r="J28" t="s">
        <v>1894</v>
      </c>
      <c r="K28" t="s">
        <v>1895</v>
      </c>
      <c r="L28">
        <v>0</v>
      </c>
      <c r="M28" t="s">
        <v>2075</v>
      </c>
      <c r="N28" t="s">
        <v>2076</v>
      </c>
    </row>
    <row r="29" spans="1:14">
      <c r="A29" t="s">
        <v>2065</v>
      </c>
      <c r="B29" t="str">
        <f>_xlfn.XLOOKUP(outTable[[#This Row],[ID Silk]],Tabella4[ID Silk],Tabella4[Titolo Defect],,0,1)</f>
        <v>Insurance Brocker - 9.1.4.3 Contrasto (minimo) - S001 Homepage:</v>
      </c>
      <c r="C29" t="s">
        <v>2027</v>
      </c>
      <c r="D29" t="s">
        <v>1023</v>
      </c>
      <c r="E29" t="s">
        <v>1888</v>
      </c>
      <c r="F29">
        <v>6002</v>
      </c>
      <c r="G29" t="s">
        <v>1023</v>
      </c>
      <c r="H29" t="s">
        <v>122</v>
      </c>
      <c r="I29" t="s">
        <v>45</v>
      </c>
      <c r="J29" t="s">
        <v>1859</v>
      </c>
      <c r="K29" t="s">
        <v>1860</v>
      </c>
      <c r="L29">
        <v>0</v>
      </c>
      <c r="M29" t="s">
        <v>2075</v>
      </c>
      <c r="N29" t="s">
        <v>2076</v>
      </c>
    </row>
    <row r="30" spans="1:14">
      <c r="A30" t="s">
        <v>2066</v>
      </c>
      <c r="B30" t="str">
        <f>_xlfn.XLOOKUP(outTable[[#This Row],[ID Silk]],Tabella4[ID Silk],Tabella4[Titolo Defect],,0,1)</f>
        <v>Insurance Brocker - 9.2.1.1 Tastiera - S001 Homepage:</v>
      </c>
      <c r="C30" t="s">
        <v>2028</v>
      </c>
      <c r="D30" t="s">
        <v>1007</v>
      </c>
      <c r="E30" t="s">
        <v>1889</v>
      </c>
      <c r="F30">
        <v>6003</v>
      </c>
      <c r="G30" t="s">
        <v>1007</v>
      </c>
      <c r="H30" t="s">
        <v>122</v>
      </c>
      <c r="I30" t="s">
        <v>47</v>
      </c>
      <c r="J30" t="s">
        <v>1882</v>
      </c>
      <c r="K30" t="s">
        <v>1883</v>
      </c>
      <c r="L30">
        <v>0</v>
      </c>
      <c r="M30" t="s">
        <v>2075</v>
      </c>
      <c r="N30" t="s">
        <v>2076</v>
      </c>
    </row>
    <row r="31" spans="1:14">
      <c r="A31" t="s">
        <v>2064</v>
      </c>
      <c r="B31" t="str">
        <f>_xlfn.XLOOKUP(outTable[[#This Row],[ID Silk]],Tabella4[ID Silk],Tabella4[Titolo Defect],,0,1)</f>
        <v>Insurance Brocker - 9.2.5.3 Etichetta nel nome - S001 Homepage:</v>
      </c>
      <c r="C31" t="s">
        <v>2026</v>
      </c>
      <c r="D31" t="s">
        <v>1023</v>
      </c>
      <c r="E31" t="s">
        <v>1887</v>
      </c>
      <c r="F31">
        <v>6005</v>
      </c>
      <c r="G31" t="s">
        <v>1023</v>
      </c>
      <c r="H31" t="s">
        <v>122</v>
      </c>
      <c r="I31" t="s">
        <v>244</v>
      </c>
      <c r="J31" t="s">
        <v>1856</v>
      </c>
      <c r="K31" t="s">
        <v>1857</v>
      </c>
      <c r="L31">
        <v>0</v>
      </c>
      <c r="M31" t="s">
        <v>2075</v>
      </c>
      <c r="N31" t="s">
        <v>2076</v>
      </c>
    </row>
    <row r="32" spans="1:14">
      <c r="A32" t="s">
        <v>2042</v>
      </c>
      <c r="B32" t="str">
        <f>_xlfn.XLOOKUP(outTable[[#This Row],[ID Silk]],Tabella4[ID Silk],Tabella4[Titolo Defect],,0,1)</f>
        <v>Insurance Brocker - 9.4.1.1 Analisi sintattica (parsing) - S001 Homepage:</v>
      </c>
      <c r="C32" t="s">
        <v>2004</v>
      </c>
      <c r="D32" t="s">
        <v>1007</v>
      </c>
      <c r="E32" t="s">
        <v>1838</v>
      </c>
      <c r="F32">
        <v>6007</v>
      </c>
      <c r="G32" t="s">
        <v>1007</v>
      </c>
      <c r="H32" t="s">
        <v>122</v>
      </c>
      <c r="I32" t="s">
        <v>53</v>
      </c>
      <c r="J32" t="s">
        <v>1839</v>
      </c>
      <c r="K32" t="s">
        <v>1840</v>
      </c>
      <c r="L32">
        <v>0</v>
      </c>
      <c r="M32" t="s">
        <v>2075</v>
      </c>
      <c r="N32" t="s">
        <v>2076</v>
      </c>
    </row>
    <row r="33" spans="1:14">
      <c r="A33" t="s">
        <v>2067</v>
      </c>
      <c r="B33" t="str">
        <f>_xlfn.XLOOKUP(outTable[[#This Row],[ID Silk]],Tabella4[ID Silk],Tabella4[Titolo Defect],,0,1)</f>
        <v>Insurance Brocker - 9.4.1.2 Nome, ruolo, valore - S001 Homepage:</v>
      </c>
      <c r="C33" t="s">
        <v>2029</v>
      </c>
      <c r="D33" t="s">
        <v>1007</v>
      </c>
      <c r="E33" t="s">
        <v>1890</v>
      </c>
      <c r="F33">
        <v>6009</v>
      </c>
      <c r="G33" t="s">
        <v>1007</v>
      </c>
      <c r="H33" t="s">
        <v>122</v>
      </c>
      <c r="I33" t="s">
        <v>54</v>
      </c>
      <c r="J33" t="s">
        <v>1891</v>
      </c>
      <c r="K33" t="s">
        <v>1892</v>
      </c>
      <c r="L33">
        <v>0</v>
      </c>
      <c r="M33" t="s">
        <v>2075</v>
      </c>
      <c r="N33" t="s">
        <v>2076</v>
      </c>
    </row>
    <row r="34" spans="1:14">
      <c r="A34" t="s">
        <v>2047</v>
      </c>
      <c r="B34" t="str">
        <f>_xlfn.XLOOKUP(outTable[[#This Row],[ID Silk]],Tabella4[ID Silk],Tabella4[Titolo Defect],,0,1)</f>
        <v>Insurance Brocker - 9.1.1.1 Contenuti non testuali - S002 Poste Guidare Sicuri:</v>
      </c>
      <c r="C34" t="s">
        <v>2009</v>
      </c>
      <c r="D34" t="s">
        <v>1007</v>
      </c>
      <c r="E34" t="s">
        <v>1845</v>
      </c>
      <c r="F34">
        <v>6004</v>
      </c>
      <c r="G34" t="s">
        <v>1007</v>
      </c>
      <c r="H34" t="s">
        <v>128</v>
      </c>
      <c r="I34" t="s">
        <v>39</v>
      </c>
      <c r="J34" t="s">
        <v>1846</v>
      </c>
      <c r="K34" t="s">
        <v>1847</v>
      </c>
      <c r="L34">
        <v>0</v>
      </c>
      <c r="M34" t="s">
        <v>2075</v>
      </c>
      <c r="N34" t="s">
        <v>2076</v>
      </c>
    </row>
    <row r="35" spans="1:14">
      <c r="A35" t="s">
        <v>2063</v>
      </c>
      <c r="B35" t="str">
        <f>_xlfn.XLOOKUP(outTable[[#This Row],[ID Silk]],Tabella4[ID Silk],Tabella4[Titolo Defect],,0,1)</f>
        <v>Insurance Brocker - 9.1.3.1 Informazioni e correlazioni - S002 Poste Guidare Sicuri:</v>
      </c>
      <c r="C35" t="s">
        <v>2025</v>
      </c>
      <c r="D35" t="s">
        <v>1036</v>
      </c>
      <c r="E35" t="s">
        <v>1884</v>
      </c>
      <c r="F35">
        <v>6006</v>
      </c>
      <c r="G35" t="s">
        <v>1036</v>
      </c>
      <c r="H35" t="s">
        <v>128</v>
      </c>
      <c r="I35" t="s">
        <v>42</v>
      </c>
      <c r="J35" t="s">
        <v>1885</v>
      </c>
      <c r="K35" t="s">
        <v>1886</v>
      </c>
      <c r="L35">
        <v>0</v>
      </c>
      <c r="M35" t="s">
        <v>2075</v>
      </c>
      <c r="N35" t="s">
        <v>2076</v>
      </c>
    </row>
    <row r="36" spans="1:14">
      <c r="A36" t="s">
        <v>2061</v>
      </c>
      <c r="B36" t="str">
        <f>_xlfn.XLOOKUP(outTable[[#This Row],[ID Silk]],Tabella4[ID Silk],Tabella4[Titolo Defect],,0,1)</f>
        <v>Insurance Brocker - 9.1.4.3 Contrasto (minimo) - S002 Poste Guidare Sicuri:</v>
      </c>
      <c r="C36" t="s">
        <v>2023</v>
      </c>
      <c r="D36" t="s">
        <v>1023</v>
      </c>
      <c r="E36" t="s">
        <v>1878</v>
      </c>
      <c r="F36">
        <v>6008</v>
      </c>
      <c r="G36" t="s">
        <v>1023</v>
      </c>
      <c r="H36" t="s">
        <v>128</v>
      </c>
      <c r="I36" t="s">
        <v>45</v>
      </c>
      <c r="J36" t="s">
        <v>1879</v>
      </c>
      <c r="K36" t="s">
        <v>1880</v>
      </c>
      <c r="L36">
        <v>0</v>
      </c>
      <c r="M36" t="s">
        <v>2075</v>
      </c>
      <c r="N36" t="s">
        <v>2076</v>
      </c>
    </row>
    <row r="37" spans="1:14">
      <c r="A37" t="s">
        <v>2048</v>
      </c>
      <c r="B37" t="str">
        <f>_xlfn.XLOOKUP(outTable[[#This Row],[ID Silk]],Tabella4[ID Silk],Tabella4[Titolo Defect],,0,1)</f>
        <v>Insurance Brocker - 9.1.4.4 Ridimensionamento del testo - S002 Poste Guidare Sicuri:</v>
      </c>
      <c r="C37" t="s">
        <v>2010</v>
      </c>
      <c r="D37" t="s">
        <v>1007</v>
      </c>
      <c r="E37" t="s">
        <v>1848</v>
      </c>
      <c r="F37">
        <v>6010</v>
      </c>
      <c r="G37" t="s">
        <v>1007</v>
      </c>
      <c r="H37" t="s">
        <v>128</v>
      </c>
      <c r="I37" t="s">
        <v>221</v>
      </c>
      <c r="J37" t="s">
        <v>1849</v>
      </c>
      <c r="K37" t="s">
        <v>1850</v>
      </c>
      <c r="L37">
        <v>0</v>
      </c>
      <c r="M37" t="s">
        <v>2075</v>
      </c>
      <c r="N37" t="s">
        <v>2076</v>
      </c>
    </row>
    <row r="38" spans="1:14">
      <c r="A38" t="s">
        <v>2062</v>
      </c>
      <c r="B38" t="str">
        <f>_xlfn.XLOOKUP(outTable[[#This Row],[ID Silk]],Tabella4[ID Silk],Tabella4[Titolo Defect],,0,1)</f>
        <v>Insurance Brocker - 9.2.1.1 Tastiera - S002 Poste Guidare Sicuri:</v>
      </c>
      <c r="C38" t="s">
        <v>2024</v>
      </c>
      <c r="D38" t="s">
        <v>1007</v>
      </c>
      <c r="E38" t="s">
        <v>1881</v>
      </c>
      <c r="F38">
        <v>6011</v>
      </c>
      <c r="G38" t="s">
        <v>1007</v>
      </c>
      <c r="H38" t="s">
        <v>128</v>
      </c>
      <c r="I38" t="s">
        <v>47</v>
      </c>
      <c r="J38" t="s">
        <v>1882</v>
      </c>
      <c r="K38" t="s">
        <v>1883</v>
      </c>
      <c r="L38">
        <v>0</v>
      </c>
      <c r="M38" t="s">
        <v>2075</v>
      </c>
      <c r="N38" t="s">
        <v>2076</v>
      </c>
    </row>
    <row r="39" spans="1:14">
      <c r="A39" t="s">
        <v>2069</v>
      </c>
      <c r="B39" t="str">
        <f>_xlfn.XLOOKUP(outTable[[#This Row],[ID Silk]],Tabella4[ID Silk],Tabella4[Titolo Defect],,0,1)</f>
        <v>Insurance Brocker - 9.2.4.3 Ordine del focus - S002 Poste Guidare Sicuri:</v>
      </c>
      <c r="C39" t="s">
        <v>2031</v>
      </c>
      <c r="D39" t="s">
        <v>1023</v>
      </c>
      <c r="E39" t="s">
        <v>1896</v>
      </c>
      <c r="F39">
        <v>6013</v>
      </c>
      <c r="G39" t="s">
        <v>1023</v>
      </c>
      <c r="H39" t="s">
        <v>128</v>
      </c>
      <c r="I39" t="s">
        <v>49</v>
      </c>
      <c r="J39" t="s">
        <v>1897</v>
      </c>
      <c r="K39" t="s">
        <v>1898</v>
      </c>
      <c r="L39">
        <v>0</v>
      </c>
      <c r="M39" t="s">
        <v>2075</v>
      </c>
      <c r="N39" t="s">
        <v>2076</v>
      </c>
    </row>
    <row r="40" spans="1:14">
      <c r="A40" t="s">
        <v>2059</v>
      </c>
      <c r="B40" t="str">
        <f>_xlfn.XLOOKUP(outTable[[#This Row],[ID Silk]],Tabella4[ID Silk],Tabella4[Titolo Defect],,0,1)</f>
        <v>Insurance Brocker - 9.2.5.3 Etichetta nel nome - S002 Poste Guidare Sicuri:</v>
      </c>
      <c r="C40" t="s">
        <v>2021</v>
      </c>
      <c r="D40" t="s">
        <v>1023</v>
      </c>
      <c r="E40" t="s">
        <v>1874</v>
      </c>
      <c r="F40">
        <v>6014</v>
      </c>
      <c r="G40" t="s">
        <v>1023</v>
      </c>
      <c r="H40" t="s">
        <v>128</v>
      </c>
      <c r="I40" t="s">
        <v>244</v>
      </c>
      <c r="J40" t="s">
        <v>1856</v>
      </c>
      <c r="K40" t="s">
        <v>1857</v>
      </c>
      <c r="L40">
        <v>0</v>
      </c>
      <c r="M40" t="s">
        <v>2075</v>
      </c>
      <c r="N40" t="s">
        <v>2076</v>
      </c>
    </row>
    <row r="41" spans="1:14">
      <c r="A41" t="s">
        <v>2046</v>
      </c>
      <c r="B41" t="str">
        <f>_xlfn.XLOOKUP(outTable[[#This Row],[ID Silk]],Tabella4[ID Silk],Tabella4[Titolo Defect],,0,1)</f>
        <v>Insurance Brocker - 9.4.1.1 Analisi sintattica (parsing) - S002 Poste Guidare Sicuri:</v>
      </c>
      <c r="C41" t="s">
        <v>2008</v>
      </c>
      <c r="D41" t="s">
        <v>1007</v>
      </c>
      <c r="E41" t="s">
        <v>1844</v>
      </c>
      <c r="F41">
        <v>6015</v>
      </c>
      <c r="G41" t="s">
        <v>1007</v>
      </c>
      <c r="H41" t="s">
        <v>128</v>
      </c>
      <c r="I41" t="s">
        <v>53</v>
      </c>
      <c r="J41" t="s">
        <v>1839</v>
      </c>
      <c r="K41" t="s">
        <v>1840</v>
      </c>
      <c r="L41">
        <v>0</v>
      </c>
      <c r="M41" t="s">
        <v>2075</v>
      </c>
      <c r="N41" t="s">
        <v>2076</v>
      </c>
    </row>
    <row r="42" spans="1:14">
      <c r="A42" t="s">
        <v>2060</v>
      </c>
      <c r="B42" t="str">
        <f>_xlfn.XLOOKUP(outTable[[#This Row],[ID Silk]],Tabella4[ID Silk],Tabella4[Titolo Defect],,0,1)</f>
        <v>Insurance Brocker - 9.4.1.2 Nome, ruolo, valore - S002 Poste Guidare Sicuri:</v>
      </c>
      <c r="C42" t="s">
        <v>2022</v>
      </c>
      <c r="D42" t="s">
        <v>1023</v>
      </c>
      <c r="E42" t="s">
        <v>1875</v>
      </c>
      <c r="F42">
        <v>6016</v>
      </c>
      <c r="G42" t="s">
        <v>1023</v>
      </c>
      <c r="H42" t="s">
        <v>128</v>
      </c>
      <c r="I42" t="s">
        <v>54</v>
      </c>
      <c r="J42" t="s">
        <v>1876</v>
      </c>
      <c r="K42" t="s">
        <v>1877</v>
      </c>
      <c r="L42">
        <v>0</v>
      </c>
      <c r="M42" t="s">
        <v>2075</v>
      </c>
      <c r="N42" t="s">
        <v>2076</v>
      </c>
    </row>
    <row r="43" spans="1:14">
      <c r="A43" t="s">
        <v>2053</v>
      </c>
      <c r="B43" t="str">
        <f>_xlfn.XLOOKUP(outTable[[#This Row],[ID Silk]],Tabella4[ID Silk],Tabella4[Titolo Defect],,0,1)</f>
        <v>Insurance Brocker - 9.1.3.1 Informazioni e correlazioni - S003 Assistenza:</v>
      </c>
      <c r="C43" t="s">
        <v>2015</v>
      </c>
      <c r="D43" t="s">
        <v>1036</v>
      </c>
      <c r="E43" t="s">
        <v>1861</v>
      </c>
      <c r="F43">
        <v>5966</v>
      </c>
      <c r="G43" t="s">
        <v>1036</v>
      </c>
      <c r="H43" t="s">
        <v>139</v>
      </c>
      <c r="I43" t="s">
        <v>42</v>
      </c>
      <c r="J43" t="s">
        <v>1862</v>
      </c>
      <c r="K43" t="s">
        <v>1863</v>
      </c>
      <c r="L43">
        <v>0</v>
      </c>
      <c r="M43" t="s">
        <v>2075</v>
      </c>
      <c r="N43" t="s">
        <v>2076</v>
      </c>
    </row>
    <row r="44" spans="1:14">
      <c r="A44" t="s">
        <v>2052</v>
      </c>
      <c r="B44" t="str">
        <f>_xlfn.XLOOKUP(outTable[[#This Row],[ID Silk]],Tabella4[ID Silk],Tabella4[Titolo Defect],,0,1)</f>
        <v>Insurance Brocker - 9.1.4.3 Contrasto (minimo) - S003 Assistenza:</v>
      </c>
      <c r="C44" t="s">
        <v>2014</v>
      </c>
      <c r="D44" t="s">
        <v>1023</v>
      </c>
      <c r="E44" t="s">
        <v>1858</v>
      </c>
      <c r="F44">
        <v>5967</v>
      </c>
      <c r="G44" t="s">
        <v>1023</v>
      </c>
      <c r="H44" t="s">
        <v>139</v>
      </c>
      <c r="I44" t="s">
        <v>45</v>
      </c>
      <c r="J44" t="s">
        <v>1859</v>
      </c>
      <c r="K44" t="s">
        <v>1860</v>
      </c>
      <c r="L44">
        <v>0</v>
      </c>
      <c r="M44" t="s">
        <v>2075</v>
      </c>
      <c r="N44" t="s">
        <v>2076</v>
      </c>
    </row>
    <row r="45" spans="1:14">
      <c r="A45" t="s">
        <v>2051</v>
      </c>
      <c r="B45" t="str">
        <f>_xlfn.XLOOKUP(outTable[[#This Row],[ID Silk]],Tabella4[ID Silk],Tabella4[Titolo Defect],,0,1)</f>
        <v>Insurance Brocker - 9.2.5.3 Etichetta nel nome - S003 Assistenza:</v>
      </c>
      <c r="C45" t="s">
        <v>2013</v>
      </c>
      <c r="D45" t="s">
        <v>1023</v>
      </c>
      <c r="E45" t="s">
        <v>1855</v>
      </c>
      <c r="F45">
        <v>5970</v>
      </c>
      <c r="G45" t="s">
        <v>1023</v>
      </c>
      <c r="H45" t="s">
        <v>139</v>
      </c>
      <c r="I45" t="s">
        <v>244</v>
      </c>
      <c r="J45" t="s">
        <v>1856</v>
      </c>
      <c r="K45" t="s">
        <v>1857</v>
      </c>
      <c r="L45">
        <v>0</v>
      </c>
      <c r="M45" t="s">
        <v>2075</v>
      </c>
      <c r="N45" t="s">
        <v>2076</v>
      </c>
    </row>
    <row r="46" spans="1:14">
      <c r="A46" t="s">
        <v>2054</v>
      </c>
      <c r="B46" t="str">
        <f>_xlfn.XLOOKUP(outTable[[#This Row],[ID Silk]],Tabella4[ID Silk],Tabella4[Titolo Defect],,0,1)</f>
        <v>Insurance Brocker - 9.3.2.1 Al focus - S003 Assistenza:</v>
      </c>
      <c r="C46" t="s">
        <v>2016</v>
      </c>
      <c r="D46" t="s">
        <v>1036</v>
      </c>
      <c r="E46" t="s">
        <v>1864</v>
      </c>
      <c r="F46">
        <v>5972</v>
      </c>
      <c r="G46" t="s">
        <v>1036</v>
      </c>
      <c r="H46" t="s">
        <v>139</v>
      </c>
      <c r="I46" t="s">
        <v>1865</v>
      </c>
      <c r="J46" t="s">
        <v>1866</v>
      </c>
      <c r="K46" t="s">
        <v>1867</v>
      </c>
      <c r="L46">
        <v>0</v>
      </c>
      <c r="M46" t="s">
        <v>2075</v>
      </c>
      <c r="N46" t="s">
        <v>2076</v>
      </c>
    </row>
    <row r="47" spans="1:14">
      <c r="A47" t="s">
        <v>2043</v>
      </c>
      <c r="B47" t="str">
        <f>_xlfn.XLOOKUP(outTable[[#This Row],[ID Silk]],Tabella4[ID Silk],Tabella4[Titolo Defect],,0,1)</f>
        <v>Insurance Brocker - 9.4.1.1 Analisi sintattica (parsing) - S003 Assistenza:</v>
      </c>
      <c r="C47" t="s">
        <v>2005</v>
      </c>
      <c r="D47" t="s">
        <v>1007</v>
      </c>
      <c r="E47" t="s">
        <v>1841</v>
      </c>
      <c r="F47">
        <v>5974</v>
      </c>
      <c r="G47" t="s">
        <v>1007</v>
      </c>
      <c r="H47" t="s">
        <v>139</v>
      </c>
      <c r="I47" t="s">
        <v>53</v>
      </c>
      <c r="J47" t="s">
        <v>1839</v>
      </c>
      <c r="K47" t="s">
        <v>1840</v>
      </c>
      <c r="L47">
        <v>0</v>
      </c>
      <c r="M47" t="s">
        <v>2075</v>
      </c>
      <c r="N47" t="s">
        <v>2076</v>
      </c>
    </row>
    <row r="48" spans="1:14">
      <c r="A48" t="s">
        <v>2049</v>
      </c>
      <c r="B48" t="str">
        <f>_xlfn.XLOOKUP(outTable[[#This Row],[ID Silk]],Tabella4[ID Silk],Tabella4[Titolo Defect],,0,1)</f>
        <v>Insurance Brocker - 9.4.1.2 Nome, ruolo, valore - S003 Assistenza:</v>
      </c>
      <c r="C48" t="s">
        <v>2011</v>
      </c>
      <c r="D48" t="s">
        <v>1023</v>
      </c>
      <c r="E48" t="s">
        <v>1851</v>
      </c>
      <c r="F48">
        <v>5975</v>
      </c>
      <c r="G48" t="s">
        <v>1023</v>
      </c>
      <c r="H48" t="s">
        <v>139</v>
      </c>
      <c r="I48" t="s">
        <v>54</v>
      </c>
      <c r="J48" t="s">
        <v>1852</v>
      </c>
      <c r="K48" t="s">
        <v>1853</v>
      </c>
      <c r="L48">
        <v>0</v>
      </c>
      <c r="M48" t="s">
        <v>2075</v>
      </c>
      <c r="N48" t="s">
        <v>2076</v>
      </c>
    </row>
    <row r="49" spans="1:14">
      <c r="A49" t="s">
        <v>2045</v>
      </c>
      <c r="B49" t="str">
        <f>_xlfn.XLOOKUP(outTable[[#This Row],[ID Silk]],Tabella4[ID Silk],Tabella4[Titolo Defect],,0,1)</f>
        <v>Insurance Brocker - 9.4.1.1 Analisi sintattica (parsing) - S004 Accessibilità:</v>
      </c>
      <c r="C49" t="s">
        <v>2007</v>
      </c>
      <c r="D49" t="s">
        <v>1007</v>
      </c>
      <c r="E49" t="s">
        <v>1843</v>
      </c>
      <c r="F49">
        <v>5979</v>
      </c>
      <c r="G49" t="s">
        <v>1007</v>
      </c>
      <c r="H49" t="s">
        <v>175</v>
      </c>
      <c r="I49" t="s">
        <v>53</v>
      </c>
      <c r="J49" t="s">
        <v>1839</v>
      </c>
      <c r="K49" t="s">
        <v>1840</v>
      </c>
      <c r="L49">
        <v>0</v>
      </c>
      <c r="M49" t="s">
        <v>2075</v>
      </c>
      <c r="N49" t="s">
        <v>2076</v>
      </c>
    </row>
    <row r="50" spans="1:14">
      <c r="A50" t="s">
        <v>2058</v>
      </c>
      <c r="B50" t="str">
        <f>_xlfn.XLOOKUP(outTable[[#This Row],[ID Silk]],Tabella4[ID Silk],Tabella4[Titolo Defect],,0,1)</f>
        <v>Insurance Brocker - 9.1.3.1 Informazioni e correlazioni - S005 Privacy Policy:</v>
      </c>
      <c r="C50" t="s">
        <v>2020</v>
      </c>
      <c r="D50" t="s">
        <v>1036</v>
      </c>
      <c r="E50" t="s">
        <v>1873</v>
      </c>
      <c r="F50">
        <v>5981</v>
      </c>
      <c r="G50" t="s">
        <v>1036</v>
      </c>
      <c r="H50" t="s">
        <v>182</v>
      </c>
      <c r="I50" t="s">
        <v>42</v>
      </c>
      <c r="J50" t="s">
        <v>1862</v>
      </c>
      <c r="K50" t="s">
        <v>1863</v>
      </c>
      <c r="L50">
        <v>0</v>
      </c>
      <c r="M50" t="s">
        <v>2075</v>
      </c>
      <c r="N50" t="s">
        <v>2076</v>
      </c>
    </row>
    <row r="51" spans="1:14">
      <c r="A51" t="s">
        <v>2057</v>
      </c>
      <c r="B51" t="str">
        <f>_xlfn.XLOOKUP(outTable[[#This Row],[ID Silk]],Tabella4[ID Silk],Tabella4[Titolo Defect],,0,1)</f>
        <v>Insurance Brocker - 9.1.4.3 Contrasto (minimo) - S005 Privacy Policy:</v>
      </c>
      <c r="C51" t="s">
        <v>2019</v>
      </c>
      <c r="D51" t="s">
        <v>1023</v>
      </c>
      <c r="E51" t="s">
        <v>1872</v>
      </c>
      <c r="F51">
        <v>5982</v>
      </c>
      <c r="G51" t="s">
        <v>1023</v>
      </c>
      <c r="H51" t="s">
        <v>182</v>
      </c>
      <c r="I51" t="s">
        <v>45</v>
      </c>
      <c r="J51" t="s">
        <v>1859</v>
      </c>
      <c r="K51" t="s">
        <v>1860</v>
      </c>
      <c r="L51">
        <v>0</v>
      </c>
      <c r="M51" t="s">
        <v>2075</v>
      </c>
      <c r="N51" t="s">
        <v>2076</v>
      </c>
    </row>
    <row r="52" spans="1:14">
      <c r="A52" t="s">
        <v>2055</v>
      </c>
      <c r="B52" t="str">
        <f>_xlfn.XLOOKUP(outTable[[#This Row],[ID Silk]],Tabella4[ID Silk],Tabella4[Titolo Defect],,0,1)</f>
        <v>Insurance Brocker - 9.2.5.3 Etichetta nel nome - S005 Privacy Policy:</v>
      </c>
      <c r="C52" t="s">
        <v>2017</v>
      </c>
      <c r="D52" t="s">
        <v>1023</v>
      </c>
      <c r="E52" t="s">
        <v>1868</v>
      </c>
      <c r="F52">
        <v>5983</v>
      </c>
      <c r="G52" t="s">
        <v>1023</v>
      </c>
      <c r="H52" t="s">
        <v>182</v>
      </c>
      <c r="I52" t="s">
        <v>244</v>
      </c>
      <c r="J52" t="s">
        <v>1856</v>
      </c>
      <c r="K52" t="s">
        <v>1857</v>
      </c>
      <c r="L52">
        <v>0</v>
      </c>
      <c r="M52" t="s">
        <v>2075</v>
      </c>
      <c r="N52" t="s">
        <v>2076</v>
      </c>
    </row>
    <row r="53" spans="1:14">
      <c r="A53" t="s">
        <v>2044</v>
      </c>
      <c r="B53" t="str">
        <f>_xlfn.XLOOKUP(outTable[[#This Row],[ID Silk]],Tabella4[ID Silk],Tabella4[Titolo Defect],,0,1)</f>
        <v>Insurance Brocker - 9.4.1.1 Analisi sintattica (parsing) - S005 Privacy Policy:</v>
      </c>
      <c r="C53" t="s">
        <v>2006</v>
      </c>
      <c r="D53" t="s">
        <v>1007</v>
      </c>
      <c r="E53" t="s">
        <v>1842</v>
      </c>
      <c r="F53">
        <v>5985</v>
      </c>
      <c r="G53" t="s">
        <v>1007</v>
      </c>
      <c r="H53" t="s">
        <v>182</v>
      </c>
      <c r="I53" t="s">
        <v>53</v>
      </c>
      <c r="J53" t="s">
        <v>1839</v>
      </c>
      <c r="K53" t="s">
        <v>1840</v>
      </c>
      <c r="L53">
        <v>0</v>
      </c>
      <c r="M53" t="s">
        <v>2075</v>
      </c>
      <c r="N53" t="s">
        <v>2076</v>
      </c>
    </row>
    <row r="54" spans="1:14">
      <c r="A54" t="s">
        <v>2056</v>
      </c>
      <c r="B54" t="str">
        <f>_xlfn.XLOOKUP(outTable[[#This Row],[ID Silk]],Tabella4[ID Silk],Tabella4[Titolo Defect],,0,1)</f>
        <v>Insurance Brocker - 9.4.1.2 Nome, ruolo, valore - S005 Privacy Policy:</v>
      </c>
      <c r="C54" t="s">
        <v>2018</v>
      </c>
      <c r="D54" t="s">
        <v>1023</v>
      </c>
      <c r="E54" t="s">
        <v>1869</v>
      </c>
      <c r="F54">
        <v>5986</v>
      </c>
      <c r="G54" t="s">
        <v>1023</v>
      </c>
      <c r="H54" t="s">
        <v>182</v>
      </c>
      <c r="I54" t="s">
        <v>54</v>
      </c>
      <c r="J54" t="s">
        <v>1870</v>
      </c>
      <c r="K54" t="s">
        <v>1871</v>
      </c>
      <c r="L54">
        <v>0</v>
      </c>
      <c r="M54" t="s">
        <v>2075</v>
      </c>
      <c r="N54" t="s">
        <v>2076</v>
      </c>
    </row>
    <row r="55" spans="1:14">
      <c r="A55" t="s">
        <v>2073</v>
      </c>
      <c r="B55" t="str">
        <f>_xlfn.XLOOKUP(outTable[[#This Row],[ID Silk]],Tabella4[ID Silk],Tabella4[Titolo Defect],,0,1)</f>
        <v>Insurance Brocker - 9.1.3.1 Informazioni e correlazioni - S006 L'azienda:</v>
      </c>
      <c r="C55" t="s">
        <v>2035</v>
      </c>
      <c r="D55" t="s">
        <v>1036</v>
      </c>
      <c r="E55" t="s">
        <v>1902</v>
      </c>
      <c r="F55">
        <v>5991</v>
      </c>
      <c r="G55" t="s">
        <v>1036</v>
      </c>
      <c r="H55" t="s">
        <v>189</v>
      </c>
      <c r="I55" t="s">
        <v>42</v>
      </c>
      <c r="J55" t="s">
        <v>1862</v>
      </c>
      <c r="K55" t="s">
        <v>1863</v>
      </c>
      <c r="L55">
        <v>0</v>
      </c>
      <c r="M55" t="s">
        <v>2075</v>
      </c>
      <c r="N55" t="s">
        <v>2076</v>
      </c>
    </row>
    <row r="56" spans="1:14">
      <c r="A56" t="s">
        <v>2072</v>
      </c>
      <c r="B56" t="str">
        <f>_xlfn.XLOOKUP(outTable[[#This Row],[ID Silk]],Tabella4[ID Silk],Tabella4[Titolo Defect],,0,1)</f>
        <v>Insurance Brocker - 9.1.4.3 Contrasto (minimo) - S006 L'azienda:</v>
      </c>
      <c r="C56" t="s">
        <v>2034</v>
      </c>
      <c r="D56" t="s">
        <v>1023</v>
      </c>
      <c r="E56" t="s">
        <v>1901</v>
      </c>
      <c r="F56">
        <v>5993</v>
      </c>
      <c r="G56" t="s">
        <v>1023</v>
      </c>
      <c r="H56" t="s">
        <v>189</v>
      </c>
      <c r="I56" t="s">
        <v>45</v>
      </c>
      <c r="J56" t="s">
        <v>1859</v>
      </c>
      <c r="K56" t="s">
        <v>1860</v>
      </c>
      <c r="L56">
        <v>0</v>
      </c>
      <c r="M56" t="s">
        <v>2075</v>
      </c>
      <c r="N56" t="s">
        <v>2076</v>
      </c>
    </row>
    <row r="57" spans="1:14">
      <c r="A57" t="s">
        <v>2070</v>
      </c>
      <c r="B57" t="str">
        <f>_xlfn.XLOOKUP(outTable[[#This Row],[ID Silk]],Tabella4[ID Silk],Tabella4[Titolo Defect],,0,1)</f>
        <v>Insurance Brocker - 9.2.5.3 Etichetta nel nome - S006 L'azienda:</v>
      </c>
      <c r="C57" t="s">
        <v>2032</v>
      </c>
      <c r="D57" t="s">
        <v>1023</v>
      </c>
      <c r="E57" t="s">
        <v>1899</v>
      </c>
      <c r="F57">
        <v>5995</v>
      </c>
      <c r="G57" t="s">
        <v>1023</v>
      </c>
      <c r="H57" t="s">
        <v>189</v>
      </c>
      <c r="I57" t="s">
        <v>244</v>
      </c>
      <c r="J57" t="s">
        <v>1856</v>
      </c>
      <c r="K57" t="s">
        <v>1857</v>
      </c>
      <c r="L57">
        <v>0</v>
      </c>
      <c r="M57" t="s">
        <v>2075</v>
      </c>
      <c r="N57" t="s">
        <v>2076</v>
      </c>
    </row>
    <row r="58" spans="1:14">
      <c r="A58" t="s">
        <v>2050</v>
      </c>
      <c r="B58" t="str">
        <f>_xlfn.XLOOKUP(outTable[[#This Row],[ID Silk]],Tabella4[ID Silk],Tabella4[Titolo Defect],,0,1)</f>
        <v>Insurance Brocker - 9.4.1.1 Analisi sintattica (parsing) - S006 L'azienda:</v>
      </c>
      <c r="C58" t="s">
        <v>2012</v>
      </c>
      <c r="D58" t="s">
        <v>1007</v>
      </c>
      <c r="E58" t="s">
        <v>1854</v>
      </c>
      <c r="F58">
        <v>5997</v>
      </c>
      <c r="G58" t="s">
        <v>1007</v>
      </c>
      <c r="H58" t="s">
        <v>189</v>
      </c>
      <c r="I58" t="s">
        <v>53</v>
      </c>
      <c r="J58" t="s">
        <v>1839</v>
      </c>
      <c r="K58" t="s">
        <v>1840</v>
      </c>
      <c r="L58">
        <v>0</v>
      </c>
      <c r="M58" t="s">
        <v>2075</v>
      </c>
      <c r="N58" t="s">
        <v>2076</v>
      </c>
    </row>
    <row r="59" spans="1:14">
      <c r="A59" t="s">
        <v>2071</v>
      </c>
      <c r="B59" t="str">
        <f>_xlfn.XLOOKUP(outTable[[#This Row],[ID Silk]],Tabella4[ID Silk],Tabella4[Titolo Defect],,0,1)</f>
        <v>Insurance Brocker - 9.4.1.2 Nome, ruolo, valore - S006 L'azienda:</v>
      </c>
      <c r="C59" t="s">
        <v>2033</v>
      </c>
      <c r="D59" t="s">
        <v>1023</v>
      </c>
      <c r="E59" t="s">
        <v>1900</v>
      </c>
      <c r="F59">
        <v>5999</v>
      </c>
      <c r="G59" t="s">
        <v>1023</v>
      </c>
      <c r="H59" t="s">
        <v>189</v>
      </c>
      <c r="I59" t="s">
        <v>54</v>
      </c>
      <c r="J59" t="s">
        <v>1870</v>
      </c>
      <c r="K59" t="s">
        <v>1871</v>
      </c>
      <c r="L59">
        <v>0</v>
      </c>
      <c r="M59" t="s">
        <v>2075</v>
      </c>
      <c r="N59" t="s">
        <v>2076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F3AD7-9F18-4431-981B-FA5680749621}">
  <sheetPr codeName="Foglio1"/>
  <dimension ref="B1:C13"/>
  <sheetViews>
    <sheetView workbookViewId="0">
      <selection activeCell="C4" sqref="C4"/>
    </sheetView>
  </sheetViews>
  <sheetFormatPr defaultRowHeight="14.4"/>
  <cols>
    <col min="2" max="2" width="31.88671875" bestFit="1" customWidth="1"/>
    <col min="3" max="3" width="36.44140625" bestFit="1" customWidth="1"/>
  </cols>
  <sheetData>
    <row r="1" spans="2:3" ht="15" thickBot="1"/>
    <row r="2" spans="2:3">
      <c r="B2" s="5" t="s">
        <v>0</v>
      </c>
      <c r="C2" s="6" t="s">
        <v>1291</v>
      </c>
    </row>
    <row r="3" spans="2:3">
      <c r="B3" s="30" t="s">
        <v>1</v>
      </c>
      <c r="C3" s="62" t="s">
        <v>382</v>
      </c>
    </row>
    <row r="4" spans="2:3" ht="15" thickBot="1">
      <c r="B4" s="31" t="s">
        <v>2</v>
      </c>
      <c r="C4" s="32" t="s">
        <v>2074</v>
      </c>
    </row>
    <row r="5" spans="2:3">
      <c r="B5" s="63" t="s">
        <v>3</v>
      </c>
      <c r="C5" s="9" t="str">
        <f>COUNTA(Tabella1[Page ID])&amp;" pagine"</f>
        <v>14 pagine</v>
      </c>
    </row>
    <row r="6" spans="2:3">
      <c r="B6" s="64"/>
      <c r="C6" s="8" t="str">
        <f>"score medio Lighthouse: "&amp;ROUND(AVERAGE(Tabella1[Score]),0)&amp;"/100"</f>
        <v>score medio Lighthouse: 92/100</v>
      </c>
    </row>
    <row r="7" spans="2:3">
      <c r="B7" s="64"/>
      <c r="C7" s="8" t="str">
        <f>COUNTA(Tabella27[PDF ID])&amp;" documenti PDF"</f>
        <v>5 documenti PDF</v>
      </c>
    </row>
    <row r="8" spans="2:3" ht="15" thickBot="1">
      <c r="B8" s="65"/>
      <c r="C8" s="7" t="str">
        <f>"score medio MAUVE++: "&amp;ROUND(AVERAGE(Tabella27[M - Score]),0)&amp;"/100"</f>
        <v>score medio MAUVE++: 46/100</v>
      </c>
    </row>
    <row r="9" spans="2:3">
      <c r="B9" s="66" t="s">
        <v>4</v>
      </c>
      <c r="C9" s="9" t="str">
        <f>COUNTA(Tabella4[Livello])&amp;" failure univoche:"</f>
        <v>483 failure univoche:</v>
      </c>
    </row>
    <row r="10" spans="2:3">
      <c r="B10" s="66"/>
      <c r="C10" s="8" t="str">
        <f>"A: "&amp;COUNTIF(Tabella4[Livello],"A")</f>
        <v>A: 236</v>
      </c>
    </row>
    <row r="11" spans="2:3">
      <c r="B11" s="66"/>
      <c r="C11" s="8" t="str">
        <f>"AA: "&amp;COUNTIF(Tabella4[Livello],"AA")+COUNTIF(Tabella399[Fail],"AA")</f>
        <v>AA: 247</v>
      </c>
    </row>
    <row r="12" spans="2:3">
      <c r="B12" s="66"/>
      <c r="C12" s="8" t="str">
        <f>"AAA: "&amp;COUNTIF(Tabella4[Livello],"AAA")+COUNTIF(Tabella399[Fail],"AAA")</f>
        <v>AAA: 0</v>
      </c>
    </row>
    <row r="13" spans="2:3" ht="15" thickBot="1">
      <c r="B13" s="67"/>
      <c r="C13" s="7" t="str">
        <f>"Best Practice: "&amp;COUNTIF(Tabella4[Livello],"BP")+COUNTIF(Tabella399[Fail],"BP")</f>
        <v>Best Practice: 0</v>
      </c>
    </row>
  </sheetData>
  <mergeCells count="2">
    <mergeCell ref="B5:B8"/>
    <mergeCell ref="B9:B13"/>
  </mergeCells>
  <conditionalFormatting sqref="C3">
    <cfRule type="duplicateValues" dxfId="7"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2"/>
  <dimension ref="A1:S16"/>
  <sheetViews>
    <sheetView zoomScaleNormal="100" workbookViewId="0">
      <selection activeCell="C27" sqref="C27"/>
    </sheetView>
  </sheetViews>
  <sheetFormatPr defaultRowHeight="14.4"/>
  <cols>
    <col min="1" max="1" width="10.5546875" style="1" bestFit="1" customWidth="1"/>
    <col min="2" max="2" width="58.33203125" customWidth="1"/>
    <col min="3" max="3" width="30.88671875" bestFit="1" customWidth="1"/>
    <col min="4" max="4" width="11.6640625" customWidth="1"/>
    <col min="5" max="5" width="14.33203125" bestFit="1" customWidth="1"/>
    <col min="10" max="10" width="16" bestFit="1" customWidth="1"/>
    <col min="11" max="11" width="15.33203125" bestFit="1" customWidth="1"/>
    <col min="12" max="12" width="15.109375" bestFit="1" customWidth="1"/>
    <col min="13" max="13" width="18.5546875" bestFit="1" customWidth="1"/>
    <col min="14" max="14" width="17.5546875" bestFit="1" customWidth="1"/>
    <col min="15" max="15" width="14.33203125" bestFit="1" customWidth="1"/>
    <col min="16" max="16" width="15.88671875" bestFit="1" customWidth="1"/>
    <col min="17" max="17" width="19.109375" bestFit="1" customWidth="1"/>
    <col min="18" max="18" width="18.109375" bestFit="1" customWidth="1"/>
    <col min="19" max="19" width="18.5546875" bestFit="1" customWidth="1"/>
  </cols>
  <sheetData>
    <row r="1" spans="1:19" ht="14.4" customHeight="1">
      <c r="L1" s="68" t="s">
        <v>5</v>
      </c>
      <c r="M1" s="69"/>
      <c r="N1" s="69"/>
      <c r="O1" s="70"/>
      <c r="P1" s="69" t="s">
        <v>6</v>
      </c>
      <c r="Q1" s="69"/>
      <c r="R1" s="69"/>
      <c r="S1" s="70"/>
    </row>
    <row r="2" spans="1:19">
      <c r="A2" s="35" t="s">
        <v>7</v>
      </c>
      <c r="B2" s="35" t="s">
        <v>8</v>
      </c>
      <c r="C2" s="35" t="s">
        <v>9</v>
      </c>
      <c r="D2" s="35" t="s">
        <v>10</v>
      </c>
      <c r="E2" s="35" t="s">
        <v>11</v>
      </c>
      <c r="F2" s="35" t="s">
        <v>12</v>
      </c>
      <c r="G2" s="35" t="s">
        <v>13</v>
      </c>
      <c r="H2" s="35" t="s">
        <v>14</v>
      </c>
      <c r="I2" s="35" t="s">
        <v>15</v>
      </c>
      <c r="J2" s="35" t="s">
        <v>16</v>
      </c>
      <c r="K2" s="35" t="s">
        <v>17</v>
      </c>
      <c r="L2" s="35" t="s">
        <v>18</v>
      </c>
      <c r="M2" s="1" t="s">
        <v>19</v>
      </c>
      <c r="N2" s="37" t="s">
        <v>20</v>
      </c>
      <c r="O2" s="38" t="s">
        <v>21</v>
      </c>
      <c r="P2" s="35" t="s">
        <v>22</v>
      </c>
      <c r="Q2" s="36" t="s">
        <v>23</v>
      </c>
      <c r="R2" s="37" t="s">
        <v>24</v>
      </c>
      <c r="S2" s="38" t="s">
        <v>25</v>
      </c>
    </row>
    <row r="3" spans="1:19">
      <c r="A3" s="1" t="s">
        <v>26</v>
      </c>
      <c r="B3" t="s">
        <v>382</v>
      </c>
      <c r="C3" t="str">
        <f>_xlfn.XLOOKUP(Tabella1[[#This Row],[Servizio]],Tabella5[Area funzionale],Tabella5[Funzionalita],,0,1)</f>
        <v>F0001 Elenco offerte e servizi</v>
      </c>
      <c r="D3" t="s">
        <v>122</v>
      </c>
      <c r="E3" t="s">
        <v>466</v>
      </c>
      <c r="G3" s="39">
        <f>AVERAGE(Tabella1[[#This Row],[Mobile Score]],Tabella1[[#This Row],[Desktop Score]])</f>
        <v>91.5</v>
      </c>
      <c r="H3" s="39">
        <f>AVERAGE(Tabella1[[#This Row],[M-Passed]],Tabella1[[#This Row],[D-Passed]])</f>
        <v>21</v>
      </c>
      <c r="I3" s="39">
        <f>AVERAGE(Tabella1[[#This Row],[M-Not Passed]],Tabella1[[#This Row],[D-Not Passed]])</f>
        <v>2</v>
      </c>
      <c r="J3" s="39">
        <f>AVERAGE(Tabella1[[#This Row],[M-Not Applicable]],Tabella1[[#This Row],[D-Not Applicable]])</f>
        <v>31</v>
      </c>
      <c r="K3" s="1">
        <f>COUNTIF(Tabella4[Page ID],Tabella1[[#This Row],[Page ID]])</f>
        <v>18</v>
      </c>
      <c r="L3">
        <v>91</v>
      </c>
      <c r="M3">
        <v>20</v>
      </c>
      <c r="N3">
        <v>2</v>
      </c>
      <c r="O3">
        <v>32</v>
      </c>
      <c r="P3">
        <v>92</v>
      </c>
      <c r="Q3">
        <v>22</v>
      </c>
      <c r="R3">
        <v>2</v>
      </c>
      <c r="S3">
        <v>30</v>
      </c>
    </row>
    <row r="4" spans="1:19">
      <c r="A4" s="1" t="s">
        <v>395</v>
      </c>
      <c r="B4" t="s">
        <v>383</v>
      </c>
      <c r="C4" t="str">
        <f>_xlfn.XLOOKUP(Tabella1[[#This Row],[Servizio]],Tabella5[Area funzionale],Tabella5[Funzionalita],,0,1)</f>
        <v>F0004 Assistenza Clienti</v>
      </c>
      <c r="D4" t="s">
        <v>139</v>
      </c>
      <c r="E4" t="s">
        <v>466</v>
      </c>
      <c r="G4" s="39">
        <f>AVERAGE(Tabella1[[#This Row],[Mobile Score]],Tabella1[[#This Row],[Desktop Score]])</f>
        <v>93</v>
      </c>
      <c r="H4" s="39">
        <f>AVERAGE(Tabella1[[#This Row],[M-Passed]],Tabella1[[#This Row],[D-Passed]])</f>
        <v>23</v>
      </c>
      <c r="I4" s="39">
        <f>AVERAGE(Tabella1[[#This Row],[M-Not Passed]],Tabella1[[#This Row],[D-Not Passed]])</f>
        <v>2</v>
      </c>
      <c r="J4" s="39">
        <f>AVERAGE(Tabella1[[#This Row],[M-Not Applicable]],Tabella1[[#This Row],[D-Not Applicable]])</f>
        <v>29</v>
      </c>
      <c r="K4" s="1">
        <f>COUNTIF(Tabella4[Page ID],Tabella1[[#This Row],[Page ID]])</f>
        <v>48</v>
      </c>
      <c r="L4">
        <v>93</v>
      </c>
      <c r="M4">
        <v>23</v>
      </c>
      <c r="N4">
        <v>2</v>
      </c>
      <c r="O4">
        <v>29</v>
      </c>
      <c r="P4">
        <v>93</v>
      </c>
      <c r="Q4">
        <v>23</v>
      </c>
      <c r="R4">
        <v>2</v>
      </c>
      <c r="S4">
        <v>29</v>
      </c>
    </row>
    <row r="5" spans="1:19">
      <c r="A5" s="1" t="s">
        <v>396</v>
      </c>
      <c r="B5" t="s">
        <v>384</v>
      </c>
      <c r="C5" t="str">
        <f>_xlfn.XLOOKUP(Tabella1[[#This Row],[Servizio]],Tabella5[Area funzionale],Tabella5[Funzionalita],,0,1)</f>
        <v>F0004 Assistenza Clienti</v>
      </c>
      <c r="D5" t="s">
        <v>139</v>
      </c>
      <c r="E5" t="s">
        <v>466</v>
      </c>
      <c r="G5" s="39">
        <f>AVERAGE(Tabella1[[#This Row],[Mobile Score]],Tabella1[[#This Row],[Desktop Score]])</f>
        <v>92.5</v>
      </c>
      <c r="H5" s="39">
        <f>AVERAGE(Tabella1[[#This Row],[M-Passed]],Tabella1[[#This Row],[D-Passed]])</f>
        <v>21</v>
      </c>
      <c r="I5" s="39">
        <f>AVERAGE(Tabella1[[#This Row],[M-Not Passed]],Tabella1[[#This Row],[D-Not Passed]])</f>
        <v>1</v>
      </c>
      <c r="J5" s="39">
        <f>AVERAGE(Tabella1[[#This Row],[M-Not Applicable]],Tabella1[[#This Row],[D-Not Applicable]])</f>
        <v>32</v>
      </c>
      <c r="K5" s="1">
        <f>COUNTIF(Tabella4[Page ID],Tabella1[[#This Row],[Page ID]])</f>
        <v>11</v>
      </c>
      <c r="L5">
        <v>91</v>
      </c>
      <c r="M5">
        <v>19</v>
      </c>
      <c r="N5">
        <v>1</v>
      </c>
      <c r="O5">
        <v>34</v>
      </c>
      <c r="P5">
        <v>94</v>
      </c>
      <c r="Q5">
        <v>23</v>
      </c>
      <c r="R5">
        <v>1</v>
      </c>
      <c r="S5">
        <v>30</v>
      </c>
    </row>
    <row r="6" spans="1:19">
      <c r="A6" s="1" t="s">
        <v>397</v>
      </c>
      <c r="B6" t="s">
        <v>385</v>
      </c>
      <c r="C6" t="str">
        <f>_xlfn.XLOOKUP(Tabella1[[#This Row],[Servizio]],Tabella5[Area funzionale],Tabella5[Funzionalita],,0,1)</f>
        <v>F0004 Assistenza Clienti</v>
      </c>
      <c r="D6" t="s">
        <v>139</v>
      </c>
      <c r="E6" t="s">
        <v>466</v>
      </c>
      <c r="G6" s="39">
        <f>AVERAGE(Tabella1[[#This Row],[Mobile Score]],Tabella1[[#This Row],[Desktop Score]])</f>
        <v>92.5</v>
      </c>
      <c r="H6" s="39">
        <f>AVERAGE(Tabella1[[#This Row],[M-Passed]],Tabella1[[#This Row],[D-Passed]])</f>
        <v>21</v>
      </c>
      <c r="I6" s="39">
        <f>AVERAGE(Tabella1[[#This Row],[M-Not Passed]],Tabella1[[#This Row],[D-Not Passed]])</f>
        <v>1</v>
      </c>
      <c r="J6" s="39">
        <f>AVERAGE(Tabella1[[#This Row],[M-Not Applicable]],Tabella1[[#This Row],[D-Not Applicable]])</f>
        <v>32</v>
      </c>
      <c r="K6" s="1">
        <f>COUNTIF(Tabella4[Page ID],Tabella1[[#This Row],[Page ID]])</f>
        <v>8</v>
      </c>
      <c r="L6">
        <v>91</v>
      </c>
      <c r="M6">
        <v>19</v>
      </c>
      <c r="N6">
        <v>1</v>
      </c>
      <c r="O6">
        <v>34</v>
      </c>
      <c r="P6">
        <v>94</v>
      </c>
      <c r="Q6">
        <v>23</v>
      </c>
      <c r="R6">
        <v>1</v>
      </c>
      <c r="S6">
        <v>30</v>
      </c>
    </row>
    <row r="7" spans="1:19">
      <c r="A7" s="1" t="s">
        <v>398</v>
      </c>
      <c r="B7" t="s">
        <v>386</v>
      </c>
      <c r="C7" t="str">
        <f>_xlfn.XLOOKUP(Tabella1[[#This Row],[Servizio]],Tabella5[Area funzionale],Tabella5[Funzionalita],,0,1)</f>
        <v>F0011 Documentazione Privacy Policy</v>
      </c>
      <c r="D7" t="s">
        <v>182</v>
      </c>
      <c r="G7" s="39">
        <f>AVERAGE(Tabella1[[#This Row],[Mobile Score]],Tabella1[[#This Row],[Desktop Score]])</f>
        <v>94</v>
      </c>
      <c r="H7" s="39">
        <f>AVERAGE(Tabella1[[#This Row],[M-Passed]],Tabella1[[#This Row],[D-Passed]])</f>
        <v>23</v>
      </c>
      <c r="I7" s="39">
        <f>AVERAGE(Tabella1[[#This Row],[M-Not Passed]],Tabella1[[#This Row],[D-Not Passed]])</f>
        <v>1</v>
      </c>
      <c r="J7" s="39">
        <f>AVERAGE(Tabella1[[#This Row],[M-Not Applicable]],Tabella1[[#This Row],[D-Not Applicable]])</f>
        <v>30</v>
      </c>
      <c r="K7" s="1">
        <f>COUNTIF(Tabella4[Page ID],Tabella1[[#This Row],[Page ID]])</f>
        <v>2</v>
      </c>
      <c r="L7">
        <v>94</v>
      </c>
      <c r="M7">
        <v>23</v>
      </c>
      <c r="N7">
        <v>1</v>
      </c>
      <c r="O7">
        <v>30</v>
      </c>
      <c r="P7">
        <v>94</v>
      </c>
      <c r="Q7">
        <v>23</v>
      </c>
      <c r="R7">
        <v>1</v>
      </c>
      <c r="S7">
        <v>30</v>
      </c>
    </row>
    <row r="8" spans="1:19">
      <c r="A8" s="1" t="s">
        <v>399</v>
      </c>
      <c r="B8" t="s">
        <v>387</v>
      </c>
      <c r="C8" t="str">
        <f>_xlfn.XLOOKUP(Tabella1[[#This Row],[Servizio]],Tabella5[Area funzionale],Tabella5[Funzionalita],,0,1)</f>
        <v>F0010 Dichiarazione di Accessibilità</v>
      </c>
      <c r="D8" t="s">
        <v>175</v>
      </c>
      <c r="G8" s="39">
        <f>AVERAGE(Tabella1[[#This Row],[Mobile Score]],Tabella1[[#This Row],[Desktop Score]])</f>
        <v>92.5</v>
      </c>
      <c r="H8" s="39">
        <f>AVERAGE(Tabella1[[#This Row],[M-Passed]],Tabella1[[#This Row],[D-Passed]])</f>
        <v>21</v>
      </c>
      <c r="I8" s="39">
        <f>AVERAGE(Tabella1[[#This Row],[M-Not Passed]],Tabella1[[#This Row],[D-Not Passed]])</f>
        <v>1</v>
      </c>
      <c r="J8" s="39">
        <f>AVERAGE(Tabella1[[#This Row],[M-Not Applicable]],Tabella1[[#This Row],[D-Not Applicable]])</f>
        <v>32</v>
      </c>
      <c r="K8" s="1">
        <f>COUNTIF(Tabella4[Page ID],Tabella1[[#This Row],[Page ID]])</f>
        <v>2</v>
      </c>
      <c r="L8">
        <v>91</v>
      </c>
      <c r="M8">
        <v>19</v>
      </c>
      <c r="N8">
        <v>1</v>
      </c>
      <c r="O8">
        <v>34</v>
      </c>
      <c r="P8">
        <v>94</v>
      </c>
      <c r="Q8">
        <v>23</v>
      </c>
      <c r="R8">
        <v>1</v>
      </c>
      <c r="S8">
        <v>30</v>
      </c>
    </row>
    <row r="9" spans="1:19">
      <c r="A9" s="1" t="s">
        <v>400</v>
      </c>
      <c r="B9" t="s">
        <v>388</v>
      </c>
      <c r="C9" t="str">
        <f>_xlfn.XLOOKUP(Tabella1[[#This Row],[Servizio]],Tabella5[Area funzionale],Tabella5[Funzionalita],,0,1)</f>
        <v>F0002 Descrizione Polizza</v>
      </c>
      <c r="D9" t="s">
        <v>128</v>
      </c>
      <c r="E9" t="s">
        <v>466</v>
      </c>
      <c r="G9" s="39">
        <f>AVERAGE(Tabella1[[#This Row],[Mobile Score]],Tabella1[[#This Row],[Desktop Score]])</f>
        <v>94</v>
      </c>
      <c r="H9" s="39">
        <f>AVERAGE(Tabella1[[#This Row],[M-Passed]],Tabella1[[#This Row],[D-Passed]])</f>
        <v>23</v>
      </c>
      <c r="I9" s="39">
        <f>AVERAGE(Tabella1[[#This Row],[M-Not Passed]],Tabella1[[#This Row],[D-Not Passed]])</f>
        <v>1</v>
      </c>
      <c r="J9" s="39">
        <f>AVERAGE(Tabella1[[#This Row],[M-Not Applicable]],Tabella1[[#This Row],[D-Not Applicable]])</f>
        <v>30</v>
      </c>
      <c r="K9" s="1">
        <f>COUNTIF(Tabella4[Page ID],Tabella1[[#This Row],[Page ID]])</f>
        <v>166</v>
      </c>
      <c r="L9">
        <v>94</v>
      </c>
      <c r="M9">
        <v>23</v>
      </c>
      <c r="N9">
        <v>1</v>
      </c>
      <c r="O9">
        <v>30</v>
      </c>
      <c r="P9">
        <v>94</v>
      </c>
      <c r="Q9">
        <v>23</v>
      </c>
      <c r="R9">
        <v>1</v>
      </c>
      <c r="S9">
        <v>30</v>
      </c>
    </row>
    <row r="10" spans="1:19">
      <c r="A10" s="1" t="s">
        <v>401</v>
      </c>
      <c r="B10" t="s">
        <v>389</v>
      </c>
      <c r="C10" t="str">
        <f>_xlfn.XLOOKUP(Tabella1[[#This Row],[Servizio]],Tabella5[Area funzionale],Tabella5[Funzionalita],,0,1)</f>
        <v>F0002 Descrizione Polizza</v>
      </c>
      <c r="D10" t="s">
        <v>128</v>
      </c>
      <c r="E10" t="s">
        <v>466</v>
      </c>
      <c r="G10" s="39">
        <f>AVERAGE(Tabella1[[#This Row],[Mobile Score]],Tabella1[[#This Row],[Desktop Score]])</f>
        <v>87</v>
      </c>
      <c r="H10" s="39">
        <f>AVERAGE(Tabella1[[#This Row],[M-Passed]],Tabella1[[#This Row],[D-Passed]])</f>
        <v>23</v>
      </c>
      <c r="I10" s="39">
        <f>AVERAGE(Tabella1[[#This Row],[M-Not Passed]],Tabella1[[#This Row],[D-Not Passed]])</f>
        <v>2</v>
      </c>
      <c r="J10" s="39">
        <f>AVERAGE(Tabella1[[#This Row],[M-Not Applicable]],Tabella1[[#This Row],[D-Not Applicable]])</f>
        <v>29</v>
      </c>
      <c r="K10" s="1">
        <f>COUNTIF(Tabella4[Page ID],Tabella1[[#This Row],[Page ID]])</f>
        <v>17</v>
      </c>
      <c r="L10">
        <v>87</v>
      </c>
      <c r="M10">
        <v>23</v>
      </c>
      <c r="N10">
        <v>2</v>
      </c>
      <c r="O10">
        <v>29</v>
      </c>
      <c r="P10">
        <v>87</v>
      </c>
      <c r="Q10">
        <v>23</v>
      </c>
      <c r="R10">
        <v>2</v>
      </c>
      <c r="S10">
        <v>29</v>
      </c>
    </row>
    <row r="11" spans="1:19">
      <c r="A11" s="1" t="s">
        <v>402</v>
      </c>
      <c r="B11" t="s">
        <v>390</v>
      </c>
      <c r="C11" t="str">
        <f>_xlfn.XLOOKUP(Tabella1[[#This Row],[Servizio]],Tabella5[Area funzionale],Tabella5[Funzionalita],,0,1)</f>
        <v>F0004 Assistenza Clienti</v>
      </c>
      <c r="D11" t="s">
        <v>139</v>
      </c>
      <c r="E11" t="s">
        <v>466</v>
      </c>
      <c r="G11" s="39">
        <f>AVERAGE(Tabella1[[#This Row],[Mobile Score]],Tabella1[[#This Row],[Desktop Score]])</f>
        <v>87</v>
      </c>
      <c r="H11" s="39">
        <f>AVERAGE(Tabella1[[#This Row],[M-Passed]],Tabella1[[#This Row],[D-Passed]])</f>
        <v>23</v>
      </c>
      <c r="I11" s="39">
        <f>AVERAGE(Tabella1[[#This Row],[M-Not Passed]],Tabella1[[#This Row],[D-Not Passed]])</f>
        <v>2</v>
      </c>
      <c r="J11" s="39">
        <f>AVERAGE(Tabella1[[#This Row],[M-Not Applicable]],Tabella1[[#This Row],[D-Not Applicable]])</f>
        <v>29</v>
      </c>
      <c r="K11" s="1">
        <f>COUNTIF(Tabella4[Page ID],Tabella1[[#This Row],[Page ID]])</f>
        <v>7</v>
      </c>
      <c r="L11">
        <v>87</v>
      </c>
      <c r="M11">
        <v>23</v>
      </c>
      <c r="N11">
        <v>2</v>
      </c>
      <c r="O11">
        <v>29</v>
      </c>
      <c r="P11">
        <v>87</v>
      </c>
      <c r="Q11">
        <v>23</v>
      </c>
      <c r="R11">
        <v>2</v>
      </c>
      <c r="S11">
        <v>29</v>
      </c>
    </row>
    <row r="12" spans="1:19">
      <c r="A12" s="1" t="s">
        <v>403</v>
      </c>
      <c r="B12" t="s">
        <v>391</v>
      </c>
      <c r="C12" t="str">
        <f>_xlfn.XLOOKUP(Tabella1[[#This Row],[Servizio]],Tabella5[Area funzionale],Tabella5[Funzionalita],,0,1)</f>
        <v>F0002 Descrizione Polizza</v>
      </c>
      <c r="D12" t="s">
        <v>128</v>
      </c>
      <c r="E12" t="s">
        <v>466</v>
      </c>
      <c r="G12" s="39">
        <f>AVERAGE(Tabella1[[#This Row],[Mobile Score]],Tabella1[[#This Row],[Desktop Score]])</f>
        <v>94</v>
      </c>
      <c r="H12" s="39">
        <f>AVERAGE(Tabella1[[#This Row],[M-Passed]],Tabella1[[#This Row],[D-Passed]])</f>
        <v>23</v>
      </c>
      <c r="I12" s="39">
        <f>AVERAGE(Tabella1[[#This Row],[M-Not Passed]],Tabella1[[#This Row],[D-Not Passed]])</f>
        <v>1</v>
      </c>
      <c r="J12" s="39">
        <f>AVERAGE(Tabella1[[#This Row],[M-Not Applicable]],Tabella1[[#This Row],[D-Not Applicable]])</f>
        <v>30</v>
      </c>
      <c r="K12" s="1">
        <f>COUNTIF(Tabella4[Page ID],Tabella1[[#This Row],[Page ID]])</f>
        <v>52</v>
      </c>
      <c r="L12">
        <v>94</v>
      </c>
      <c r="M12">
        <v>23</v>
      </c>
      <c r="N12">
        <v>1</v>
      </c>
      <c r="O12">
        <v>30</v>
      </c>
      <c r="P12">
        <v>94</v>
      </c>
      <c r="Q12">
        <v>23</v>
      </c>
      <c r="R12">
        <v>1</v>
      </c>
      <c r="S12">
        <v>30</v>
      </c>
    </row>
    <row r="13" spans="1:19">
      <c r="A13" s="1" t="s">
        <v>404</v>
      </c>
      <c r="B13" t="s">
        <v>392</v>
      </c>
      <c r="C13" t="str">
        <f>_xlfn.XLOOKUP(Tabella1[[#This Row],[Servizio]],Tabella5[Area funzionale],Tabella5[Funzionalita],,0,1)</f>
        <v>F0011 Documentazione Privacy Policy</v>
      </c>
      <c r="D13" t="s">
        <v>182</v>
      </c>
      <c r="E13" t="s">
        <v>466</v>
      </c>
      <c r="G13" s="39">
        <f>AVERAGE(Tabella1[[#This Row],[Mobile Score]],Tabella1[[#This Row],[Desktop Score]])</f>
        <v>94</v>
      </c>
      <c r="H13" s="39">
        <f>AVERAGE(Tabella1[[#This Row],[M-Passed]],Tabella1[[#This Row],[D-Passed]])</f>
        <v>23</v>
      </c>
      <c r="I13" s="39">
        <f>AVERAGE(Tabella1[[#This Row],[M-Not Passed]],Tabella1[[#This Row],[D-Not Passed]])</f>
        <v>1</v>
      </c>
      <c r="J13" s="39">
        <f>AVERAGE(Tabella1[[#This Row],[M-Not Applicable]],Tabella1[[#This Row],[D-Not Applicable]])</f>
        <v>30</v>
      </c>
      <c r="K13" s="1">
        <f>COUNTIF(Tabella4[Page ID],Tabella1[[#This Row],[Page ID]])</f>
        <v>26</v>
      </c>
      <c r="L13">
        <v>94</v>
      </c>
      <c r="M13">
        <v>23</v>
      </c>
      <c r="N13">
        <v>1</v>
      </c>
      <c r="O13">
        <v>30</v>
      </c>
      <c r="P13">
        <v>94</v>
      </c>
      <c r="Q13">
        <v>23</v>
      </c>
      <c r="R13">
        <v>1</v>
      </c>
      <c r="S13">
        <v>30</v>
      </c>
    </row>
    <row r="14" spans="1:19">
      <c r="A14" s="1" t="s">
        <v>405</v>
      </c>
      <c r="B14" t="s">
        <v>393</v>
      </c>
      <c r="C14" t="str">
        <f>_xlfn.XLOOKUP(Tabella1[[#This Row],[Servizio]],Tabella5[Area funzionale],Tabella5[Funzionalita],,0,1)</f>
        <v>F0004 Assistenza Clienti</v>
      </c>
      <c r="D14" t="s">
        <v>139</v>
      </c>
      <c r="E14" t="s">
        <v>466</v>
      </c>
      <c r="G14" s="39">
        <f>AVERAGE(Tabella1[[#This Row],[Mobile Score]],Tabella1[[#This Row],[Desktop Score]])</f>
        <v>92.5</v>
      </c>
      <c r="H14" s="39">
        <f>AVERAGE(Tabella1[[#This Row],[M-Passed]],Tabella1[[#This Row],[D-Passed]])</f>
        <v>21</v>
      </c>
      <c r="I14" s="39">
        <f>AVERAGE(Tabella1[[#This Row],[M-Not Passed]],Tabella1[[#This Row],[D-Not Passed]])</f>
        <v>1</v>
      </c>
      <c r="J14" s="39">
        <f>AVERAGE(Tabella1[[#This Row],[M-Not Applicable]],Tabella1[[#This Row],[D-Not Applicable]])</f>
        <v>32</v>
      </c>
      <c r="K14" s="1">
        <f>COUNTIF(Tabella4[Page ID],Tabella1[[#This Row],[Page ID]])</f>
        <v>15</v>
      </c>
      <c r="L14">
        <v>91</v>
      </c>
      <c r="M14">
        <v>19</v>
      </c>
      <c r="N14">
        <v>1</v>
      </c>
      <c r="O14">
        <v>34</v>
      </c>
      <c r="P14">
        <v>94</v>
      </c>
      <c r="Q14">
        <v>23</v>
      </c>
      <c r="R14">
        <v>1</v>
      </c>
      <c r="S14">
        <v>30</v>
      </c>
    </row>
    <row r="15" spans="1:19">
      <c r="A15" s="1" t="s">
        <v>406</v>
      </c>
      <c r="B15" t="s">
        <v>381</v>
      </c>
      <c r="C15" t="str">
        <f>_xlfn.XLOOKUP(Tabella1[[#This Row],[Servizio]],Tabella5[Area funzionale],Tabella5[Funzionalita],,0,1)</f>
        <v>F0012 https://posteinsurancebroker.poste.it/segnalazioni-anomalie/</v>
      </c>
      <c r="D15" t="s">
        <v>189</v>
      </c>
      <c r="E15" t="s">
        <v>466</v>
      </c>
      <c r="G15" s="39">
        <f>AVERAGE(Tabella1[[#This Row],[Mobile Score]],Tabella1[[#This Row],[Desktop Score]])</f>
        <v>94</v>
      </c>
      <c r="H15" s="39">
        <f>AVERAGE(Tabella1[[#This Row],[M-Passed]],Tabella1[[#This Row],[D-Passed]])</f>
        <v>23</v>
      </c>
      <c r="I15" s="39">
        <f>AVERAGE(Tabella1[[#This Row],[M-Not Passed]],Tabella1[[#This Row],[D-Not Passed]])</f>
        <v>1</v>
      </c>
      <c r="J15" s="39">
        <f>AVERAGE(Tabella1[[#This Row],[M-Not Applicable]],Tabella1[[#This Row],[D-Not Applicable]])</f>
        <v>30</v>
      </c>
      <c r="K15" s="1">
        <f>COUNTIF(Tabella4[Page ID],Tabella1[[#This Row],[Page ID]])</f>
        <v>39</v>
      </c>
      <c r="L15">
        <v>94</v>
      </c>
      <c r="M15">
        <v>23</v>
      </c>
      <c r="N15">
        <v>1</v>
      </c>
      <c r="O15">
        <v>30</v>
      </c>
      <c r="P15">
        <v>94</v>
      </c>
      <c r="Q15">
        <v>23</v>
      </c>
      <c r="R15">
        <v>1</v>
      </c>
      <c r="S15">
        <v>30</v>
      </c>
    </row>
    <row r="16" spans="1:19">
      <c r="A16" s="1" t="s">
        <v>407</v>
      </c>
      <c r="B16" t="s">
        <v>394</v>
      </c>
      <c r="C16" t="str">
        <f>_xlfn.XLOOKUP(Tabella1[[#This Row],[Servizio]],Tabella5[Area funzionale],Tabella5[Funzionalita],,0,1)</f>
        <v>F0004 Assistenza Clienti</v>
      </c>
      <c r="D16" t="s">
        <v>139</v>
      </c>
      <c r="E16" t="s">
        <v>466</v>
      </c>
      <c r="G16" s="39">
        <f>AVERAGE(Tabella1[[#This Row],[Mobile Score]],Tabella1[[#This Row],[Desktop Score]])</f>
        <v>92.5</v>
      </c>
      <c r="H16" s="39">
        <f>AVERAGE(Tabella1[[#This Row],[M-Passed]],Tabella1[[#This Row],[D-Passed]])</f>
        <v>21</v>
      </c>
      <c r="I16" s="39">
        <f>AVERAGE(Tabella1[[#This Row],[M-Not Passed]],Tabella1[[#This Row],[D-Not Passed]])</f>
        <v>1</v>
      </c>
      <c r="J16" s="39">
        <f>AVERAGE(Tabella1[[#This Row],[M-Not Applicable]],Tabella1[[#This Row],[D-Not Applicable]])</f>
        <v>32</v>
      </c>
      <c r="K16" s="1">
        <f>COUNTIF(Tabella4[Page ID],Tabella1[[#This Row],[Page ID]])</f>
        <v>14</v>
      </c>
      <c r="L16">
        <v>91</v>
      </c>
      <c r="M16">
        <v>19</v>
      </c>
      <c r="N16">
        <v>1</v>
      </c>
      <c r="O16">
        <v>34</v>
      </c>
      <c r="P16">
        <v>94</v>
      </c>
      <c r="Q16">
        <v>23</v>
      </c>
      <c r="R16">
        <v>1</v>
      </c>
      <c r="S16">
        <v>30</v>
      </c>
    </row>
  </sheetData>
  <mergeCells count="2">
    <mergeCell ref="L1:O1"/>
    <mergeCell ref="P1:S1"/>
  </mergeCells>
  <phoneticPr fontId="18" type="noConversion"/>
  <conditionalFormatting sqref="B3:B16">
    <cfRule type="duplicateValues" dxfId="6" priority="1968"/>
  </conditionalFormatting>
  <dataValidations count="1">
    <dataValidation type="list" allowBlank="1" showInputMessage="1" showErrorMessage="1" sqref="E3:E16" xr:uid="{DBDD7F3E-EAED-43CF-AECB-181B3B0B4941}">
      <formula1>"Ok,No,Forse"</formula1>
    </dataValidation>
  </dataValidations>
  <pageMargins left="0.7" right="0.7" top="0.75" bottom="0.75" header="0.3" footer="0.3"/>
  <pageSetup paperSize="9"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A57B156-FAB5-4FA3-B6D5-9F65C924772C}">
          <x14:formula1>
            <xm:f>'Dati input'!$A$2:$A$92</xm:f>
          </x14:formula1>
          <xm:sqref>D3:D16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374B3-E511-4A66-B020-9ADBB9ABEF22}">
  <sheetPr codeName="Foglio3"/>
  <dimension ref="A3:E45"/>
  <sheetViews>
    <sheetView workbookViewId="0">
      <selection activeCell="E5" sqref="E5"/>
    </sheetView>
  </sheetViews>
  <sheetFormatPr defaultRowHeight="14.4"/>
  <cols>
    <col min="1" max="1" width="16.44140625" bestFit="1" customWidth="1"/>
    <col min="2" max="2" width="14" bestFit="1" customWidth="1"/>
    <col min="3" max="3" width="4.33203125" bestFit="1" customWidth="1"/>
    <col min="4" max="4" width="6.33203125" bestFit="1" customWidth="1"/>
    <col min="5" max="6" width="5.6640625" bestFit="1" customWidth="1"/>
  </cols>
  <sheetData>
    <row r="3" spans="1:5">
      <c r="A3" s="47" t="s">
        <v>27</v>
      </c>
      <c r="B3" s="48" t="s">
        <v>28</v>
      </c>
      <c r="D3" s="50"/>
    </row>
    <row r="4" spans="1:5">
      <c r="A4" s="51" t="s">
        <v>29</v>
      </c>
      <c r="B4" s="52">
        <v>11</v>
      </c>
      <c r="D4" s="50"/>
    </row>
    <row r="5" spans="1:5">
      <c r="A5" s="51" t="s">
        <v>30</v>
      </c>
      <c r="B5" s="52">
        <v>44</v>
      </c>
      <c r="D5" s="50"/>
      <c r="E5" s="53" t="str">
        <f>_xlfn.TEXTJOIN(",",TRUE,D:D)</f>
        <v>2616,2629,2640,2654,2669,2676,2681,2686,2699,2704,2715,2726</v>
      </c>
    </row>
    <row r="6" spans="1:5">
      <c r="A6" s="51" t="s">
        <v>31</v>
      </c>
      <c r="B6" s="52">
        <v>1</v>
      </c>
      <c r="D6" s="50"/>
    </row>
    <row r="7" spans="1:5">
      <c r="A7" s="51" t="s">
        <v>32</v>
      </c>
      <c r="B7" s="52">
        <v>4</v>
      </c>
      <c r="D7" s="50"/>
    </row>
    <row r="8" spans="1:5">
      <c r="A8" s="51" t="s">
        <v>33</v>
      </c>
      <c r="B8" s="52">
        <v>43</v>
      </c>
      <c r="D8" s="50"/>
      <c r="E8" t="s">
        <v>34</v>
      </c>
    </row>
    <row r="9" spans="1:5">
      <c r="A9" s="51" t="s">
        <v>35</v>
      </c>
      <c r="B9" s="52">
        <v>17</v>
      </c>
      <c r="D9" s="50"/>
    </row>
    <row r="10" spans="1:5">
      <c r="A10" s="51" t="s">
        <v>36</v>
      </c>
      <c r="B10" s="52">
        <v>1</v>
      </c>
      <c r="D10" s="50"/>
    </row>
    <row r="11" spans="1:5">
      <c r="A11" s="51" t="s">
        <v>37</v>
      </c>
      <c r="B11" s="52">
        <v>1</v>
      </c>
      <c r="D11" s="50"/>
    </row>
    <row r="12" spans="1:5">
      <c r="A12" s="51" t="s">
        <v>38</v>
      </c>
      <c r="B12" s="52">
        <v>1</v>
      </c>
      <c r="D12" s="50"/>
    </row>
    <row r="13" spans="1:5">
      <c r="A13" s="51" t="s">
        <v>39</v>
      </c>
      <c r="B13" s="52">
        <v>19</v>
      </c>
      <c r="D13" s="50"/>
    </row>
    <row r="14" spans="1:5">
      <c r="A14" s="51" t="s">
        <v>40</v>
      </c>
      <c r="B14" s="52">
        <v>6</v>
      </c>
      <c r="D14" s="50"/>
    </row>
    <row r="15" spans="1:5">
      <c r="A15" s="51" t="s">
        <v>41</v>
      </c>
      <c r="B15" s="52">
        <v>2</v>
      </c>
      <c r="D15" s="50"/>
    </row>
    <row r="16" spans="1:5">
      <c r="A16" s="51" t="s">
        <v>42</v>
      </c>
      <c r="B16" s="52">
        <v>19</v>
      </c>
      <c r="D16" s="50"/>
    </row>
    <row r="17" spans="1:4">
      <c r="A17" s="51" t="s">
        <v>43</v>
      </c>
      <c r="B17" s="52">
        <v>3</v>
      </c>
      <c r="D17" s="50"/>
    </row>
    <row r="18" spans="1:4">
      <c r="A18" s="51" t="s">
        <v>44</v>
      </c>
      <c r="B18" s="52">
        <v>4</v>
      </c>
      <c r="D18" s="50"/>
    </row>
    <row r="19" spans="1:4">
      <c r="A19" s="51" t="s">
        <v>45</v>
      </c>
      <c r="B19" s="52">
        <v>19</v>
      </c>
      <c r="D19" s="50"/>
    </row>
    <row r="20" spans="1:4">
      <c r="A20" s="51" t="s">
        <v>46</v>
      </c>
      <c r="B20" s="52">
        <v>2</v>
      </c>
      <c r="D20" s="50"/>
    </row>
    <row r="21" spans="1:4">
      <c r="A21" s="51" t="s">
        <v>47</v>
      </c>
      <c r="B21" s="52">
        <v>3</v>
      </c>
      <c r="D21" s="50"/>
    </row>
    <row r="22" spans="1:4">
      <c r="A22" s="51" t="s">
        <v>48</v>
      </c>
      <c r="B22" s="52">
        <v>6</v>
      </c>
      <c r="D22" s="50"/>
    </row>
    <row r="23" spans="1:4">
      <c r="A23" s="51" t="s">
        <v>49</v>
      </c>
      <c r="B23" s="52">
        <v>3</v>
      </c>
      <c r="D23" s="50"/>
    </row>
    <row r="24" spans="1:4">
      <c r="A24" s="51" t="s">
        <v>50</v>
      </c>
      <c r="B24" s="52">
        <v>19</v>
      </c>
      <c r="D24" s="50"/>
    </row>
    <row r="25" spans="1:4">
      <c r="A25" s="51" t="s">
        <v>51</v>
      </c>
      <c r="B25" s="52">
        <v>1</v>
      </c>
    </row>
    <row r="26" spans="1:4">
      <c r="A26" s="50">
        <v>2653</v>
      </c>
      <c r="B26" s="48">
        <v>1</v>
      </c>
    </row>
    <row r="27" spans="1:4">
      <c r="A27" s="51" t="s">
        <v>52</v>
      </c>
      <c r="B27" s="52">
        <v>2</v>
      </c>
      <c r="D27" s="50"/>
    </row>
    <row r="28" spans="1:4">
      <c r="A28" s="50">
        <v>2667</v>
      </c>
      <c r="B28" s="48">
        <v>1</v>
      </c>
      <c r="D28" s="50"/>
    </row>
    <row r="29" spans="1:4">
      <c r="A29" s="50">
        <v>2698</v>
      </c>
      <c r="B29" s="48">
        <v>1</v>
      </c>
      <c r="D29" s="50"/>
    </row>
    <row r="30" spans="1:4">
      <c r="A30" s="51" t="s">
        <v>53</v>
      </c>
      <c r="B30" s="52">
        <v>1</v>
      </c>
      <c r="D30" s="50"/>
    </row>
    <row r="31" spans="1:4">
      <c r="A31" s="50">
        <v>2725</v>
      </c>
      <c r="B31" s="48">
        <v>1</v>
      </c>
      <c r="D31" s="50"/>
    </row>
    <row r="32" spans="1:4">
      <c r="A32" s="51" t="s">
        <v>54</v>
      </c>
      <c r="B32" s="52">
        <v>12</v>
      </c>
      <c r="D32" s="50"/>
    </row>
    <row r="33" spans="1:4">
      <c r="A33" s="50">
        <v>2616</v>
      </c>
      <c r="B33" s="48">
        <v>1</v>
      </c>
      <c r="D33" s="50">
        <v>2616</v>
      </c>
    </row>
    <row r="34" spans="1:4">
      <c r="A34" s="50">
        <v>2629</v>
      </c>
      <c r="B34" s="48">
        <v>1</v>
      </c>
      <c r="D34" s="50">
        <v>2629</v>
      </c>
    </row>
    <row r="35" spans="1:4">
      <c r="A35" s="50">
        <v>2640</v>
      </c>
      <c r="B35" s="48">
        <v>1</v>
      </c>
      <c r="D35" s="50">
        <v>2640</v>
      </c>
    </row>
    <row r="36" spans="1:4">
      <c r="A36" s="50">
        <v>2654</v>
      </c>
      <c r="B36" s="48">
        <v>1</v>
      </c>
      <c r="D36" s="50">
        <v>2654</v>
      </c>
    </row>
    <row r="37" spans="1:4">
      <c r="A37" s="50">
        <v>2669</v>
      </c>
      <c r="B37" s="48">
        <v>1</v>
      </c>
      <c r="D37" s="50">
        <v>2669</v>
      </c>
    </row>
    <row r="38" spans="1:4">
      <c r="A38" s="50">
        <v>2676</v>
      </c>
      <c r="B38" s="48">
        <v>1</v>
      </c>
      <c r="D38" s="50">
        <v>2676</v>
      </c>
    </row>
    <row r="39" spans="1:4">
      <c r="A39" s="50">
        <v>2681</v>
      </c>
      <c r="B39" s="48">
        <v>1</v>
      </c>
      <c r="D39" s="50">
        <v>2681</v>
      </c>
    </row>
    <row r="40" spans="1:4">
      <c r="A40" s="50">
        <v>2686</v>
      </c>
      <c r="B40" s="48">
        <v>1</v>
      </c>
      <c r="D40" s="50">
        <v>2686</v>
      </c>
    </row>
    <row r="41" spans="1:4">
      <c r="A41" s="50">
        <v>2699</v>
      </c>
      <c r="B41" s="48">
        <v>1</v>
      </c>
      <c r="D41" s="50">
        <v>2699</v>
      </c>
    </row>
    <row r="42" spans="1:4">
      <c r="A42" s="50">
        <v>2704</v>
      </c>
      <c r="B42" s="48">
        <v>1</v>
      </c>
      <c r="D42" s="50">
        <v>2704</v>
      </c>
    </row>
    <row r="43" spans="1:4">
      <c r="A43" s="50">
        <v>2715</v>
      </c>
      <c r="B43" s="48">
        <v>1</v>
      </c>
      <c r="D43" s="50">
        <v>2715</v>
      </c>
    </row>
    <row r="44" spans="1:4">
      <c r="A44" s="50">
        <v>2726</v>
      </c>
      <c r="B44" s="48">
        <v>1</v>
      </c>
      <c r="D44" s="50">
        <v>2726</v>
      </c>
    </row>
    <row r="45" spans="1:4">
      <c r="A45" s="49" t="s">
        <v>55</v>
      </c>
      <c r="B45" s="48">
        <v>244</v>
      </c>
      <c r="D45" s="5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4"/>
  <dimension ref="A1:AF484"/>
  <sheetViews>
    <sheetView zoomScale="85" zoomScaleNormal="85" workbookViewId="0">
      <pane xSplit="7" topLeftCell="W1" activePane="topRight" state="frozen"/>
      <selection pane="topRight" activeCell="AK13" sqref="AK13"/>
    </sheetView>
  </sheetViews>
  <sheetFormatPr defaultRowHeight="14.4"/>
  <cols>
    <col min="1" max="1" width="7.6640625" style="2" bestFit="1" customWidth="1"/>
    <col min="2" max="2" width="14.33203125" style="2" customWidth="1"/>
    <col min="3" max="3" width="13.88671875" style="2" customWidth="1"/>
    <col min="4" max="4" width="15.6640625" style="2" customWidth="1"/>
    <col min="5" max="5" width="17.5546875" customWidth="1"/>
    <col min="6" max="6" width="13.44140625" customWidth="1"/>
    <col min="7" max="7" width="15" customWidth="1"/>
    <col min="8" max="8" width="29.33203125" customWidth="1"/>
    <col min="9" max="9" width="14.109375" style="1" bestFit="1" customWidth="1"/>
    <col min="10" max="10" width="13" bestFit="1" customWidth="1"/>
    <col min="11" max="11" width="39.109375" customWidth="1"/>
    <col min="12" max="12" width="12.6640625" customWidth="1"/>
    <col min="13" max="13" width="15.109375" customWidth="1"/>
    <col min="14" max="14" width="13.33203125" customWidth="1"/>
    <col min="15" max="15" width="13" customWidth="1"/>
    <col min="16" max="16" width="7.6640625" customWidth="1"/>
    <col min="17" max="17" width="8.88671875" customWidth="1"/>
    <col min="18" max="18" width="11.33203125" customWidth="1"/>
    <col min="19" max="19" width="10.33203125" customWidth="1"/>
    <col min="20" max="20" width="10.88671875" customWidth="1"/>
    <col min="21" max="21" width="18" bestFit="1" customWidth="1"/>
    <col min="22" max="22" width="19.109375" bestFit="1" customWidth="1"/>
    <col min="23" max="23" width="16.5546875" customWidth="1"/>
    <col min="24" max="24" width="14.44140625" customWidth="1"/>
    <col min="25" max="25" width="12.6640625" customWidth="1"/>
    <col min="26" max="26" width="23.109375" customWidth="1"/>
    <col min="27" max="27" width="12.109375" customWidth="1"/>
    <col min="28" max="28" width="16.5546875" customWidth="1"/>
    <col min="29" max="29" width="18.6640625" customWidth="1"/>
    <col min="30" max="30" width="16.5546875" customWidth="1"/>
  </cols>
  <sheetData>
    <row r="1" spans="1:32">
      <c r="A1" s="10" t="s">
        <v>56</v>
      </c>
      <c r="B1" s="10" t="s">
        <v>57</v>
      </c>
      <c r="C1" s="10" t="s">
        <v>58</v>
      </c>
      <c r="D1" s="10" t="s">
        <v>59</v>
      </c>
      <c r="E1" s="10" t="s">
        <v>60</v>
      </c>
      <c r="F1" s="10" t="s">
        <v>61</v>
      </c>
      <c r="G1" s="10" t="s">
        <v>62</v>
      </c>
      <c r="H1" s="10" t="s">
        <v>63</v>
      </c>
      <c r="I1" s="10" t="s">
        <v>64</v>
      </c>
      <c r="J1" s="10" t="s">
        <v>65</v>
      </c>
      <c r="K1" s="10" t="s">
        <v>66</v>
      </c>
      <c r="L1" s="10" t="s">
        <v>67</v>
      </c>
      <c r="M1" s="10" t="s">
        <v>68</v>
      </c>
      <c r="N1" s="11" t="s">
        <v>69</v>
      </c>
      <c r="O1" s="10" t="s">
        <v>70</v>
      </c>
      <c r="P1" s="10" t="s">
        <v>8</v>
      </c>
      <c r="Q1" s="10" t="s">
        <v>12</v>
      </c>
      <c r="R1" s="10" t="s">
        <v>7</v>
      </c>
      <c r="S1" s="10" t="s">
        <v>71</v>
      </c>
      <c r="T1" s="12" t="s">
        <v>72</v>
      </c>
      <c r="U1" s="12" t="s">
        <v>73</v>
      </c>
      <c r="V1" s="12" t="s">
        <v>74</v>
      </c>
      <c r="W1" s="12" t="s">
        <v>75</v>
      </c>
      <c r="X1" s="10" t="s">
        <v>76</v>
      </c>
      <c r="Y1" s="11" t="s">
        <v>77</v>
      </c>
      <c r="Z1" s="10" t="s">
        <v>78</v>
      </c>
      <c r="AA1" s="10" t="s">
        <v>10</v>
      </c>
      <c r="AB1" s="10" t="s">
        <v>79</v>
      </c>
      <c r="AC1" s="10" t="s">
        <v>80</v>
      </c>
      <c r="AD1" s="10" t="s">
        <v>81</v>
      </c>
      <c r="AE1" s="10" t="s">
        <v>82</v>
      </c>
      <c r="AF1" s="46" t="s">
        <v>83</v>
      </c>
    </row>
    <row r="2" spans="1:32">
      <c r="A2" s="34" t="str">
        <f>MID(Tabella4[[#This Row],[Servizio]],1,4)&amp;Tabella4[[#This Row],[UNI CEI EN 301549]]</f>
        <v>S0019.4.1.1</v>
      </c>
      <c r="B2" s="34" t="str">
        <f>Tabella4[[#This Row],[ID Silk]]&amp;"_1"</f>
        <v>S0019.4.1.1_1</v>
      </c>
      <c r="C2" s="34" t="s">
        <v>410</v>
      </c>
      <c r="D2" s="40" t="str">
        <f>"(#"&amp;Tabella4[[#This Row],['#ID]]&amp;")"</f>
        <v>(#D0001)</v>
      </c>
      <c r="E2" s="34" t="str">
        <f>IF(MID(Tabella4[[#This Row],['#ID]],1,1)="M","Mobile",IF(MID(Tabella4[[#This Row],['#ID]],1,1)="D","Desktop",IF(MID(Tabella4[[#This Row],['#ID]],1,2)="TM","Manuale","Documenti")))</f>
        <v>Desktop</v>
      </c>
      <c r="F2" s="34" t="s">
        <v>1005</v>
      </c>
      <c r="G2" s="34" t="s">
        <v>366</v>
      </c>
      <c r="H2" s="34" t="str">
        <f>IF(Tabella4[[#This Row],[Componente]]="Documenti","10.","9.")&amp;Tabella4[[#This Row],[Criterio]]</f>
        <v>9.4.1.1</v>
      </c>
      <c r="I2" s="34" t="s">
        <v>1007</v>
      </c>
      <c r="J2" s="34" t="s">
        <v>1008</v>
      </c>
      <c r="K2" s="34" t="s">
        <v>1009</v>
      </c>
      <c r="L2" s="34" t="s">
        <v>1010</v>
      </c>
      <c r="M2" s="34" t="s">
        <v>1011</v>
      </c>
      <c r="N2" t="s">
        <v>435</v>
      </c>
      <c r="O2" t="s">
        <v>436</v>
      </c>
      <c r="P2" t="s">
        <v>382</v>
      </c>
      <c r="R2" s="34" t="str">
        <f>IF(Tabella4[[#This Row],[Componente]]="Documenti",_xlfn.XLOOKUP(Tabella4[[#This Row],[URL]],Tabella27[URL],Tabella27[PDF ID],,0),_xlfn.XLOOKUP(Tabella4[[#This Row],[URL]],Tabella1[URL],Tabella1[Page ID],,0))</f>
        <v>#1</v>
      </c>
      <c r="S2" s="34" t="s">
        <v>434</v>
      </c>
      <c r="T2" t="s">
        <v>411</v>
      </c>
      <c r="U2" t="s">
        <v>435</v>
      </c>
      <c r="V2" t="s">
        <v>444</v>
      </c>
      <c r="W2" s="34" t="s">
        <v>1062</v>
      </c>
      <c r="X2" s="34" t="str">
        <f>IFERROR(IF(Tabella4[[#This Row],[Tool]]="lighthouse",Tabella4[[#This Row],[Detail]],MID(Tabella4[[#This Row],[Detail]],1,FIND("&gt;",Tabella4[[#This Row],[Detail]]))),Tabella4[[#This Row],[Detail]])</f>
        <v>&lt;p id=\"offcanvas-panel-desc-00_sites\" class=\"sr-only\"&gt;</v>
      </c>
      <c r="Y2" s="34" t="str">
        <f>SUBSTITUTE(IF(Tabella4[[#This Row],[Tool]]="axe-core",MID(Tabella4[[#This Row],[Rejected Element]],3,LEN(Tabella4[[#This Row],[Rejected Element]])-4),Tabella4[[#This Row],[Rejected Element]]),"\","")</f>
        <v>div.side-offcanvas-content-wrap &gt; div.row &gt; div.col-sm-12 &gt; p#offcanvas-panel-desc-00_sites</v>
      </c>
      <c r="Z2" s="34">
        <f>COUNTIFS(Tabella4[Detail univoco],Tabella4[[#This Row],[Detail univoco]],Tabella4[Rejected Element Univoco],Tabella4[[#This Row],[Rejected Element Univoco]],Tabella4[ItemsNodeLabel],Tabella4[[#This Row],[ItemsNodeLabel]])</f>
        <v>15</v>
      </c>
      <c r="AA2" s="34" t="str">
        <f>IF(Tabella4[[#This Row],[Componente]]="Documenti",VLOOKUP(Tabella4[[#This Row],[URL]],Tabella27[[URL]:[Servizio]],4,FALSE),VLOOKUP(Tabella4[[#This Row],[Page ID]],Tabella1[[Page ID]:[Servizio]],4,FALSE))</f>
        <v>S001 Homepage</v>
      </c>
      <c r="AC2" s="33" t="str">
        <f>Tabella4[[#This Row],[User Impact]]</f>
        <v>1 - Critical</v>
      </c>
      <c r="AD2" s="33" t="str">
        <f>Copertina!C$2&amp;" - "&amp;Tabella4[[#This Row],[UNI CEI EN 301549]]&amp;" "&amp;VLOOKUP(Tabella4[[#This Row],[Criterio]],Tabella5[[ID]:[Criterio di successo]],2,FALSE)&amp;" - "&amp;Tabella4[[#This Row],[Servizio]]&amp;":"</f>
        <v>Insurance Brocker - 9.4.1.1 Analisi sintattica (parsing) - S001 Homepage:</v>
      </c>
      <c r="AE2" s="33"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S001 Homepage: (#D0001)
S001 Homepage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2">
        <f>_xlfn.XLOOKUP(Tabella4[[#This Row],[ID Silk]],outTable[ID Silk],outTable[Numero ticket  ],,0,1)</f>
        <v>6007</v>
      </c>
    </row>
    <row r="3" spans="1:32">
      <c r="A3" s="34" t="str">
        <f>MID(Tabella4[[#This Row],[Servizio]],1,4)&amp;Tabella4[[#This Row],[UNI CEI EN 301549]]</f>
        <v>S0039.4.1.1</v>
      </c>
      <c r="B3" s="34" t="str">
        <f>Tabella4[[#This Row],[ID Silk]]&amp;"_1"</f>
        <v>S0039.4.1.1_1</v>
      </c>
      <c r="C3" s="34" t="s">
        <v>415</v>
      </c>
      <c r="D3" s="2" t="str">
        <f>"(#"&amp;Tabella4[[#This Row],['#ID]]&amp;")"</f>
        <v>(#D0002)</v>
      </c>
      <c r="E3" s="34" t="str">
        <f>IF(MID(Tabella4[[#This Row],['#ID]],1,1)="M","Mobile",IF(MID(Tabella4[[#This Row],['#ID]],1,1)="D","Desktop",IF(MID(Tabella4[[#This Row],['#ID]],1,2)="TM","Manuale","Documenti")))</f>
        <v>Desktop</v>
      </c>
      <c r="F3" s="34" t="s">
        <v>1005</v>
      </c>
      <c r="G3" s="34" t="s">
        <v>366</v>
      </c>
      <c r="H3" s="34" t="str">
        <f>IF(Tabella4[[#This Row],[Componente]]="Documenti","10.","9.")&amp;Tabella4[[#This Row],[Criterio]]</f>
        <v>9.4.1.1</v>
      </c>
      <c r="I3" s="34" t="s">
        <v>1007</v>
      </c>
      <c r="J3" s="34" t="s">
        <v>1008</v>
      </c>
      <c r="K3" s="34" t="s">
        <v>1009</v>
      </c>
      <c r="L3" s="34" t="s">
        <v>1010</v>
      </c>
      <c r="M3" s="34" t="s">
        <v>1011</v>
      </c>
      <c r="N3" t="s">
        <v>435</v>
      </c>
      <c r="O3" t="s">
        <v>436</v>
      </c>
      <c r="P3" t="s">
        <v>383</v>
      </c>
      <c r="R3" s="34" t="str">
        <f>IF(Tabella4[[#This Row],[Componente]]="Documenti",_xlfn.XLOOKUP(Tabella4[[#This Row],[URL]],Tabella27[URL],Tabella27[PDF ID],,0),_xlfn.XLOOKUP(Tabella4[[#This Row],[URL]],Tabella1[URL],Tabella1[Page ID],,0))</f>
        <v>#2</v>
      </c>
      <c r="S3" s="34" t="s">
        <v>434</v>
      </c>
      <c r="T3" s="34" t="s">
        <v>411</v>
      </c>
      <c r="U3" t="s">
        <v>435</v>
      </c>
      <c r="V3" t="s">
        <v>444</v>
      </c>
      <c r="W3" s="34" t="s">
        <v>1062</v>
      </c>
      <c r="X3" s="34" t="str">
        <f>IFERROR(IF(Tabella4[[#This Row],[Tool]]="lighthouse",Tabella4[[#This Row],[Detail]],MID(Tabella4[[#This Row],[Detail]],1,FIND("&gt;",Tabella4[[#This Row],[Detail]]))),Tabella4[[#This Row],[Detail]])</f>
        <v>&lt;p id=\"offcanvas-panel-desc-00_sites\" class=\"sr-only\"&gt;</v>
      </c>
      <c r="Y3" s="34" t="str">
        <f>SUBSTITUTE(IF(Tabella4[[#This Row],[Tool]]="axe-core",MID(Tabella4[[#This Row],[Rejected Element]],3,LEN(Tabella4[[#This Row],[Rejected Element]])-4),Tabella4[[#This Row],[Rejected Element]]),"\","")</f>
        <v>div.side-offcanvas-content-wrap &gt; div.row &gt; div.col-sm-12 &gt; p#offcanvas-panel-desc-00_sites</v>
      </c>
      <c r="Z3" s="34">
        <f>COUNTIFS(Tabella4[Detail univoco],Tabella4[[#This Row],[Detail univoco]],Tabella4[Rejected Element Univoco],Tabella4[[#This Row],[Rejected Element Univoco]],Tabella4[ItemsNodeLabel],Tabella4[[#This Row],[ItemsNodeLabel]])</f>
        <v>15</v>
      </c>
      <c r="AA3" s="34" t="str">
        <f>IF(Tabella4[[#This Row],[Componente]]="Documenti",VLOOKUP(Tabella4[[#This Row],[URL]],Tabella27[[URL]:[Servizio]],4,FALSE),VLOOKUP(Tabella4[[#This Row],[Page ID]],Tabella1[[Page ID]:[Servizio]],4,FALSE))</f>
        <v>S003 Assistenza</v>
      </c>
      <c r="AB3" s="34"/>
      <c r="AC3" s="34" t="str">
        <f>Tabella4[[#This Row],[User Impact]]</f>
        <v>1 - Critical</v>
      </c>
      <c r="AD3" s="34" t="str">
        <f>Copertina!C$2&amp;" - "&amp;Tabella4[[#This Row],[UNI CEI EN 301549]]&amp;" "&amp;VLOOKUP(Tabella4[[#This Row],[Criterio]],Tabella5[[ID]:[Criterio di successo]],2,FALSE)&amp;" - "&amp;Tabella4[[#This Row],[Servizio]]&amp;":"</f>
        <v>Insurance Brocker - 9.4.1.1 Analisi sintattica (parsing) - S003 Assistenza:</v>
      </c>
      <c r="AE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(#D0002)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https://posteinsurancebroker.poste.it/archivio/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3">
        <f>_xlfn.XLOOKUP(Tabella4[[#This Row],[ID Silk]],outTable[ID Silk],outTable[Numero ticket  ],,0,1)</f>
        <v>5974</v>
      </c>
    </row>
    <row r="4" spans="1:32">
      <c r="A4" s="34" t="str">
        <f>MID(Tabella4[[#This Row],[Servizio]],1,4)&amp;Tabella4[[#This Row],[UNI CEI EN 301549]]</f>
        <v>S0039.4.1.1</v>
      </c>
      <c r="B4" s="34" t="str">
        <f>Tabella4[[#This Row],[ID Silk]]&amp;"_1"</f>
        <v>S0039.4.1.1_1</v>
      </c>
      <c r="C4" s="34" t="s">
        <v>416</v>
      </c>
      <c r="D4" s="2" t="str">
        <f>"(#"&amp;Tabella4[[#This Row],['#ID]]&amp;")"</f>
        <v>(#D0003)</v>
      </c>
      <c r="E4" s="34" t="str">
        <f>IF(MID(Tabella4[[#This Row],['#ID]],1,1)="M","Mobile",IF(MID(Tabella4[[#This Row],['#ID]],1,1)="D","Desktop",IF(MID(Tabella4[[#This Row],['#ID]],1,2)="TM","Manuale","Documenti")))</f>
        <v>Desktop</v>
      </c>
      <c r="F4" s="34" t="s">
        <v>1005</v>
      </c>
      <c r="G4" s="34" t="s">
        <v>366</v>
      </c>
      <c r="H4" s="34" t="str">
        <f>IF(Tabella4[[#This Row],[Componente]]="Documenti","10.","9.")&amp;Tabella4[[#This Row],[Criterio]]</f>
        <v>9.4.1.1</v>
      </c>
      <c r="I4" s="34" t="s">
        <v>1007</v>
      </c>
      <c r="J4" s="34" t="s">
        <v>1008</v>
      </c>
      <c r="K4" s="34" t="s">
        <v>1009</v>
      </c>
      <c r="L4" s="34" t="s">
        <v>1010</v>
      </c>
      <c r="M4" s="34" t="s">
        <v>1011</v>
      </c>
      <c r="N4" t="s">
        <v>435</v>
      </c>
      <c r="O4" t="s">
        <v>436</v>
      </c>
      <c r="P4" t="s">
        <v>384</v>
      </c>
      <c r="R4" s="34" t="str">
        <f>IF(Tabella4[[#This Row],[Componente]]="Documenti",_xlfn.XLOOKUP(Tabella4[[#This Row],[URL]],Tabella27[URL],Tabella27[PDF ID],,0),_xlfn.XLOOKUP(Tabella4[[#This Row],[URL]],Tabella1[URL],Tabella1[Page ID],,0))</f>
        <v>#3</v>
      </c>
      <c r="S4" s="34" t="s">
        <v>434</v>
      </c>
      <c r="T4" s="34" t="s">
        <v>411</v>
      </c>
      <c r="U4" t="s">
        <v>435</v>
      </c>
      <c r="V4" t="s">
        <v>444</v>
      </c>
      <c r="W4" s="34" t="s">
        <v>1062</v>
      </c>
      <c r="X4" s="34" t="str">
        <f>IFERROR(IF(Tabella4[[#This Row],[Tool]]="lighthouse",Tabella4[[#This Row],[Detail]],MID(Tabella4[[#This Row],[Detail]],1,FIND("&gt;",Tabella4[[#This Row],[Detail]]))),Tabella4[[#This Row],[Detail]])</f>
        <v>&lt;p id=\"offcanvas-panel-desc-00_sites\" class=\"sr-only\"&gt;</v>
      </c>
      <c r="Y4" s="34" t="str">
        <f>SUBSTITUTE(IF(Tabella4[[#This Row],[Tool]]="axe-core",MID(Tabella4[[#This Row],[Rejected Element]],3,LEN(Tabella4[[#This Row],[Rejected Element]])-4),Tabella4[[#This Row],[Rejected Element]]),"\","")</f>
        <v>div.side-offcanvas-content-wrap &gt; div.row &gt; div.col-sm-12 &gt; p#offcanvas-panel-desc-00_sites</v>
      </c>
      <c r="Z4" s="34">
        <f>COUNTIFS(Tabella4[Detail univoco],Tabella4[[#This Row],[Detail univoco]],Tabella4[Rejected Element Univoco],Tabella4[[#This Row],[Rejected Element Univoco]],Tabella4[ItemsNodeLabel],Tabella4[[#This Row],[ItemsNodeLabel]])</f>
        <v>15</v>
      </c>
      <c r="AA4" s="34" t="str">
        <f>IF(Tabella4[[#This Row],[Componente]]="Documenti",VLOOKUP(Tabella4[[#This Row],[URL]],Tabella27[[URL]:[Servizio]],4,FALSE),VLOOKUP(Tabella4[[#This Row],[Page ID]],Tabella1[[Page ID]:[Servizio]],4,FALSE))</f>
        <v>S003 Assistenza</v>
      </c>
      <c r="AB4" s="34"/>
      <c r="AC4" s="34" t="str">
        <f>Tabella4[[#This Row],[User Impact]]</f>
        <v>1 - Critical</v>
      </c>
      <c r="AD4" s="34" t="str">
        <f>Copertina!C$2&amp;" - "&amp;Tabella4[[#This Row],[UNI CEI EN 301549]]&amp;" "&amp;VLOOKUP(Tabella4[[#This Row],[Criterio]],Tabella5[[ID]:[Criterio di successo]],2,FALSE)&amp;" - "&amp;Tabella4[[#This Row],[Servizio]]&amp;":"</f>
        <v>Insurance Brocker - 9.4.1.1 Analisi sintattica (parsing) - S003 Assistenza:</v>
      </c>
      <c r="AE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(#D0003)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https://posteinsurancebroker.poste.it/assistenza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4">
        <f>_xlfn.XLOOKUP(Tabella4[[#This Row],[ID Silk]],outTable[ID Silk],outTable[Numero ticket  ],,0,1)</f>
        <v>5974</v>
      </c>
    </row>
    <row r="5" spans="1:32">
      <c r="A5" s="34" t="str">
        <f>MID(Tabella4[[#This Row],[Servizio]],1,4)&amp;Tabella4[[#This Row],[UNI CEI EN 301549]]</f>
        <v>S0039.4.1.1</v>
      </c>
      <c r="B5" s="34" t="str">
        <f>Tabella4[[#This Row],[ID Silk]]&amp;"_1"</f>
        <v>S0039.4.1.1_1</v>
      </c>
      <c r="C5" s="34" t="s">
        <v>417</v>
      </c>
      <c r="D5" s="2" t="str">
        <f>"(#"&amp;Tabella4[[#This Row],['#ID]]&amp;")"</f>
        <v>(#D0004)</v>
      </c>
      <c r="E5" s="34" t="str">
        <f>IF(MID(Tabella4[[#This Row],['#ID]],1,1)="M","Mobile",IF(MID(Tabella4[[#This Row],['#ID]],1,1)="D","Desktop",IF(MID(Tabella4[[#This Row],['#ID]],1,2)="TM","Manuale","Documenti")))</f>
        <v>Desktop</v>
      </c>
      <c r="F5" s="34" t="s">
        <v>1005</v>
      </c>
      <c r="G5" s="34" t="s">
        <v>366</v>
      </c>
      <c r="H5" s="34" t="str">
        <f>IF(Tabella4[[#This Row],[Componente]]="Documenti","10.","9.")&amp;Tabella4[[#This Row],[Criterio]]</f>
        <v>9.4.1.1</v>
      </c>
      <c r="I5" s="34" t="s">
        <v>1007</v>
      </c>
      <c r="J5" s="34" t="s">
        <v>1008</v>
      </c>
      <c r="K5" s="34" t="s">
        <v>1009</v>
      </c>
      <c r="L5" s="34" t="s">
        <v>1010</v>
      </c>
      <c r="M5" s="34" t="s">
        <v>1011</v>
      </c>
      <c r="N5" t="s">
        <v>435</v>
      </c>
      <c r="O5" t="s">
        <v>436</v>
      </c>
      <c r="P5" t="s">
        <v>384</v>
      </c>
      <c r="R5" s="34" t="str">
        <f>IF(Tabella4[[#This Row],[Componente]]="Documenti",_xlfn.XLOOKUP(Tabella4[[#This Row],[URL]],Tabella27[URL],Tabella27[PDF ID],,0),_xlfn.XLOOKUP(Tabella4[[#This Row],[URL]],Tabella1[URL],Tabella1[Page ID],,0))</f>
        <v>#3</v>
      </c>
      <c r="S5" s="34" t="s">
        <v>434</v>
      </c>
      <c r="T5" s="34" t="s">
        <v>411</v>
      </c>
      <c r="U5" t="s">
        <v>435</v>
      </c>
      <c r="V5" t="s">
        <v>444</v>
      </c>
      <c r="W5" s="34" t="s">
        <v>1062</v>
      </c>
      <c r="X5" s="34" t="str">
        <f>IFERROR(IF(Tabella4[[#This Row],[Tool]]="lighthouse",Tabella4[[#This Row],[Detail]],MID(Tabella4[[#This Row],[Detail]],1,FIND("&gt;",Tabella4[[#This Row],[Detail]]))),Tabella4[[#This Row],[Detail]])</f>
        <v>&lt;p id=\"offcanvas-panel-desc-00_sites\" class=\"sr-only\"&gt;</v>
      </c>
      <c r="Y5" s="34" t="str">
        <f>SUBSTITUTE(IF(Tabella4[[#This Row],[Tool]]="axe-core",MID(Tabella4[[#This Row],[Rejected Element]],3,LEN(Tabella4[[#This Row],[Rejected Element]])-4),Tabella4[[#This Row],[Rejected Element]]),"\","")</f>
        <v>div.side-offcanvas-content-wrap &gt; div.row &gt; div.col-sm-12 &gt; p#offcanvas-panel-desc-00_sites</v>
      </c>
      <c r="Z5" s="34">
        <f>COUNTIFS(Tabella4[Detail univoco],Tabella4[[#This Row],[Detail univoco]],Tabella4[Rejected Element Univoco],Tabella4[[#This Row],[Rejected Element Univoco]],Tabella4[ItemsNodeLabel],Tabella4[[#This Row],[ItemsNodeLabel]])</f>
        <v>15</v>
      </c>
      <c r="AA5" s="34" t="str">
        <f>IF(Tabella4[[#This Row],[Componente]]="Documenti",VLOOKUP(Tabella4[[#This Row],[URL]],Tabella27[[URL]:[Servizio]],4,FALSE),VLOOKUP(Tabella4[[#This Row],[Page ID]],Tabella1[[Page ID]:[Servizio]],4,FALSE))</f>
        <v>S003 Assistenza</v>
      </c>
      <c r="AB5" s="34"/>
      <c r="AC5" s="34" t="str">
        <f>Tabella4[[#This Row],[User Impact]]</f>
        <v>1 - Critical</v>
      </c>
      <c r="AD5" s="34" t="str">
        <f>Copertina!C$2&amp;" - "&amp;Tabella4[[#This Row],[UNI CEI EN 301549]]&amp;" "&amp;VLOOKUP(Tabella4[[#This Row],[Criterio]],Tabella5[[ID]:[Criterio di successo]],2,FALSE)&amp;" - "&amp;Tabella4[[#This Row],[Servizio]]&amp;":"</f>
        <v>Insurance Brocker - 9.4.1.1 Analisi sintattica (parsing) - S003 Assistenza:</v>
      </c>
      <c r="AE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(#D0004)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https://posteinsurancebroker.poste.it/assistenza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5">
        <f>_xlfn.XLOOKUP(Tabella4[[#This Row],[ID Silk]],outTable[ID Silk],outTable[Numero ticket  ],,0,1)</f>
        <v>5974</v>
      </c>
    </row>
    <row r="6" spans="1:32">
      <c r="A6" s="34" t="str">
        <f>MID(Tabella4[[#This Row],[Servizio]],1,4)&amp;Tabella4[[#This Row],[UNI CEI EN 301549]]</f>
        <v>S0039.4.1.1</v>
      </c>
      <c r="B6" s="34" t="str">
        <f>Tabella4[[#This Row],[ID Silk]]&amp;"_1"</f>
        <v>S0039.4.1.1_1</v>
      </c>
      <c r="C6" s="34" t="s">
        <v>418</v>
      </c>
      <c r="D6" s="2" t="str">
        <f>"(#"&amp;Tabella4[[#This Row],['#ID]]&amp;")"</f>
        <v>(#D0005)</v>
      </c>
      <c r="E6" s="34" t="str">
        <f>IF(MID(Tabella4[[#This Row],['#ID]],1,1)="M","Mobile",IF(MID(Tabella4[[#This Row],['#ID]],1,1)="D","Desktop",IF(MID(Tabella4[[#This Row],['#ID]],1,2)="TM","Manuale","Documenti")))</f>
        <v>Desktop</v>
      </c>
      <c r="F6" s="34" t="s">
        <v>1005</v>
      </c>
      <c r="G6" s="34" t="s">
        <v>366</v>
      </c>
      <c r="H6" s="34" t="str">
        <f>IF(Tabella4[[#This Row],[Componente]]="Documenti","10.","9.")&amp;Tabella4[[#This Row],[Criterio]]</f>
        <v>9.4.1.1</v>
      </c>
      <c r="I6" s="34" t="s">
        <v>1007</v>
      </c>
      <c r="J6" s="34" t="s">
        <v>1008</v>
      </c>
      <c r="K6" s="34" t="s">
        <v>1009</v>
      </c>
      <c r="L6" s="34" t="s">
        <v>1010</v>
      </c>
      <c r="M6" s="34" t="s">
        <v>1011</v>
      </c>
      <c r="N6" t="s">
        <v>435</v>
      </c>
      <c r="O6" t="s">
        <v>436</v>
      </c>
      <c r="P6" t="s">
        <v>385</v>
      </c>
      <c r="R6" s="34" t="str">
        <f>IF(Tabella4[[#This Row],[Componente]]="Documenti",_xlfn.XLOOKUP(Tabella4[[#This Row],[URL]],Tabella27[URL],Tabella27[PDF ID],,0),_xlfn.XLOOKUP(Tabella4[[#This Row],[URL]],Tabella1[URL],Tabella1[Page ID],,0))</f>
        <v>#5</v>
      </c>
      <c r="S6" s="34" t="s">
        <v>434</v>
      </c>
      <c r="T6" s="34" t="s">
        <v>411</v>
      </c>
      <c r="U6" t="s">
        <v>435</v>
      </c>
      <c r="V6" t="s">
        <v>444</v>
      </c>
      <c r="W6" s="34" t="s">
        <v>1062</v>
      </c>
      <c r="X6" s="34" t="str">
        <f>IFERROR(IF(Tabella4[[#This Row],[Tool]]="lighthouse",Tabella4[[#This Row],[Detail]],MID(Tabella4[[#This Row],[Detail]],1,FIND("&gt;",Tabella4[[#This Row],[Detail]]))),Tabella4[[#This Row],[Detail]])</f>
        <v>&lt;p id=\"offcanvas-panel-desc-00_sites\" class=\"sr-only\"&gt;</v>
      </c>
      <c r="Y6" s="34" t="str">
        <f>SUBSTITUTE(IF(Tabella4[[#This Row],[Tool]]="axe-core",MID(Tabella4[[#This Row],[Rejected Element]],3,LEN(Tabella4[[#This Row],[Rejected Element]])-4),Tabella4[[#This Row],[Rejected Element]]),"\","")</f>
        <v>div.side-offcanvas-content-wrap &gt; div.row &gt; div.col-sm-12 &gt; p#offcanvas-panel-desc-00_sites</v>
      </c>
      <c r="Z6" s="34">
        <f>COUNTIFS(Tabella4[Detail univoco],Tabella4[[#This Row],[Detail univoco]],Tabella4[Rejected Element Univoco],Tabella4[[#This Row],[Rejected Element Univoco]],Tabella4[ItemsNodeLabel],Tabella4[[#This Row],[ItemsNodeLabel]])</f>
        <v>15</v>
      </c>
      <c r="AA6" s="34" t="str">
        <f>IF(Tabella4[[#This Row],[Componente]]="Documenti",VLOOKUP(Tabella4[[#This Row],[URL]],Tabella27[[URL]:[Servizio]],4,FALSE),VLOOKUP(Tabella4[[#This Row],[Page ID]],Tabella1[[Page ID]:[Servizio]],4,FALSE))</f>
        <v>S003 Assistenza</v>
      </c>
      <c r="AB6" s="34"/>
      <c r="AC6" s="34" t="str">
        <f>Tabella4[[#This Row],[User Impact]]</f>
        <v>1 - Critical</v>
      </c>
      <c r="AD6" s="34" t="str">
        <f>Copertina!C$2&amp;" - "&amp;Tabella4[[#This Row],[UNI CEI EN 301549]]&amp;" "&amp;VLOOKUP(Tabella4[[#This Row],[Criterio]],Tabella5[[ID]:[Criterio di successo]],2,FALSE)&amp;" - "&amp;Tabella4[[#This Row],[Servizio]]&amp;":"</f>
        <v>Insurance Brocker - 9.4.1.1 Analisi sintattica (parsing) - S003 Assistenza:</v>
      </c>
      <c r="AE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(#D0005)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https://posteinsurancebroker.poste.it/chiamaci/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6">
        <f>_xlfn.XLOOKUP(Tabella4[[#This Row],[ID Silk]],outTable[ID Silk],outTable[Numero ticket  ],,0,1)</f>
        <v>5974</v>
      </c>
    </row>
    <row r="7" spans="1:32">
      <c r="A7" s="34" t="str">
        <f>MID(Tabella4[[#This Row],[Servizio]],1,4)&amp;Tabella4[[#This Row],[UNI CEI EN 301549]]</f>
        <v>S0059.4.1.1</v>
      </c>
      <c r="B7" s="34" t="str">
        <f>Tabella4[[#This Row],[ID Silk]]&amp;"_1"</f>
        <v>S0059.4.1.1_1</v>
      </c>
      <c r="C7" s="34" t="s">
        <v>419</v>
      </c>
      <c r="D7" s="2" t="str">
        <f>"(#"&amp;Tabella4[[#This Row],['#ID]]&amp;")"</f>
        <v>(#D0006)</v>
      </c>
      <c r="E7" s="34" t="str">
        <f>IF(MID(Tabella4[[#This Row],['#ID]],1,1)="M","Mobile",IF(MID(Tabella4[[#This Row],['#ID]],1,1)="D","Desktop",IF(MID(Tabella4[[#This Row],['#ID]],1,2)="TM","Manuale","Documenti")))</f>
        <v>Desktop</v>
      </c>
      <c r="F7" s="34" t="s">
        <v>1005</v>
      </c>
      <c r="G7" s="34" t="s">
        <v>366</v>
      </c>
      <c r="H7" s="34" t="str">
        <f>IF(Tabella4[[#This Row],[Componente]]="Documenti","10.","9.")&amp;Tabella4[[#This Row],[Criterio]]</f>
        <v>9.4.1.1</v>
      </c>
      <c r="I7" s="34" t="s">
        <v>1007</v>
      </c>
      <c r="J7" s="34" t="s">
        <v>1008</v>
      </c>
      <c r="K7" s="34" t="s">
        <v>1009</v>
      </c>
      <c r="L7" s="34" t="s">
        <v>1010</v>
      </c>
      <c r="M7" s="34" t="s">
        <v>1011</v>
      </c>
      <c r="N7" t="s">
        <v>435</v>
      </c>
      <c r="O7" t="s">
        <v>436</v>
      </c>
      <c r="P7" t="s">
        <v>386</v>
      </c>
      <c r="R7" s="34" t="str">
        <f>IF(Tabella4[[#This Row],[Componente]]="Documenti",_xlfn.XLOOKUP(Tabella4[[#This Row],[URL]],Tabella27[URL],Tabella27[PDF ID],,0),_xlfn.XLOOKUP(Tabella4[[#This Row],[URL]],Tabella1[URL],Tabella1[Page ID],,0))</f>
        <v>#6</v>
      </c>
      <c r="S7" s="34" t="s">
        <v>434</v>
      </c>
      <c r="T7" s="34" t="s">
        <v>411</v>
      </c>
      <c r="U7" t="s">
        <v>435</v>
      </c>
      <c r="V7" t="s">
        <v>444</v>
      </c>
      <c r="W7" s="34" t="s">
        <v>1062</v>
      </c>
      <c r="X7" s="34" t="str">
        <f>IFERROR(IF(Tabella4[[#This Row],[Tool]]="lighthouse",Tabella4[[#This Row],[Detail]],MID(Tabella4[[#This Row],[Detail]],1,FIND("&gt;",Tabella4[[#This Row],[Detail]]))),Tabella4[[#This Row],[Detail]])</f>
        <v>&lt;p id=\"offcanvas-panel-desc-00_sites\" class=\"sr-only\"&gt;</v>
      </c>
      <c r="Y7" s="34" t="str">
        <f>SUBSTITUTE(IF(Tabella4[[#This Row],[Tool]]="axe-core",MID(Tabella4[[#This Row],[Rejected Element]],3,LEN(Tabella4[[#This Row],[Rejected Element]])-4),Tabella4[[#This Row],[Rejected Element]]),"\","")</f>
        <v>div.side-offcanvas-content-wrap &gt; div.row &gt; div.col-sm-12 &gt; p#offcanvas-panel-desc-00_sites</v>
      </c>
      <c r="Z7" s="34">
        <f>COUNTIFS(Tabella4[Detail univoco],Tabella4[[#This Row],[Detail univoco]],Tabella4[Rejected Element Univoco],Tabella4[[#This Row],[Rejected Element Univoco]],Tabella4[ItemsNodeLabel],Tabella4[[#This Row],[ItemsNodeLabel]])</f>
        <v>15</v>
      </c>
      <c r="AA7" s="34" t="str">
        <f>IF(Tabella4[[#This Row],[Componente]]="Documenti",VLOOKUP(Tabella4[[#This Row],[URL]],Tabella27[[URL]:[Servizio]],4,FALSE),VLOOKUP(Tabella4[[#This Row],[Page ID]],Tabella1[[Page ID]:[Servizio]],4,FALSE))</f>
        <v>S005 Privacy Policy</v>
      </c>
      <c r="AB7" s="34"/>
      <c r="AC7" s="34" t="str">
        <f>Tabella4[[#This Row],[User Impact]]</f>
        <v>1 - Critical</v>
      </c>
      <c r="AD7" s="34" t="str">
        <f>Copertina!C$2&amp;" - "&amp;Tabella4[[#This Row],[UNI CEI EN 301549]]&amp;" "&amp;VLOOKUP(Tabella4[[#This Row],[Criterio]],Tabella5[[ID]:[Criterio di successo]],2,FALSE)&amp;" - "&amp;Tabella4[[#This Row],[Servizio]]&amp;":"</f>
        <v>Insurance Brocker - 9.4.1.1 Analisi sintattica (parsing) - S005 Privacy Policy:</v>
      </c>
      <c r="AE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S005 Privacy Policy: (#D0006)
S005 Privacy Policy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https://posteinsurancebroker.poste.it/cookie-policy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6): https://posteitaliane.sharepoint.com/:x:/r/teams/ACCESSIBILITRISULTATIVERIFICHETECNICHE-PORTALEIMMIGRAZIONE/Shared%20Documents/PORTALE%20IMMIGRAZIONE/LOG/Log_2411.xlsx?d=wce770a595441461abc11f2c139111c73&amp;csf=1&amp;web=1&amp;e=tpdJfo
Link al dettaglio requisito WCAG: </v>
      </c>
      <c r="AF7">
        <f>_xlfn.XLOOKUP(Tabella4[[#This Row],[ID Silk]],outTable[ID Silk],outTable[Numero ticket  ],,0,1)</f>
        <v>5985</v>
      </c>
    </row>
    <row r="8" spans="1:32">
      <c r="A8" s="34" t="str">
        <f>MID(Tabella4[[#This Row],[Servizio]],1,4)&amp;Tabella4[[#This Row],[UNI CEI EN 301549]]</f>
        <v>S0049.4.1.1</v>
      </c>
      <c r="B8" s="34" t="str">
        <f>Tabella4[[#This Row],[ID Silk]]&amp;"_1"</f>
        <v>S0049.4.1.1_1</v>
      </c>
      <c r="C8" s="34" t="s">
        <v>420</v>
      </c>
      <c r="D8" s="2" t="str">
        <f>"(#"&amp;Tabella4[[#This Row],['#ID]]&amp;")"</f>
        <v>(#D0007)</v>
      </c>
      <c r="E8" s="34" t="str">
        <f>IF(MID(Tabella4[[#This Row],['#ID]],1,1)="M","Mobile",IF(MID(Tabella4[[#This Row],['#ID]],1,1)="D","Desktop",IF(MID(Tabella4[[#This Row],['#ID]],1,2)="TM","Manuale","Documenti")))</f>
        <v>Desktop</v>
      </c>
      <c r="F8" s="34" t="s">
        <v>1005</v>
      </c>
      <c r="G8" s="34" t="s">
        <v>366</v>
      </c>
      <c r="H8" s="34" t="str">
        <f>IF(Tabella4[[#This Row],[Componente]]="Documenti","10.","9.")&amp;Tabella4[[#This Row],[Criterio]]</f>
        <v>9.4.1.1</v>
      </c>
      <c r="I8" s="34" t="s">
        <v>1007</v>
      </c>
      <c r="J8" s="34" t="s">
        <v>1008</v>
      </c>
      <c r="K8" s="34" t="s">
        <v>1009</v>
      </c>
      <c r="L8" s="34" t="s">
        <v>1010</v>
      </c>
      <c r="M8" s="34" t="s">
        <v>1011</v>
      </c>
      <c r="N8" t="s">
        <v>435</v>
      </c>
      <c r="O8" t="s">
        <v>436</v>
      </c>
      <c r="P8" t="s">
        <v>387</v>
      </c>
      <c r="R8" s="34" t="str">
        <f>IF(Tabella4[[#This Row],[Componente]]="Documenti",_xlfn.XLOOKUP(Tabella4[[#This Row],[URL]],Tabella27[URL],Tabella27[PDF ID],,0),_xlfn.XLOOKUP(Tabella4[[#This Row],[URL]],Tabella1[URL],Tabella1[Page ID],,0))</f>
        <v>#7</v>
      </c>
      <c r="S8" s="34" t="s">
        <v>434</v>
      </c>
      <c r="T8" s="34" t="s">
        <v>411</v>
      </c>
      <c r="U8" t="s">
        <v>435</v>
      </c>
      <c r="V8" t="s">
        <v>444</v>
      </c>
      <c r="W8" s="34" t="s">
        <v>1062</v>
      </c>
      <c r="X8" s="34" t="str">
        <f>IFERROR(IF(Tabella4[[#This Row],[Tool]]="lighthouse",Tabella4[[#This Row],[Detail]],MID(Tabella4[[#This Row],[Detail]],1,FIND("&gt;",Tabella4[[#This Row],[Detail]]))),Tabella4[[#This Row],[Detail]])</f>
        <v>&lt;p id=\"offcanvas-panel-desc-00_sites\" class=\"sr-only\"&gt;</v>
      </c>
      <c r="Y8" s="34" t="str">
        <f>SUBSTITUTE(IF(Tabella4[[#This Row],[Tool]]="axe-core",MID(Tabella4[[#This Row],[Rejected Element]],3,LEN(Tabella4[[#This Row],[Rejected Element]])-4),Tabella4[[#This Row],[Rejected Element]]),"\","")</f>
        <v>div.side-offcanvas-content-wrap &gt; div.row &gt; div.col-sm-12 &gt; p#offcanvas-panel-desc-00_sites</v>
      </c>
      <c r="Z8" s="34">
        <f>COUNTIFS(Tabella4[Detail univoco],Tabella4[[#This Row],[Detail univoco]],Tabella4[Rejected Element Univoco],Tabella4[[#This Row],[Rejected Element Univoco]],Tabella4[ItemsNodeLabel],Tabella4[[#This Row],[ItemsNodeLabel]])</f>
        <v>15</v>
      </c>
      <c r="AA8" s="34" t="str">
        <f>IF(Tabella4[[#This Row],[Componente]]="Documenti",VLOOKUP(Tabella4[[#This Row],[URL]],Tabella27[[URL]:[Servizio]],4,FALSE),VLOOKUP(Tabella4[[#This Row],[Page ID]],Tabella1[[Page ID]:[Servizio]],4,FALSE))</f>
        <v>S004 Accessibilità</v>
      </c>
      <c r="AB8" s="34"/>
      <c r="AC8" s="34" t="str">
        <f>Tabella4[[#This Row],[User Impact]]</f>
        <v>1 - Critical</v>
      </c>
      <c r="AD8" s="34" t="str">
        <f>Copertina!C$2&amp;" - "&amp;Tabella4[[#This Row],[UNI CEI EN 301549]]&amp;" "&amp;VLOOKUP(Tabella4[[#This Row],[Criterio]],Tabella5[[ID]:[Criterio di successo]],2,FALSE)&amp;" - "&amp;Tabella4[[#This Row],[Servizio]]&amp;":"</f>
        <v>Insurance Brocker - 9.4.1.1 Analisi sintattica (parsing) - S004 Accessibilità:</v>
      </c>
      <c r="AE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S004 Accessibilità: (#D0007)
S004 Accessibilità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https://posteinsurancebroker.poste.it/dichiarazione-accessibilita/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8">
        <f>_xlfn.XLOOKUP(Tabella4[[#This Row],[ID Silk]],outTable[ID Silk],outTable[Numero ticket  ],,0,1)</f>
        <v>5979</v>
      </c>
    </row>
    <row r="9" spans="1:32">
      <c r="A9" s="34" t="str">
        <f>MID(Tabella4[[#This Row],[Servizio]],1,4)&amp;Tabella4[[#This Row],[UNI CEI EN 301549]]</f>
        <v>S0029.4.1.1</v>
      </c>
      <c r="B9" s="34" t="str">
        <f>Tabella4[[#This Row],[ID Silk]]&amp;"_1"</f>
        <v>S0029.4.1.1_1</v>
      </c>
      <c r="C9" s="34" t="s">
        <v>421</v>
      </c>
      <c r="D9" s="2" t="str">
        <f>"(#"&amp;Tabella4[[#This Row],['#ID]]&amp;")"</f>
        <v>(#D0008)</v>
      </c>
      <c r="E9" s="34" t="str">
        <f>IF(MID(Tabella4[[#This Row],['#ID]],1,1)="M","Mobile",IF(MID(Tabella4[[#This Row],['#ID]],1,1)="D","Desktop",IF(MID(Tabella4[[#This Row],['#ID]],1,2)="TM","Manuale","Documenti")))</f>
        <v>Desktop</v>
      </c>
      <c r="F9" s="34" t="s">
        <v>1005</v>
      </c>
      <c r="G9" s="34" t="s">
        <v>366</v>
      </c>
      <c r="H9" s="34" t="str">
        <f>IF(Tabella4[[#This Row],[Componente]]="Documenti","10.","9.")&amp;Tabella4[[#This Row],[Criterio]]</f>
        <v>9.4.1.1</v>
      </c>
      <c r="I9" s="34" t="s">
        <v>1007</v>
      </c>
      <c r="J9" s="34" t="s">
        <v>1008</v>
      </c>
      <c r="K9" s="34" t="s">
        <v>1009</v>
      </c>
      <c r="L9" s="34" t="s">
        <v>1010</v>
      </c>
      <c r="M9" s="34" t="s">
        <v>1011</v>
      </c>
      <c r="N9" t="s">
        <v>435</v>
      </c>
      <c r="O9" t="s">
        <v>436</v>
      </c>
      <c r="P9" t="s">
        <v>388</v>
      </c>
      <c r="R9" s="34" t="str">
        <f>IF(Tabella4[[#This Row],[Componente]]="Documenti",_xlfn.XLOOKUP(Tabella4[[#This Row],[URL]],Tabella27[URL],Tabella27[PDF ID],,0),_xlfn.XLOOKUP(Tabella4[[#This Row],[URL]],Tabella1[URL],Tabella1[Page ID],,0))</f>
        <v>#8</v>
      </c>
      <c r="S9" s="34" t="s">
        <v>434</v>
      </c>
      <c r="T9" s="34" t="s">
        <v>411</v>
      </c>
      <c r="U9" t="s">
        <v>435</v>
      </c>
      <c r="V9" t="s">
        <v>444</v>
      </c>
      <c r="W9" s="34" t="s">
        <v>1062</v>
      </c>
      <c r="X9" s="34" t="str">
        <f>IFERROR(IF(Tabella4[[#This Row],[Tool]]="lighthouse",Tabella4[[#This Row],[Detail]],MID(Tabella4[[#This Row],[Detail]],1,FIND("&gt;",Tabella4[[#This Row],[Detail]]))),Tabella4[[#This Row],[Detail]])</f>
        <v>&lt;p id=\"offcanvas-panel-desc-00_sites\" class=\"sr-only\"&gt;</v>
      </c>
      <c r="Y9" s="34" t="str">
        <f>SUBSTITUTE(IF(Tabella4[[#This Row],[Tool]]="axe-core",MID(Tabella4[[#This Row],[Rejected Element]],3,LEN(Tabella4[[#This Row],[Rejected Element]])-4),Tabella4[[#This Row],[Rejected Element]]),"\","")</f>
        <v>div.side-offcanvas-content-wrap &gt; div.row &gt; div.col-sm-12 &gt; p#offcanvas-panel-desc-00_sites</v>
      </c>
      <c r="Z9" s="34">
        <f>COUNTIFS(Tabella4[Detail univoco],Tabella4[[#This Row],[Detail univoco]],Tabella4[Rejected Element Univoco],Tabella4[[#This Row],[Rejected Element Univoco]],Tabella4[ItemsNodeLabel],Tabella4[[#This Row],[ItemsNodeLabel]])</f>
        <v>15</v>
      </c>
      <c r="AA9" s="34" t="str">
        <f>IF(Tabella4[[#This Row],[Componente]]="Documenti",VLOOKUP(Tabella4[[#This Row],[URL]],Tabella27[[URL]:[Servizio]],4,FALSE),VLOOKUP(Tabella4[[#This Row],[Page ID]],Tabella1[[Page ID]:[Servizio]],4,FALSE))</f>
        <v>S002 Poste Guidare Sicuri</v>
      </c>
      <c r="AB9" s="34"/>
      <c r="AC9" s="34" t="str">
        <f>Tabella4[[#This Row],[User Impact]]</f>
        <v>1 - Critical</v>
      </c>
      <c r="AD9" s="34" t="str">
        <f>Copertina!C$2&amp;" - "&amp;Tabella4[[#This Row],[UNI CEI EN 301549]]&amp;" "&amp;VLOOKUP(Tabella4[[#This Row],[Criterio]],Tabella5[[ID]:[Criterio di successo]],2,FALSE)&amp;" - "&amp;Tabella4[[#This Row],[Servizio]]&amp;":"</f>
        <v>Insurance Brocker - 9.4.1.1 Analisi sintattica (parsing) - S002 Poste Guidare Sicuri:</v>
      </c>
      <c r="AE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S002 Poste Guidare Sicuri: (#D0008)
S002 Poste Guidare Sicuri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https://posteinsurancebroker.poste.it/faq-poste-guidare-sicuri/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4): https://posteitaliane.sharepoint.com/:x:/r/teams/ACCESSIBILITRISULTATIVERIFICHETECNICHE-PORTALEIMMIGRAZIONE/Shared%20Documents/PORTALE%20IMMIGRAZIONE/LOG/Log_2411.xlsx?d=wce770a595441461abc11f2c139111c73&amp;csf=1&amp;web=1&amp;e=tpdJfo
Link al dettaglio requisito WCAG: </v>
      </c>
      <c r="AF9">
        <f>_xlfn.XLOOKUP(Tabella4[[#This Row],[ID Silk]],outTable[ID Silk],outTable[Numero ticket  ],,0,1)</f>
        <v>6015</v>
      </c>
    </row>
    <row r="10" spans="1:32">
      <c r="A10" s="34" t="str">
        <f>MID(Tabella4[[#This Row],[Servizio]],1,4)&amp;Tabella4[[#This Row],[UNI CEI EN 301549]]</f>
        <v>S0029.1.1.1</v>
      </c>
      <c r="B10" s="34" t="str">
        <f>Tabella4[[#This Row],[ID Silk]]&amp;"_1"</f>
        <v>S0029.1.1.1_1</v>
      </c>
      <c r="C10" s="34" t="s">
        <v>422</v>
      </c>
      <c r="D10" s="2" t="str">
        <f>"(#"&amp;Tabella4[[#This Row],['#ID]]&amp;")"</f>
        <v>(#D0009)</v>
      </c>
      <c r="E10" s="34" t="str">
        <f>IF(MID(Tabella4[[#This Row],['#ID]],1,1)="M","Mobile",IF(MID(Tabella4[[#This Row],['#ID]],1,1)="D","Desktop",IF(MID(Tabella4[[#This Row],['#ID]],1,2)="TM","Manuale","Documenti")))</f>
        <v>Desktop</v>
      </c>
      <c r="F10" s="34" t="s">
        <v>1005</v>
      </c>
      <c r="G10" s="34" t="s">
        <v>124</v>
      </c>
      <c r="H10" s="34" t="str">
        <f>IF(Tabella4[[#This Row],[Componente]]="Documenti","10.","9.")&amp;Tabella4[[#This Row],[Criterio]]</f>
        <v>9.1.1.1</v>
      </c>
      <c r="I10" s="34" t="s">
        <v>1007</v>
      </c>
      <c r="J10" s="34" t="s">
        <v>1008</v>
      </c>
      <c r="K10" s="34" t="s">
        <v>1012</v>
      </c>
      <c r="L10" s="34" t="s">
        <v>1013</v>
      </c>
      <c r="M10" s="34" t="s">
        <v>1014</v>
      </c>
      <c r="N10" t="s">
        <v>437</v>
      </c>
      <c r="O10" t="s">
        <v>438</v>
      </c>
      <c r="P10" t="s">
        <v>389</v>
      </c>
      <c r="R10" s="34" t="str">
        <f>IF(Tabella4[[#This Row],[Componente]]="Documenti",_xlfn.XLOOKUP(Tabella4[[#This Row],[URL]],Tabella27[URL],Tabella27[PDF ID],,0),_xlfn.XLOOKUP(Tabella4[[#This Row],[URL]],Tabella1[URL],Tabella1[Page ID],,0))</f>
        <v>#9</v>
      </c>
      <c r="S10" s="34" t="s">
        <v>434</v>
      </c>
      <c r="T10" s="34" t="s">
        <v>412</v>
      </c>
      <c r="U10" t="s">
        <v>437</v>
      </c>
      <c r="V10" t="s">
        <v>445</v>
      </c>
      <c r="W10" s="34" t="s">
        <v>1063</v>
      </c>
      <c r="X10" s="34" t="str">
        <f>IFERROR(IF(Tabella4[[#This Row],[Tool]]="lighthouse",Tabella4[[#This Row],[Detail]],MID(Tabella4[[#This Row],[Detail]],1,FIND("&gt;",Tabella4[[#This Row],[Detail]]))),Tabella4[[#This Row],[Detail]])</f>
        <v>&lt;img src=\"/risorse_dt_ext/icone/business-account.svg\" srcset=\"/risorse_dt_ext/icone/business-account.svg\"&gt;</v>
      </c>
      <c r="Y10" s="34" t="str">
        <f>SUBSTITUTE(IF(Tabella4[[#This Row],[Tool]]="axe-core",MID(Tabella4[[#This Row],[Rejected Element]],3,LEN(Tabella4[[#This Row],[Rejected Element]])-4),Tabella4[[#This Row],[Rejected Element]]),"\","")</f>
        <v>div.abstract-heading &gt; a.btn &gt; span.icon &gt; img</v>
      </c>
      <c r="Z10" s="34">
        <f>COUNTIFS(Tabella4[Detail univoco],Tabella4[[#This Row],[Detail univoco]],Tabella4[Rejected Element Univoco],Tabella4[[#This Row],[Rejected Element Univoco]],Tabella4[ItemsNodeLabel],Tabella4[[#This Row],[ItemsNodeLabel]])</f>
        <v>2</v>
      </c>
      <c r="AA10" s="34" t="str">
        <f>IF(Tabella4[[#This Row],[Componente]]="Documenti",VLOOKUP(Tabella4[[#This Row],[URL]],Tabella27[[URL]:[Servizio]],4,FALSE),VLOOKUP(Tabella4[[#This Row],[Page ID]],Tabella1[[Page ID]:[Servizio]],4,FALSE))</f>
        <v>S002 Poste Guidare Sicuri</v>
      </c>
      <c r="AB10" s="34"/>
      <c r="AC10" s="34" t="str">
        <f>Tabella4[[#This Row],[User Impact]]</f>
        <v>1 - Critical</v>
      </c>
      <c r="AD10" s="34" t="str">
        <f>Copertina!C$2&amp;" - "&amp;Tabella4[[#This Row],[UNI CEI EN 301549]]&amp;" "&amp;VLOOKUP(Tabella4[[#This Row],[Criterio]],Tabella5[[ID]:[Criterio di successo]],2,FALSE)&amp;" - "&amp;Tabella4[[#This Row],[Servizio]]&amp;":"</f>
        <v>Insurance Brocker - 9.1.1.1 Contenuti non testuali - S002 Poste Guidare Sicuri:</v>
      </c>
      <c r="AE1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- 9.1.1.1 Contenuti non testuali - S002 Poste Guidare Sicuri: (#D0009)
S002 Poste Guidare Sicuri
Requisito: WCAG 1.1.1
Disabilità afflitte: Blind;Deafblind
Impatto Utente: 1 - Critical
Descrizione: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https://posteinsurancebroker.poste.it/fastquote/index.html - &lt;img src=\"/risorse_dt_ext/icone/business-account.svg\" srcset=\"/risorse_dt_ext/icone/business-account.svg\"&gt; con selettore: 
div.abstract-heading &gt; a.btn &gt; span.icon &gt; img
Dettaglio + screenshot (accedere con le seguenti credenziali: user, axeposte@gmail.com; password, Poste2024!): 
Possibile metodologia risolutiva:
Fornisci un attributo alt descrittivo per ogni immagine. Questo consente agli screen reader di descrivere l’immagine agli utenti con disabilità visive, migliorando l’accessibilità del contenuto visivo.
File di log (occorrenze rilevate: 4):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https://posteitaliane.sharepoint.com/:w:/r/teams/ACCESSIBILITRISULTATIVERIFICHETECNICHE/Shared%20Documents/Generale/SCHEDE_REQUISITI/9.1.1.1%20Contenuti%20non%20testuali%20.docx?d=w096cbdf06fa14fbf9d8a34e20106b52f&amp;csf=1&amp;web=1&amp;e=GfrHzT</v>
      </c>
      <c r="AF10">
        <f>_xlfn.XLOOKUP(Tabella4[[#This Row],[ID Silk]],outTable[ID Silk],outTable[Numero ticket  ],,0,1)</f>
        <v>6004</v>
      </c>
    </row>
    <row r="11" spans="1:32">
      <c r="A11" s="34" t="str">
        <f>MID(Tabella4[[#This Row],[Servizio]],1,4)&amp;Tabella4[[#This Row],[UNI CEI EN 301549]]</f>
        <v>S0029.1.1.1</v>
      </c>
      <c r="B11" s="34" t="str">
        <f>Tabella4[[#This Row],[ID Silk]]&amp;"_1"</f>
        <v>S0029.1.1.1_1</v>
      </c>
      <c r="C11" s="34" t="s">
        <v>423</v>
      </c>
      <c r="D11" s="2" t="str">
        <f>"(#"&amp;Tabella4[[#This Row],['#ID]]&amp;")"</f>
        <v>(#D0010)</v>
      </c>
      <c r="E11" s="34" t="str">
        <f>IF(MID(Tabella4[[#This Row],['#ID]],1,1)="M","Mobile",IF(MID(Tabella4[[#This Row],['#ID]],1,1)="D","Desktop",IF(MID(Tabella4[[#This Row],['#ID]],1,2)="TM","Manuale","Documenti")))</f>
        <v>Desktop</v>
      </c>
      <c r="F11" s="34" t="s">
        <v>1005</v>
      </c>
      <c r="G11" s="34" t="s">
        <v>124</v>
      </c>
      <c r="H11" s="34" t="str">
        <f>IF(Tabella4[[#This Row],[Componente]]="Documenti","10.","9.")&amp;Tabella4[[#This Row],[Criterio]]</f>
        <v>9.1.1.1</v>
      </c>
      <c r="I11" s="34" t="s">
        <v>1007</v>
      </c>
      <c r="J11" s="34" t="s">
        <v>1008</v>
      </c>
      <c r="K11" s="34" t="s">
        <v>1012</v>
      </c>
      <c r="L11" s="34" t="s">
        <v>1013</v>
      </c>
      <c r="M11" s="34" t="s">
        <v>1014</v>
      </c>
      <c r="N11" t="s">
        <v>439</v>
      </c>
      <c r="O11" t="s">
        <v>440</v>
      </c>
      <c r="P11" t="s">
        <v>389</v>
      </c>
      <c r="R11" s="34" t="str">
        <f>IF(Tabella4[[#This Row],[Componente]]="Documenti",_xlfn.XLOOKUP(Tabella4[[#This Row],[URL]],Tabella27[URL],Tabella27[PDF ID],,0),_xlfn.XLOOKUP(Tabella4[[#This Row],[URL]],Tabella1[URL],Tabella1[Page ID],,0))</f>
        <v>#9</v>
      </c>
      <c r="S11" s="34" t="s">
        <v>434</v>
      </c>
      <c r="T11" s="34" t="s">
        <v>412</v>
      </c>
      <c r="U11" t="s">
        <v>439</v>
      </c>
      <c r="V11" t="s">
        <v>445</v>
      </c>
      <c r="W11" s="34" t="s">
        <v>1063</v>
      </c>
      <c r="X11" s="34" t="str">
        <f>IFERROR(IF(Tabella4[[#This Row],[Tool]]="lighthouse",Tabella4[[#This Row],[Detail]],MID(Tabella4[[#This Row],[Detail]],1,FIND("&gt;",Tabella4[[#This Row],[Detail]]))),Tabella4[[#This Row],[Detail]])</f>
        <v>&lt;img src=\"/risorse_dt_ext/icone/p@1x.png\" srcset=\"/risorse_dt_ext/icone/p@2x.png 2x\" class=\"mt-4 mb-4 me-2 center-inline\"&gt;</v>
      </c>
      <c r="Y11" s="34" t="str">
        <f>SUBSTITUTE(IF(Tabella4[[#This Row],[Tool]]="axe-core",MID(Tabella4[[#This Row],[Rejected Element]],3,LEN(Tabella4[[#This Row],[Rejected Element]])-4),Tabella4[[#This Row],[Rejected Element]]),"\","")</f>
        <v>div.col-sm-12 &gt; div.box-editable-area &gt; p.text-center &gt; img.mt-4</v>
      </c>
      <c r="Z11" s="34">
        <f>COUNTIFS(Tabella4[Detail univoco],Tabella4[[#This Row],[Detail univoco]],Tabella4[Rejected Element Univoco],Tabella4[[#This Row],[Rejected Element Univoco]],Tabella4[ItemsNodeLabel],Tabella4[[#This Row],[ItemsNodeLabel]])</f>
        <v>2</v>
      </c>
      <c r="AA11" s="34" t="str">
        <f>IF(Tabella4[[#This Row],[Componente]]="Documenti",VLOOKUP(Tabella4[[#This Row],[URL]],Tabella27[[URL]:[Servizio]],4,FALSE),VLOOKUP(Tabella4[[#This Row],[Page ID]],Tabella1[[Page ID]:[Servizio]],4,FALSE))</f>
        <v>S002 Poste Guidare Sicuri</v>
      </c>
      <c r="AB11" s="34"/>
      <c r="AC11" s="34" t="str">
        <f>Tabella4[[#This Row],[User Impact]]</f>
        <v>1 - Critical</v>
      </c>
      <c r="AD11" s="34" t="str">
        <f>Copertina!C$2&amp;" - "&amp;Tabella4[[#This Row],[UNI CEI EN 301549]]&amp;" "&amp;VLOOKUP(Tabella4[[#This Row],[Criterio]],Tabella5[[ID]:[Criterio di successo]],2,FALSE)&amp;" - "&amp;Tabella4[[#This Row],[Servizio]]&amp;":"</f>
        <v>Insurance Brocker - 9.1.1.1 Contenuti non testuali - S002 Poste Guidare Sicuri:</v>
      </c>
      <c r="AE1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- 9.1.1.1 Contenuti non testuali - S002 Poste Guidare Sicuri: (#D0010)
S002 Poste Guidare Sicuri
Requisito: WCAG 1.1.1
Disabilità afflitte: Blind;Deafblind
Impatto Utente: 1 - Critical
Descrizione: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https://posteinsurancebroker.poste.it/fastquote/index.html - &lt;img src=\"/risorse_dt_ext/icone/p@1x.png\" srcset=\"/risorse_dt_ext/icone/p@2x.png 2x\" class=\"mt-4 mb-4 me-2 center-inline\"&gt; con selettore: 
div.col-sm-12 &gt; div.box-editable-area &gt; p.text-center &gt; img.mt-4
Dettaglio + screenshot (accedere con le seguenti credenziali: user, axeposte@gmail.com; password, Poste2024!): 
Possibile metodologia risolutiva:
Fornisci un attributo alt descrittivo per ogni immagine. Questo consente agli screen reader di descrivere l’immagine agli utenti con disabilità visive, migliorando l’accessibilità del contenuto visivo.
File di log (occorrenze rilevate: 4):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https://posteitaliane.sharepoint.com/:w:/r/teams/ACCESSIBILITRISULTATIVERIFICHETECNICHE/Shared%20Documents/Generale/SCHEDE_REQUISITI/9.1.1.1%20Contenuti%20non%20testuali%20.docx?d=w096cbdf06fa14fbf9d8a34e20106b52f&amp;csf=1&amp;web=1&amp;e=GfrHzT</v>
      </c>
      <c r="AF11">
        <f>_xlfn.XLOOKUP(Tabella4[[#This Row],[ID Silk]],outTable[ID Silk],outTable[Numero ticket  ],,0,1)</f>
        <v>6004</v>
      </c>
    </row>
    <row r="12" spans="1:32">
      <c r="A12" s="34" t="str">
        <f>MID(Tabella4[[#This Row],[Servizio]],1,4)&amp;Tabella4[[#This Row],[UNI CEI EN 301549]]</f>
        <v>S0029.1.1.1</v>
      </c>
      <c r="B12" s="34" t="str">
        <f>Tabella4[[#This Row],[ID Silk]]&amp;"_1"</f>
        <v>S0029.1.1.1_1</v>
      </c>
      <c r="C12" s="34" t="s">
        <v>424</v>
      </c>
      <c r="D12" s="2" t="str">
        <f>"(#"&amp;Tabella4[[#This Row],['#ID]]&amp;")"</f>
        <v>(#D0011)</v>
      </c>
      <c r="E12" s="34" t="str">
        <f>IF(MID(Tabella4[[#This Row],['#ID]],1,1)="M","Mobile",IF(MID(Tabella4[[#This Row],['#ID]],1,1)="D","Desktop",IF(MID(Tabella4[[#This Row],['#ID]],1,2)="TM","Manuale","Documenti")))</f>
        <v>Desktop</v>
      </c>
      <c r="F12" s="34" t="s">
        <v>1005</v>
      </c>
      <c r="G12" s="34" t="s">
        <v>124</v>
      </c>
      <c r="H12" s="34" t="str">
        <f>IF(Tabella4[[#This Row],[Componente]]="Documenti","10.","9.")&amp;Tabella4[[#This Row],[Criterio]]</f>
        <v>9.1.1.1</v>
      </c>
      <c r="I12" s="34" t="s">
        <v>1007</v>
      </c>
      <c r="J12" s="34" t="s">
        <v>1008</v>
      </c>
      <c r="K12" s="34" t="s">
        <v>1012</v>
      </c>
      <c r="L12" s="34" t="s">
        <v>1013</v>
      </c>
      <c r="M12" s="34" t="s">
        <v>1014</v>
      </c>
      <c r="N12" t="s">
        <v>439</v>
      </c>
      <c r="O12" t="s">
        <v>441</v>
      </c>
      <c r="P12" t="s">
        <v>389</v>
      </c>
      <c r="R12" s="34" t="str">
        <f>IF(Tabella4[[#This Row],[Componente]]="Documenti",_xlfn.XLOOKUP(Tabella4[[#This Row],[URL]],Tabella27[URL],Tabella27[PDF ID],,0),_xlfn.XLOOKUP(Tabella4[[#This Row],[URL]],Tabella1[URL],Tabella1[Page ID],,0))</f>
        <v>#9</v>
      </c>
      <c r="S12" s="34" t="s">
        <v>434</v>
      </c>
      <c r="T12" s="34" t="s">
        <v>412</v>
      </c>
      <c r="U12" t="s">
        <v>439</v>
      </c>
      <c r="V12" t="s">
        <v>445</v>
      </c>
      <c r="W12" s="34" t="s">
        <v>1063</v>
      </c>
      <c r="X12" s="34" t="str">
        <f>IFERROR(IF(Tabella4[[#This Row],[Tool]]="lighthouse",Tabella4[[#This Row],[Detail]],MID(Tabella4[[#This Row],[Detail]],1,FIND("&gt;",Tabella4[[#This Row],[Detail]]))),Tabella4[[#This Row],[Detail]])</f>
        <v>&lt;img src=\"/assets-da/app/login/img/pp@1x.png\" srcset=\"/assets-da/app/login/img/pp@2x.png 2x\" class=\"mt-4 mb-4 center-inline\"&gt;</v>
      </c>
      <c r="Y12" s="34" t="str">
        <f>SUBSTITUTE(IF(Tabella4[[#This Row],[Tool]]="axe-core",MID(Tabella4[[#This Row],[Rejected Element]],3,LEN(Tabella4[[#This Row],[Rejected Element]])-4),Tabella4[[#This Row],[Rejected Element]]),"\","")</f>
        <v>div.col-sm-12 &gt; div.box-editable-area &gt; p.text-center &gt; img.mt-4</v>
      </c>
      <c r="Z12" s="34">
        <f>COUNTIFS(Tabella4[Detail univoco],Tabella4[[#This Row],[Detail univoco]],Tabella4[Rejected Element Univoco],Tabella4[[#This Row],[Rejected Element Univoco]],Tabella4[ItemsNodeLabel],Tabella4[[#This Row],[ItemsNodeLabel]])</f>
        <v>2</v>
      </c>
      <c r="AA12" s="34" t="str">
        <f>IF(Tabella4[[#This Row],[Componente]]="Documenti",VLOOKUP(Tabella4[[#This Row],[URL]],Tabella27[[URL]:[Servizio]],4,FALSE),VLOOKUP(Tabella4[[#This Row],[Page ID]],Tabella1[[Page ID]:[Servizio]],4,FALSE))</f>
        <v>S002 Poste Guidare Sicuri</v>
      </c>
      <c r="AB12" s="34"/>
      <c r="AC12" s="34" t="str">
        <f>Tabella4[[#This Row],[User Impact]]</f>
        <v>1 - Critical</v>
      </c>
      <c r="AD12" s="34" t="str">
        <f>Copertina!C$2&amp;" - "&amp;Tabella4[[#This Row],[UNI CEI EN 301549]]&amp;" "&amp;VLOOKUP(Tabella4[[#This Row],[Criterio]],Tabella5[[ID]:[Criterio di successo]],2,FALSE)&amp;" - "&amp;Tabella4[[#This Row],[Servizio]]&amp;":"</f>
        <v>Insurance Brocker - 9.1.1.1 Contenuti non testuali - S002 Poste Guidare Sicuri:</v>
      </c>
      <c r="AE1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- 9.1.1.1 Contenuti non testuali - S002 Poste Guidare Sicuri: (#D0011)
S002 Poste Guidare Sicuri
Requisito: WCAG 1.1.1
Disabilità afflitte: Blind;Deafblind
Impatto Utente: 1 - Critical
Descrizione: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https://posteinsurancebroker.poste.it/fastquote/index.html - &lt;img src=\"/assets-da/app/login/img/pp@1x.png\" srcset=\"/assets-da/app/login/img/pp@2x.png 2x\" class=\"mt-4 mb-4 center-inline\"&gt; con selettore: 
div.col-sm-12 &gt; div.box-editable-area &gt; p.text-center &gt; img.mt-4
Dettaglio + screenshot (accedere con le seguenti credenziali: user, axeposte@gmail.com; password, Poste2024!): 
Possibile metodologia risolutiva:
Fornisci un attributo alt descrittivo per ogni immagine. Questo consente agli screen reader di descrivere l’immagine agli utenti con disabilità visive, migliorando l’accessibilità del contenuto visivo.
File di log (occorrenze rilevate: 4):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https://posteitaliane.sharepoint.com/:w:/r/teams/ACCESSIBILITRISULTATIVERIFICHETECNICHE/Shared%20Documents/Generale/SCHEDE_REQUISITI/9.1.1.1%20Contenuti%20non%20testuali%20.docx?d=w096cbdf06fa14fbf9d8a34e20106b52f&amp;csf=1&amp;web=1&amp;e=GfrHzT</v>
      </c>
      <c r="AF12">
        <f>_xlfn.XLOOKUP(Tabella4[[#This Row],[ID Silk]],outTable[ID Silk],outTable[Numero ticket  ],,0,1)</f>
        <v>6004</v>
      </c>
    </row>
    <row r="13" spans="1:32">
      <c r="A13" s="34" t="str">
        <f>MID(Tabella4[[#This Row],[Servizio]],1,4)&amp;Tabella4[[#This Row],[UNI CEI EN 301549]]</f>
        <v>S0029.1.4.4</v>
      </c>
      <c r="B13" s="34" t="str">
        <f>Tabella4[[#This Row],[ID Silk]]&amp;"_1"</f>
        <v>S0029.1.4.4_1</v>
      </c>
      <c r="C13" s="34" t="s">
        <v>425</v>
      </c>
      <c r="D13" s="2" t="str">
        <f>"(#"&amp;Tabella4[[#This Row],['#ID]]&amp;")"</f>
        <v>(#D0012)</v>
      </c>
      <c r="E13" s="34" t="str">
        <f>IF(MID(Tabella4[[#This Row],['#ID]],1,1)="M","Mobile",IF(MID(Tabella4[[#This Row],['#ID]],1,1)="D","Desktop",IF(MID(Tabella4[[#This Row],['#ID]],1,2)="TM","Manuale","Documenti")))</f>
        <v>Desktop</v>
      </c>
      <c r="F13" s="34" t="s">
        <v>1006</v>
      </c>
      <c r="G13" s="34" t="s">
        <v>232</v>
      </c>
      <c r="H13" s="34" t="str">
        <f>IF(Tabella4[[#This Row],[Componente]]="Documenti","10.","9.")&amp;Tabella4[[#This Row],[Criterio]]</f>
        <v>9.1.4.4</v>
      </c>
      <c r="I13" s="34" t="s">
        <v>1007</v>
      </c>
      <c r="J13" s="34" t="s">
        <v>1015</v>
      </c>
      <c r="K13" s="34" t="s">
        <v>1016</v>
      </c>
      <c r="L13" s="34" t="s">
        <v>1017</v>
      </c>
      <c r="M13" s="34" t="s">
        <v>1018</v>
      </c>
      <c r="N13" t="s">
        <v>442</v>
      </c>
      <c r="O13" t="s">
        <v>443</v>
      </c>
      <c r="P13" t="s">
        <v>389</v>
      </c>
      <c r="R13" s="34" t="str">
        <f>IF(Tabella4[[#This Row],[Componente]]="Documenti",_xlfn.XLOOKUP(Tabella4[[#This Row],[URL]],Tabella27[URL],Tabella27[PDF ID],,0),_xlfn.XLOOKUP(Tabella4[[#This Row],[URL]],Tabella1[URL],Tabella1[Page ID],,0))</f>
        <v>#9</v>
      </c>
      <c r="S13" s="34" t="s">
        <v>434</v>
      </c>
      <c r="T13" s="34" t="s">
        <v>413</v>
      </c>
      <c r="U13" t="s">
        <v>442</v>
      </c>
      <c r="V13" t="s">
        <v>446</v>
      </c>
      <c r="W13" s="34" t="s">
        <v>1064</v>
      </c>
      <c r="X13" s="34" t="str">
        <f>IFERROR(IF(Tabella4[[#This Row],[Tool]]="lighthouse",Tabella4[[#This Row],[Detail]],MID(Tabella4[[#This Row],[Detail]],1,FIND("&gt;",Tabella4[[#This Row],[Detail]]))),Tabella4[[#This Row],[Detail]])</f>
        <v>&lt;meta name=\"viewport\" content=\"width=device-width, initial-scale=1, user-scalable=no, user-scalable=0\"&gt;</v>
      </c>
      <c r="Y13" s="34" t="str">
        <f>SUBSTITUTE(IF(Tabella4[[#This Row],[Tool]]="axe-core",MID(Tabella4[[#This Row],[Rejected Element]],3,LEN(Tabella4[[#This Row],[Rejected Element]])-4),Tabella4[[#This Row],[Rejected Element]]),"\","")</f>
        <v>head &gt; meta</v>
      </c>
      <c r="Z13" s="34">
        <f>COUNTIFS(Tabella4[Detail univoco],Tabella4[[#This Row],[Detail univoco]],Tabella4[Rejected Element Univoco],Tabella4[[#This Row],[Rejected Element Univoco]],Tabella4[ItemsNodeLabel],Tabella4[[#This Row],[ItemsNodeLabel]])</f>
        <v>2</v>
      </c>
      <c r="AA13" s="34" t="str">
        <f>IF(Tabella4[[#This Row],[Componente]]="Documenti",VLOOKUP(Tabella4[[#This Row],[URL]],Tabella27[[URL]:[Servizio]],4,FALSE),VLOOKUP(Tabella4[[#This Row],[Page ID]],Tabella1[[Page ID]:[Servizio]],4,FALSE))</f>
        <v>S002 Poste Guidare Sicuri</v>
      </c>
      <c r="AB13" s="34"/>
      <c r="AC13" s="34" t="str">
        <f>Tabella4[[#This Row],[User Impact]]</f>
        <v>1 - Critical</v>
      </c>
      <c r="AD13" s="34" t="str">
        <f>Copertina!C$2&amp;" - "&amp;Tabella4[[#This Row],[UNI CEI EN 301549]]&amp;" "&amp;VLOOKUP(Tabella4[[#This Row],[Criterio]],Tabella5[[ID]:[Criterio di successo]],2,FALSE)&amp;" - "&amp;Tabella4[[#This Row],[Servizio]]&amp;":"</f>
        <v>Insurance Brocker - 9.1.4.4 Ridimensionamento del testo - S002 Poste Guidare Sicuri:</v>
      </c>
      <c r="AE1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- 9.1.4.4 Ridimensionamento del testo - S002 Poste Guidare Sicuri: (#D0012)
S002 Poste Guidare Sicuri
Requisito: WCAG 1.4.4
Disabilità afflitte: Low Vision
Impatto Utente: 1 - Critical
Descrizione: [user-scalable="no"]' viene utilizzato nell'elemento '&lt;meta name="viewport"&gt;' oppure l'attributo '[maximum-scale]' è minore di 5. - La disattivazione dello zoom è problematica per gli utenti ipovedenti che si affidano all'ingrandimento dello schermo per visualizzare correttamente il contenuto di una pagina Web. [Ulteriori informazioni] (https://dequeuniversity.com/rules/axe/4.10/meta-viewport)
Esempio di violazione individuata sull'oggetto: 
https://posteinsurancebroker.poste.it/fastquote/index.html - &lt;meta name=\"viewport\" content=\"width=device-width, initial-scale=1, user-scalable=no, user-scalable=0\"&gt; con selettore: 
head &gt; meta
Dettaglio + screenshot (accedere con le seguenti credenziali: user, axeposte@gmail.com; password, Poste2024!): 
Possibile metodologia risolutiva:
Rimuovere user-scalable="no" dal &lt;meta name="viewport"&gt;: Questo attributo impedisce agli utenti di ingrandire la pagina, violando l'accessibilità. Permettere lo zoom offre maggiore flessibilità per gli utenti con esigenze visive specifiche.
Impostare [maximum-scale] a un valore pari o superiore a 5: Garantire che l'utente possa ingrandire fino al livello desiderato.
Verificare il reflow del contenuto: Dopo aver abilitato lo zoom, assicurarsi che i contenuti si adattino correttamente alle diverse scale senza richiedere lo scrolling orizzontale.
File di log (occorrenze rilevate: 2):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https://posteitaliane.sharepoint.com/:w:/r/teams/ACCESSIBILITRISULTATIVERIFICHETECNICHE/Shared%20Documents/Generale/SCHEDE_REQUISITI/9.1.4.4%20Ridimensionamento%20del%20testo.docx?d=wb29e3fb3b6f9461f9c272ad4ae5b9539&amp;csf=1&amp;web=1&amp;e=DsXnvH</v>
      </c>
      <c r="AF13">
        <f>_xlfn.XLOOKUP(Tabella4[[#This Row],[ID Silk]],outTable[ID Silk],outTable[Numero ticket  ],,0,1)</f>
        <v>6010</v>
      </c>
    </row>
    <row r="14" spans="1:32">
      <c r="A14" s="34" t="str">
        <f>MID(Tabella4[[#This Row],[Servizio]],1,4)&amp;Tabella4[[#This Row],[UNI CEI EN 301549]]</f>
        <v>S0039.4.1.2</v>
      </c>
      <c r="B14" s="34" t="str">
        <f>Tabella4[[#This Row],[ID Silk]]&amp;"_1"</f>
        <v>S0039.4.1.2_1</v>
      </c>
      <c r="C14" s="34" t="s">
        <v>426</v>
      </c>
      <c r="D14" s="2" t="str">
        <f>"(#"&amp;Tabella4[[#This Row],['#ID]]&amp;")"</f>
        <v>(#D0013)</v>
      </c>
      <c r="E14" s="34" t="str">
        <f>IF(MID(Tabella4[[#This Row],['#ID]],1,1)="M","Mobile",IF(MID(Tabella4[[#This Row],['#ID]],1,1)="D","Desktop",IF(MID(Tabella4[[#This Row],['#ID]],1,2)="TM","Manuale","Documenti")))</f>
        <v>Desktop</v>
      </c>
      <c r="F14" s="34" t="s">
        <v>1005</v>
      </c>
      <c r="G14" s="34" t="s">
        <v>368</v>
      </c>
      <c r="H14" s="34" t="str">
        <f>IF(Tabella4[[#This Row],[Componente]]="Documenti","10.","9.")&amp;Tabella4[[#This Row],[Criterio]]</f>
        <v>9.4.1.2</v>
      </c>
      <c r="I14" s="34" t="s">
        <v>1007</v>
      </c>
      <c r="J14" s="34" t="s">
        <v>1019</v>
      </c>
      <c r="K14" s="34" t="s">
        <v>1020</v>
      </c>
      <c r="L14" s="34" t="s">
        <v>1021</v>
      </c>
      <c r="M14" s="34" t="s">
        <v>1022</v>
      </c>
      <c r="P14" t="s">
        <v>390</v>
      </c>
      <c r="R14" s="34" t="str">
        <f>IF(Tabella4[[#This Row],[Componente]]="Documenti",_xlfn.XLOOKUP(Tabella4[[#This Row],[URL]],Tabella27[URL],Tabella27[PDF ID],,0),_xlfn.XLOOKUP(Tabella4[[#This Row],[URL]],Tabella1[URL],Tabella1[Page ID],,0))</f>
        <v>#10</v>
      </c>
      <c r="S14" s="34" t="s">
        <v>434</v>
      </c>
      <c r="T14" s="34" t="s">
        <v>414</v>
      </c>
      <c r="W14" s="34" t="s">
        <v>1065</v>
      </c>
      <c r="X14" s="34">
        <f>IFERROR(IF(Tabella4[[#This Row],[Tool]]="lighthouse",Tabella4[[#This Row],[Detail]],MID(Tabella4[[#This Row],[Detail]],1,FIND("&gt;",Tabella4[[#This Row],[Detail]]))),Tabella4[[#This Row],[Detail]])</f>
        <v>0</v>
      </c>
      <c r="Y14" s="34" t="str">
        <f>SUBSTITUTE(IF(Tabella4[[#This Row],[Tool]]="axe-core",MID(Tabella4[[#This Row],[Rejected Element]],3,LEN(Tabella4[[#This Row],[Rejected Element]])-4),Tabella4[[#This Row],[Rejected Element]]),"\","")</f>
        <v/>
      </c>
      <c r="Z14" s="34">
        <f>COUNTIFS(Tabella4[Detail univoco],Tabella4[[#This Row],[Detail univoco]],Tabella4[Rejected Element Univoco],Tabella4[[#This Row],[Rejected Element Univoco]],Tabella4[ItemsNodeLabel],Tabella4[[#This Row],[ItemsNodeLabel]])</f>
        <v>0</v>
      </c>
      <c r="AA14" s="34" t="str">
        <f>IF(Tabella4[[#This Row],[Componente]]="Documenti",VLOOKUP(Tabella4[[#This Row],[URL]],Tabella27[[URL]:[Servizio]],4,FALSE),VLOOKUP(Tabella4[[#This Row],[Page ID]],Tabella1[[Page ID]:[Servizio]],4,FALSE))</f>
        <v>S003 Assistenza</v>
      </c>
      <c r="AB14" s="34"/>
      <c r="AC14" s="34" t="str">
        <f>Tabella4[[#This Row],[User Impact]]</f>
        <v>1 - Critical</v>
      </c>
      <c r="AD14" s="34" t="str">
        <f>Copertina!C$2&amp;" - "&amp;Tabella4[[#This Row],[UNI CEI EN 301549]]&amp;" "&amp;VLOOKUP(Tabella4[[#This Row],[Criterio]],Tabella5[[ID]:[Criterio di successo]],2,FALSE)&amp;" - "&amp;Tabella4[[#This Row],[Servizio]]&amp;":"</f>
        <v>Insurance Brocker - 9.4.1.2 Nome, ruolo, valore - S003 Assistenza:</v>
      </c>
      <c r="AE1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(#D0013)
S003 Assistenza
Requisito: WCAG 4.1.2
Disabilità afflitte: Blind;Deafblind;Mobility
Impatto Utente: 1 - Critical
Descrizione: Gli elementi devono utilizzare solo attributi ARIA ammissibili - Assicurarsi che gli attributi ARIA siano consentiti per il ruolo di un elemento [Ulteriori informazioni] (https://dequeuniversity.com/rules/axe/4.7/aria-allowed-attr?application=drwright)
Esempio di violazione individuata sull'oggetto: 
https://posteinsurancebroker.poste.it/glossario-assicurativo/ -  con selettore: 
Dettaglio + screenshot (accedere con le seguenti credenziali: user, axeposte@gmail.com; password, Poste2024!): 
Possibile metodologia risolutiva:
Verificare che gli attributi ARIA utilizzati siano ammessi per i ruoli specificati negli elementi, consultando la documentazione ufficiale WAI-ARIA. Rimuovere o correggere gli attributi non validi per garantire conformità e compatibilità.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4">
        <f>_xlfn.XLOOKUP(Tabella4[[#This Row],[ID Silk]],outTable[ID Silk],outTable[Numero ticket  ],,0,1)</f>
        <v>5975</v>
      </c>
    </row>
    <row r="15" spans="1:32">
      <c r="A15" s="34" t="str">
        <f>MID(Tabella4[[#This Row],[Servizio]],1,4)&amp;Tabella4[[#This Row],[UNI CEI EN 301549]]</f>
        <v>S0039.4.1.1</v>
      </c>
      <c r="B15" s="34" t="str">
        <f>Tabella4[[#This Row],[ID Silk]]&amp;"_1"</f>
        <v>S0039.4.1.1_1</v>
      </c>
      <c r="C15" s="34" t="s">
        <v>427</v>
      </c>
      <c r="D15" s="2" t="str">
        <f>"(#"&amp;Tabella4[[#This Row],['#ID]]&amp;")"</f>
        <v>(#D0014)</v>
      </c>
      <c r="E15" s="34" t="str">
        <f>IF(MID(Tabella4[[#This Row],['#ID]],1,1)="M","Mobile",IF(MID(Tabella4[[#This Row],['#ID]],1,1)="D","Desktop",IF(MID(Tabella4[[#This Row],['#ID]],1,2)="TM","Manuale","Documenti")))</f>
        <v>Desktop</v>
      </c>
      <c r="F15" s="34" t="s">
        <v>1005</v>
      </c>
      <c r="G15" s="34" t="s">
        <v>366</v>
      </c>
      <c r="H15" s="34" t="str">
        <f>IF(Tabella4[[#This Row],[Componente]]="Documenti","10.","9.")&amp;Tabella4[[#This Row],[Criterio]]</f>
        <v>9.4.1.1</v>
      </c>
      <c r="I15" s="34" t="s">
        <v>1007</v>
      </c>
      <c r="J15" s="34" t="s">
        <v>1008</v>
      </c>
      <c r="K15" s="34" t="s">
        <v>1009</v>
      </c>
      <c r="L15" s="34" t="s">
        <v>1010</v>
      </c>
      <c r="M15" s="34" t="s">
        <v>1011</v>
      </c>
      <c r="N15" t="s">
        <v>435</v>
      </c>
      <c r="O15" t="s">
        <v>436</v>
      </c>
      <c r="P15" t="s">
        <v>390</v>
      </c>
      <c r="R15" s="34" t="str">
        <f>IF(Tabella4[[#This Row],[Componente]]="Documenti",_xlfn.XLOOKUP(Tabella4[[#This Row],[URL]],Tabella27[URL],Tabella27[PDF ID],,0),_xlfn.XLOOKUP(Tabella4[[#This Row],[URL]],Tabella1[URL],Tabella1[Page ID],,0))</f>
        <v>#10</v>
      </c>
      <c r="S15" s="34" t="s">
        <v>434</v>
      </c>
      <c r="T15" s="34" t="s">
        <v>411</v>
      </c>
      <c r="U15" t="s">
        <v>435</v>
      </c>
      <c r="V15" t="s">
        <v>444</v>
      </c>
      <c r="W15" s="34" t="s">
        <v>1062</v>
      </c>
      <c r="X15" s="34" t="str">
        <f>IFERROR(IF(Tabella4[[#This Row],[Tool]]="lighthouse",Tabella4[[#This Row],[Detail]],MID(Tabella4[[#This Row],[Detail]],1,FIND("&gt;",Tabella4[[#This Row],[Detail]]))),Tabella4[[#This Row],[Detail]])</f>
        <v>&lt;p id=\"offcanvas-panel-desc-00_sites\" class=\"sr-only\"&gt;</v>
      </c>
      <c r="Y15" s="34" t="str">
        <f>SUBSTITUTE(IF(Tabella4[[#This Row],[Tool]]="axe-core",MID(Tabella4[[#This Row],[Rejected Element]],3,LEN(Tabella4[[#This Row],[Rejected Element]])-4),Tabella4[[#This Row],[Rejected Element]]),"\","")</f>
        <v>div.side-offcanvas-content-wrap &gt; div.row &gt; div.col-sm-12 &gt; p#offcanvas-panel-desc-00_sites</v>
      </c>
      <c r="Z15" s="34">
        <f>COUNTIFS(Tabella4[Detail univoco],Tabella4[[#This Row],[Detail univoco]],Tabella4[Rejected Element Univoco],Tabella4[[#This Row],[Rejected Element Univoco]],Tabella4[ItemsNodeLabel],Tabella4[[#This Row],[ItemsNodeLabel]])</f>
        <v>15</v>
      </c>
      <c r="AA15" s="34" t="str">
        <f>IF(Tabella4[[#This Row],[Componente]]="Documenti",VLOOKUP(Tabella4[[#This Row],[URL]],Tabella27[[URL]:[Servizio]],4,FALSE),VLOOKUP(Tabella4[[#This Row],[Page ID]],Tabella1[[Page ID]:[Servizio]],4,FALSE))</f>
        <v>S003 Assistenza</v>
      </c>
      <c r="AB15" s="34"/>
      <c r="AC15" s="34" t="str">
        <f>Tabella4[[#This Row],[User Impact]]</f>
        <v>1 - Critical</v>
      </c>
      <c r="AD15" s="34" t="str">
        <f>Copertina!C$2&amp;" - "&amp;Tabella4[[#This Row],[UNI CEI EN 301549]]&amp;" "&amp;VLOOKUP(Tabella4[[#This Row],[Criterio]],Tabella5[[ID]:[Criterio di successo]],2,FALSE)&amp;" - "&amp;Tabella4[[#This Row],[Servizio]]&amp;":"</f>
        <v>Insurance Brocker - 9.4.1.1 Analisi sintattica (parsing) - S003 Assistenza:</v>
      </c>
      <c r="AE1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(#D0014)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https://posteinsurancebroker.poste.it/glossario-assicurativo/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15">
        <f>_xlfn.XLOOKUP(Tabella4[[#This Row],[ID Silk]],outTable[ID Silk],outTable[Numero ticket  ],,0,1)</f>
        <v>5974</v>
      </c>
    </row>
    <row r="16" spans="1:32">
      <c r="A16" s="34" t="str">
        <f>MID(Tabella4[[#This Row],[Servizio]],1,4)&amp;Tabella4[[#This Row],[UNI CEI EN 301549]]</f>
        <v>S0029.4.1.1</v>
      </c>
      <c r="B16" s="34" t="str">
        <f>Tabella4[[#This Row],[ID Silk]]&amp;"_1"</f>
        <v>S0029.4.1.1_1</v>
      </c>
      <c r="C16" s="34" t="s">
        <v>428</v>
      </c>
      <c r="D16" s="2" t="str">
        <f>"(#"&amp;Tabella4[[#This Row],['#ID]]&amp;")"</f>
        <v>(#D0015)</v>
      </c>
      <c r="E16" s="34" t="str">
        <f>IF(MID(Tabella4[[#This Row],['#ID]],1,1)="M","Mobile",IF(MID(Tabella4[[#This Row],['#ID]],1,1)="D","Desktop",IF(MID(Tabella4[[#This Row],['#ID]],1,2)="TM","Manuale","Documenti")))</f>
        <v>Desktop</v>
      </c>
      <c r="F16" s="34" t="s">
        <v>1005</v>
      </c>
      <c r="G16" s="34" t="s">
        <v>366</v>
      </c>
      <c r="H16" s="34" t="str">
        <f>IF(Tabella4[[#This Row],[Componente]]="Documenti","10.","9.")&amp;Tabella4[[#This Row],[Criterio]]</f>
        <v>9.4.1.1</v>
      </c>
      <c r="I16" s="34" t="s">
        <v>1007</v>
      </c>
      <c r="J16" s="34" t="s">
        <v>1008</v>
      </c>
      <c r="K16" s="34" t="s">
        <v>1009</v>
      </c>
      <c r="L16" s="34" t="s">
        <v>1010</v>
      </c>
      <c r="M16" s="34" t="s">
        <v>1011</v>
      </c>
      <c r="N16" t="s">
        <v>435</v>
      </c>
      <c r="O16" t="s">
        <v>436</v>
      </c>
      <c r="P16" t="s">
        <v>391</v>
      </c>
      <c r="R16" s="34" t="str">
        <f>IF(Tabella4[[#This Row],[Componente]]="Documenti",_xlfn.XLOOKUP(Tabella4[[#This Row],[URL]],Tabella27[URL],Tabella27[PDF ID],,0),_xlfn.XLOOKUP(Tabella4[[#This Row],[URL]],Tabella1[URL],Tabella1[Page ID],,0))</f>
        <v>#11</v>
      </c>
      <c r="S16" s="34" t="s">
        <v>434</v>
      </c>
      <c r="T16" s="34" t="s">
        <v>411</v>
      </c>
      <c r="U16" t="s">
        <v>435</v>
      </c>
      <c r="V16" t="s">
        <v>444</v>
      </c>
      <c r="W16" s="34" t="s">
        <v>1062</v>
      </c>
      <c r="X16" s="34" t="str">
        <f>IFERROR(IF(Tabella4[[#This Row],[Tool]]="lighthouse",Tabella4[[#This Row],[Detail]],MID(Tabella4[[#This Row],[Detail]],1,FIND("&gt;",Tabella4[[#This Row],[Detail]]))),Tabella4[[#This Row],[Detail]])</f>
        <v>&lt;p id=\"offcanvas-panel-desc-00_sites\" class=\"sr-only\"&gt;</v>
      </c>
      <c r="Y16" s="34" t="str">
        <f>SUBSTITUTE(IF(Tabella4[[#This Row],[Tool]]="axe-core",MID(Tabella4[[#This Row],[Rejected Element]],3,LEN(Tabella4[[#This Row],[Rejected Element]])-4),Tabella4[[#This Row],[Rejected Element]]),"\","")</f>
        <v>div.side-offcanvas-content-wrap &gt; div.row &gt; div.col-sm-12 &gt; p#offcanvas-panel-desc-00_sites</v>
      </c>
      <c r="Z16" s="34">
        <f>COUNTIFS(Tabella4[Detail univoco],Tabella4[[#This Row],[Detail univoco]],Tabella4[Rejected Element Univoco],Tabella4[[#This Row],[Rejected Element Univoco]],Tabella4[ItemsNodeLabel],Tabella4[[#This Row],[ItemsNodeLabel]])</f>
        <v>15</v>
      </c>
      <c r="AA16" s="34" t="str">
        <f>IF(Tabella4[[#This Row],[Componente]]="Documenti",VLOOKUP(Tabella4[[#This Row],[URL]],Tabella27[[URL]:[Servizio]],4,FALSE),VLOOKUP(Tabella4[[#This Row],[Page ID]],Tabella1[[Page ID]:[Servizio]],4,FALSE))</f>
        <v>S002 Poste Guidare Sicuri</v>
      </c>
      <c r="AB16" s="34"/>
      <c r="AC16" s="34" t="str">
        <f>Tabella4[[#This Row],[User Impact]]</f>
        <v>1 - Critical</v>
      </c>
      <c r="AD16" s="34" t="str">
        <f>Copertina!C$2&amp;" - "&amp;Tabella4[[#This Row],[UNI CEI EN 301549]]&amp;" "&amp;VLOOKUP(Tabella4[[#This Row],[Criterio]],Tabella5[[ID]:[Criterio di successo]],2,FALSE)&amp;" - "&amp;Tabella4[[#This Row],[Servizio]]&amp;":"</f>
        <v>Insurance Brocker - 9.4.1.1 Analisi sintattica (parsing) - S002 Poste Guidare Sicuri:</v>
      </c>
      <c r="AE1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S002 Poste Guidare Sicuri: (#D0015)
S002 Poste Guidare Sicuri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https://posteinsurancebroker.poste.it/poste-guidare-sicuri/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4): https://posteitaliane.sharepoint.com/:x:/r/teams/ACCESSIBILITRISULTATIVERIFICHETECNICHE-PORTALEIMMIGRAZIONE/Shared%20Documents/PORTALE%20IMMIGRAZIONE/LOG/Log_2411.xlsx?d=wce770a595441461abc11f2c139111c73&amp;csf=1&amp;web=1&amp;e=tpdJfo
Link al dettaglio requisito WCAG: </v>
      </c>
      <c r="AF16">
        <f>_xlfn.XLOOKUP(Tabella4[[#This Row],[ID Silk]],outTable[ID Silk],outTable[Numero ticket  ],,0,1)</f>
        <v>6015</v>
      </c>
    </row>
    <row r="17" spans="1:32">
      <c r="A17" s="34" t="str">
        <f>MID(Tabella4[[#This Row],[Servizio]],1,4)&amp;Tabella4[[#This Row],[UNI CEI EN 301549]]</f>
        <v>S0059.4.1.1</v>
      </c>
      <c r="B17" s="34" t="str">
        <f>Tabella4[[#This Row],[ID Silk]]&amp;"_1"</f>
        <v>S0059.4.1.1_1</v>
      </c>
      <c r="C17" s="34" t="s">
        <v>429</v>
      </c>
      <c r="D17" s="2" t="str">
        <f>"(#"&amp;Tabella4[[#This Row],['#ID]]&amp;")"</f>
        <v>(#D0016)</v>
      </c>
      <c r="E17" s="34" t="str">
        <f>IF(MID(Tabella4[[#This Row],['#ID]],1,1)="M","Mobile",IF(MID(Tabella4[[#This Row],['#ID]],1,1)="D","Desktop",IF(MID(Tabella4[[#This Row],['#ID]],1,2)="TM","Manuale","Documenti")))</f>
        <v>Desktop</v>
      </c>
      <c r="F17" s="34" t="s">
        <v>1005</v>
      </c>
      <c r="G17" s="34" t="s">
        <v>366</v>
      </c>
      <c r="H17" s="34" t="str">
        <f>IF(Tabella4[[#This Row],[Componente]]="Documenti","10.","9.")&amp;Tabella4[[#This Row],[Criterio]]</f>
        <v>9.4.1.1</v>
      </c>
      <c r="I17" s="34" t="s">
        <v>1007</v>
      </c>
      <c r="J17" s="34" t="s">
        <v>1008</v>
      </c>
      <c r="K17" s="34" t="s">
        <v>1009</v>
      </c>
      <c r="L17" s="34" t="s">
        <v>1010</v>
      </c>
      <c r="M17" s="34" t="s">
        <v>1011</v>
      </c>
      <c r="N17" t="s">
        <v>435</v>
      </c>
      <c r="O17" t="s">
        <v>436</v>
      </c>
      <c r="P17" t="s">
        <v>392</v>
      </c>
      <c r="R17" s="34" t="str">
        <f>IF(Tabella4[[#This Row],[Componente]]="Documenti",_xlfn.XLOOKUP(Tabella4[[#This Row],[URL]],Tabella27[URL],Tabella27[PDF ID],,0),_xlfn.XLOOKUP(Tabella4[[#This Row],[URL]],Tabella1[URL],Tabella1[Page ID],,0))</f>
        <v>#12</v>
      </c>
      <c r="S17" s="34" t="s">
        <v>434</v>
      </c>
      <c r="T17" s="34" t="s">
        <v>411</v>
      </c>
      <c r="U17" t="s">
        <v>435</v>
      </c>
      <c r="V17" t="s">
        <v>444</v>
      </c>
      <c r="W17" s="34" t="s">
        <v>1062</v>
      </c>
      <c r="X17" s="34" t="str">
        <f>IFERROR(IF(Tabella4[[#This Row],[Tool]]="lighthouse",Tabella4[[#This Row],[Detail]],MID(Tabella4[[#This Row],[Detail]],1,FIND("&gt;",Tabella4[[#This Row],[Detail]]))),Tabella4[[#This Row],[Detail]])</f>
        <v>&lt;p id=\"offcanvas-panel-desc-00_sites\" class=\"sr-only\"&gt;</v>
      </c>
      <c r="Y17" s="34" t="str">
        <f>SUBSTITUTE(IF(Tabella4[[#This Row],[Tool]]="axe-core",MID(Tabella4[[#This Row],[Rejected Element]],3,LEN(Tabella4[[#This Row],[Rejected Element]])-4),Tabella4[[#This Row],[Rejected Element]]),"\","")</f>
        <v>div.side-offcanvas-content-wrap &gt; div.row &gt; div.col-sm-12 &gt; p#offcanvas-panel-desc-00_sites</v>
      </c>
      <c r="Z17" s="34">
        <f>COUNTIFS(Tabella4[Detail univoco],Tabella4[[#This Row],[Detail univoco]],Tabella4[Rejected Element Univoco],Tabella4[[#This Row],[Rejected Element Univoco]],Tabella4[ItemsNodeLabel],Tabella4[[#This Row],[ItemsNodeLabel]])</f>
        <v>15</v>
      </c>
      <c r="AA17" s="34" t="str">
        <f>IF(Tabella4[[#This Row],[Componente]]="Documenti",VLOOKUP(Tabella4[[#This Row],[URL]],Tabella27[[URL]:[Servizio]],4,FALSE),VLOOKUP(Tabella4[[#This Row],[Page ID]],Tabella1[[Page ID]:[Servizio]],4,FALSE))</f>
        <v>S005 Privacy Policy</v>
      </c>
      <c r="AB17" s="34"/>
      <c r="AC17" s="34" t="str">
        <f>Tabella4[[#This Row],[User Impact]]</f>
        <v>1 - Critical</v>
      </c>
      <c r="AD17" s="34" t="str">
        <f>Copertina!C$2&amp;" - "&amp;Tabella4[[#This Row],[UNI CEI EN 301549]]&amp;" "&amp;VLOOKUP(Tabella4[[#This Row],[Criterio]],Tabella5[[ID]:[Criterio di successo]],2,FALSE)&amp;" - "&amp;Tabella4[[#This Row],[Servizio]]&amp;":"</f>
        <v>Insurance Brocker - 9.4.1.1 Analisi sintattica (parsing) - S005 Privacy Policy:</v>
      </c>
      <c r="AE1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S005 Privacy Policy: (#D0016)
S005 Privacy Policy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https://posteinsurancebroker.poste.it/privacy-policy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6): https://posteitaliane.sharepoint.com/:x:/r/teams/ACCESSIBILITRISULTATIVERIFICHETECNICHE-PORTALEIMMIGRAZIONE/Shared%20Documents/PORTALE%20IMMIGRAZIONE/LOG/Log_2411.xlsx?d=wce770a595441461abc11f2c139111c73&amp;csf=1&amp;web=1&amp;e=tpdJfo
Link al dettaglio requisito WCAG: </v>
      </c>
      <c r="AF17">
        <f>_xlfn.XLOOKUP(Tabella4[[#This Row],[ID Silk]],outTable[ID Silk],outTable[Numero ticket  ],,0,1)</f>
        <v>5985</v>
      </c>
    </row>
    <row r="18" spans="1:32">
      <c r="A18" s="34" t="str">
        <f>MID(Tabella4[[#This Row],[Servizio]],1,4)&amp;Tabella4[[#This Row],[UNI CEI EN 301549]]</f>
        <v>S0059.4.1.1</v>
      </c>
      <c r="B18" s="34" t="str">
        <f>Tabella4[[#This Row],[ID Silk]]&amp;"_1"</f>
        <v>S0059.4.1.1_1</v>
      </c>
      <c r="C18" s="34" t="s">
        <v>430</v>
      </c>
      <c r="D18" s="2" t="str">
        <f>"(#"&amp;Tabella4[[#This Row],['#ID]]&amp;")"</f>
        <v>(#D0017)</v>
      </c>
      <c r="E18" s="34" t="str">
        <f>IF(MID(Tabella4[[#This Row],['#ID]],1,1)="M","Mobile",IF(MID(Tabella4[[#This Row],['#ID]],1,1)="D","Desktop",IF(MID(Tabella4[[#This Row],['#ID]],1,2)="TM","Manuale","Documenti")))</f>
        <v>Desktop</v>
      </c>
      <c r="F18" s="34" t="s">
        <v>1005</v>
      </c>
      <c r="G18" s="34" t="s">
        <v>366</v>
      </c>
      <c r="H18" s="34" t="str">
        <f>IF(Tabella4[[#This Row],[Componente]]="Documenti","10.","9.")&amp;Tabella4[[#This Row],[Criterio]]</f>
        <v>9.4.1.1</v>
      </c>
      <c r="I18" s="34" t="s">
        <v>1007</v>
      </c>
      <c r="J18" s="34" t="s">
        <v>1008</v>
      </c>
      <c r="K18" s="34" t="s">
        <v>1009</v>
      </c>
      <c r="L18" s="34" t="s">
        <v>1010</v>
      </c>
      <c r="M18" s="34" t="s">
        <v>1011</v>
      </c>
      <c r="N18" t="s">
        <v>435</v>
      </c>
      <c r="O18" t="s">
        <v>436</v>
      </c>
      <c r="P18" t="s">
        <v>392</v>
      </c>
      <c r="R18" s="34" t="str">
        <f>IF(Tabella4[[#This Row],[Componente]]="Documenti",_xlfn.XLOOKUP(Tabella4[[#This Row],[URL]],Tabella27[URL],Tabella27[PDF ID],,0),_xlfn.XLOOKUP(Tabella4[[#This Row],[URL]],Tabella1[URL],Tabella1[Page ID],,0))</f>
        <v>#12</v>
      </c>
      <c r="S18" s="34" t="s">
        <v>434</v>
      </c>
      <c r="T18" s="34" t="s">
        <v>411</v>
      </c>
      <c r="U18" t="s">
        <v>435</v>
      </c>
      <c r="V18" t="s">
        <v>444</v>
      </c>
      <c r="W18" s="34" t="s">
        <v>1062</v>
      </c>
      <c r="X18" s="34" t="str">
        <f>IFERROR(IF(Tabella4[[#This Row],[Tool]]="lighthouse",Tabella4[[#This Row],[Detail]],MID(Tabella4[[#This Row],[Detail]],1,FIND("&gt;",Tabella4[[#This Row],[Detail]]))),Tabella4[[#This Row],[Detail]])</f>
        <v>&lt;p id=\"offcanvas-panel-desc-00_sites\" class=\"sr-only\"&gt;</v>
      </c>
      <c r="Y18" s="34" t="str">
        <f>SUBSTITUTE(IF(Tabella4[[#This Row],[Tool]]="axe-core",MID(Tabella4[[#This Row],[Rejected Element]],3,LEN(Tabella4[[#This Row],[Rejected Element]])-4),Tabella4[[#This Row],[Rejected Element]]),"\","")</f>
        <v>div.side-offcanvas-content-wrap &gt; div.row &gt; div.col-sm-12 &gt; p#offcanvas-panel-desc-00_sites</v>
      </c>
      <c r="Z18" s="34">
        <f>COUNTIFS(Tabella4[Detail univoco],Tabella4[[#This Row],[Detail univoco]],Tabella4[Rejected Element Univoco],Tabella4[[#This Row],[Rejected Element Univoco]],Tabella4[ItemsNodeLabel],Tabella4[[#This Row],[ItemsNodeLabel]])</f>
        <v>15</v>
      </c>
      <c r="AA18" s="34" t="str">
        <f>IF(Tabella4[[#This Row],[Componente]]="Documenti",VLOOKUP(Tabella4[[#This Row],[URL]],Tabella27[[URL]:[Servizio]],4,FALSE),VLOOKUP(Tabella4[[#This Row],[Page ID]],Tabella1[[Page ID]:[Servizio]],4,FALSE))</f>
        <v>S005 Privacy Policy</v>
      </c>
      <c r="AB18" s="34"/>
      <c r="AC18" s="34" t="str">
        <f>Tabella4[[#This Row],[User Impact]]</f>
        <v>1 - Critical</v>
      </c>
      <c r="AD18" s="34" t="str">
        <f>Copertina!C$2&amp;" - "&amp;Tabella4[[#This Row],[UNI CEI EN 301549]]&amp;" "&amp;VLOOKUP(Tabella4[[#This Row],[Criterio]],Tabella5[[ID]:[Criterio di successo]],2,FALSE)&amp;" - "&amp;Tabella4[[#This Row],[Servizio]]&amp;":"</f>
        <v>Insurance Brocker - 9.4.1.1 Analisi sintattica (parsing) - S005 Privacy Policy:</v>
      </c>
      <c r="AE1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S005 Privacy Policy: (#D0017)
S005 Privacy Policy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https://posteinsurancebroker.poste.it/privacy-policy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6): https://posteitaliane.sharepoint.com/:x:/r/teams/ACCESSIBILITRISULTATIVERIFICHETECNICHE-PORTALEIMMIGRAZIONE/Shared%20Documents/PORTALE%20IMMIGRAZIONE/LOG/Log_2411.xlsx?d=wce770a595441461abc11f2c139111c73&amp;csf=1&amp;web=1&amp;e=tpdJfo
Link al dettaglio requisito WCAG: </v>
      </c>
      <c r="AF18">
        <f>_xlfn.XLOOKUP(Tabella4[[#This Row],[ID Silk]],outTable[ID Silk],outTable[Numero ticket  ],,0,1)</f>
        <v>5985</v>
      </c>
    </row>
    <row r="19" spans="1:32">
      <c r="A19" s="34" t="str">
        <f>MID(Tabella4[[#This Row],[Servizio]],1,4)&amp;Tabella4[[#This Row],[UNI CEI EN 301549]]</f>
        <v>S0039.4.1.1</v>
      </c>
      <c r="B19" s="34" t="str">
        <f>Tabella4[[#This Row],[ID Silk]]&amp;"_1"</f>
        <v>S0039.4.1.1_1</v>
      </c>
      <c r="C19" s="34" t="s">
        <v>431</v>
      </c>
      <c r="D19" s="2" t="str">
        <f>"(#"&amp;Tabella4[[#This Row],['#ID]]&amp;")"</f>
        <v>(#D0018)</v>
      </c>
      <c r="E19" s="34" t="str">
        <f>IF(MID(Tabella4[[#This Row],['#ID]],1,1)="M","Mobile",IF(MID(Tabella4[[#This Row],['#ID]],1,1)="D","Desktop",IF(MID(Tabella4[[#This Row],['#ID]],1,2)="TM","Manuale","Documenti")))</f>
        <v>Desktop</v>
      </c>
      <c r="F19" s="34" t="s">
        <v>1005</v>
      </c>
      <c r="G19" s="34" t="s">
        <v>366</v>
      </c>
      <c r="H19" s="34" t="str">
        <f>IF(Tabella4[[#This Row],[Componente]]="Documenti","10.","9.")&amp;Tabella4[[#This Row],[Criterio]]</f>
        <v>9.4.1.1</v>
      </c>
      <c r="I19" s="34" t="s">
        <v>1007</v>
      </c>
      <c r="J19" s="34" t="s">
        <v>1008</v>
      </c>
      <c r="K19" s="34" t="s">
        <v>1009</v>
      </c>
      <c r="L19" s="34" t="s">
        <v>1010</v>
      </c>
      <c r="M19" s="34" t="s">
        <v>1011</v>
      </c>
      <c r="N19" t="s">
        <v>435</v>
      </c>
      <c r="O19" t="s">
        <v>436</v>
      </c>
      <c r="P19" t="s">
        <v>393</v>
      </c>
      <c r="R19" s="34" t="str">
        <f>IF(Tabella4[[#This Row],[Componente]]="Documenti",_xlfn.XLOOKUP(Tabella4[[#This Row],[URL]],Tabella27[URL],Tabella27[PDF ID],,0),_xlfn.XLOOKUP(Tabella4[[#This Row],[URL]],Tabella1[URL],Tabella1[Page ID],,0))</f>
        <v>#13</v>
      </c>
      <c r="S19" s="34" t="s">
        <v>434</v>
      </c>
      <c r="T19" s="34" t="s">
        <v>411</v>
      </c>
      <c r="U19" t="s">
        <v>435</v>
      </c>
      <c r="V19" t="s">
        <v>444</v>
      </c>
      <c r="W19" s="34" t="s">
        <v>1062</v>
      </c>
      <c r="X19" s="34" t="str">
        <f>IFERROR(IF(Tabella4[[#This Row],[Tool]]="lighthouse",Tabella4[[#This Row],[Detail]],MID(Tabella4[[#This Row],[Detail]],1,FIND("&gt;",Tabella4[[#This Row],[Detail]]))),Tabella4[[#This Row],[Detail]])</f>
        <v>&lt;p id=\"offcanvas-panel-desc-00_sites\" class=\"sr-only\"&gt;</v>
      </c>
      <c r="Y19" s="34" t="str">
        <f>SUBSTITUTE(IF(Tabella4[[#This Row],[Tool]]="axe-core",MID(Tabella4[[#This Row],[Rejected Element]],3,LEN(Tabella4[[#This Row],[Rejected Element]])-4),Tabella4[[#This Row],[Rejected Element]]),"\","")</f>
        <v>div.side-offcanvas-content-wrap &gt; div.row &gt; div.col-sm-12 &gt; p#offcanvas-panel-desc-00_sites</v>
      </c>
      <c r="Z19" s="34">
        <f>COUNTIFS(Tabella4[Detail univoco],Tabella4[[#This Row],[Detail univoco]],Tabella4[Rejected Element Univoco],Tabella4[[#This Row],[Rejected Element Univoco]],Tabella4[ItemsNodeLabel],Tabella4[[#This Row],[ItemsNodeLabel]])</f>
        <v>15</v>
      </c>
      <c r="AA19" s="34" t="str">
        <f>IF(Tabella4[[#This Row],[Componente]]="Documenti",VLOOKUP(Tabella4[[#This Row],[URL]],Tabella27[[URL]:[Servizio]],4,FALSE),VLOOKUP(Tabella4[[#This Row],[Page ID]],Tabella1[[Page ID]:[Servizio]],4,FALSE))</f>
        <v>S003 Assistenza</v>
      </c>
      <c r="AB19" s="34"/>
      <c r="AC19" s="34" t="str">
        <f>Tabella4[[#This Row],[User Impact]]</f>
        <v>1 - Critical</v>
      </c>
      <c r="AD19" s="34" t="str">
        <f>Copertina!C$2&amp;" - "&amp;Tabella4[[#This Row],[UNI CEI EN 301549]]&amp;" "&amp;VLOOKUP(Tabella4[[#This Row],[Criterio]],Tabella5[[ID]:[Criterio di successo]],2,FALSE)&amp;" - "&amp;Tabella4[[#This Row],[Servizio]]&amp;":"</f>
        <v>Insurance Brocker - 9.4.1.1 Analisi sintattica (parsing) - S003 Assistenza:</v>
      </c>
      <c r="AE1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(#D0018)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https://posteinsurancebroker.poste.it/reclami/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19">
        <f>_xlfn.XLOOKUP(Tabella4[[#This Row],[ID Silk]],outTable[ID Silk],outTable[Numero ticket  ],,0,1)</f>
        <v>5974</v>
      </c>
    </row>
    <row r="20" spans="1:32">
      <c r="A20" s="34" t="str">
        <f>MID(Tabella4[[#This Row],[Servizio]],1,4)&amp;Tabella4[[#This Row],[UNI CEI EN 301549]]</f>
        <v>S0069.4.1.1</v>
      </c>
      <c r="B20" s="34" t="str">
        <f>Tabella4[[#This Row],[ID Silk]]&amp;"_1"</f>
        <v>S0069.4.1.1_1</v>
      </c>
      <c r="C20" s="34" t="s">
        <v>432</v>
      </c>
      <c r="D20" s="2" t="str">
        <f>"(#"&amp;Tabella4[[#This Row],['#ID]]&amp;")"</f>
        <v>(#D0019)</v>
      </c>
      <c r="E20" s="34" t="str">
        <f>IF(MID(Tabella4[[#This Row],['#ID]],1,1)="M","Mobile",IF(MID(Tabella4[[#This Row],['#ID]],1,1)="D","Desktop",IF(MID(Tabella4[[#This Row],['#ID]],1,2)="TM","Manuale","Documenti")))</f>
        <v>Desktop</v>
      </c>
      <c r="F20" s="34" t="s">
        <v>1005</v>
      </c>
      <c r="G20" s="34" t="s">
        <v>366</v>
      </c>
      <c r="H20" s="34" t="str">
        <f>IF(Tabella4[[#This Row],[Componente]]="Documenti","10.","9.")&amp;Tabella4[[#This Row],[Criterio]]</f>
        <v>9.4.1.1</v>
      </c>
      <c r="I20" s="34" t="s">
        <v>1007</v>
      </c>
      <c r="J20" s="34" t="s">
        <v>1008</v>
      </c>
      <c r="K20" s="34" t="s">
        <v>1009</v>
      </c>
      <c r="L20" s="34" t="s">
        <v>1010</v>
      </c>
      <c r="M20" s="34" t="s">
        <v>1011</v>
      </c>
      <c r="N20" t="s">
        <v>435</v>
      </c>
      <c r="O20" t="s">
        <v>436</v>
      </c>
      <c r="P20" t="s">
        <v>381</v>
      </c>
      <c r="R20" s="34" t="str">
        <f>IF(Tabella4[[#This Row],[Componente]]="Documenti",_xlfn.XLOOKUP(Tabella4[[#This Row],[URL]],Tabella27[URL],Tabella27[PDF ID],,0),_xlfn.XLOOKUP(Tabella4[[#This Row],[URL]],Tabella1[URL],Tabella1[Page ID],,0))</f>
        <v>#14</v>
      </c>
      <c r="S20" s="34" t="s">
        <v>434</v>
      </c>
      <c r="T20" s="34" t="s">
        <v>411</v>
      </c>
      <c r="U20" t="s">
        <v>435</v>
      </c>
      <c r="V20" t="s">
        <v>444</v>
      </c>
      <c r="W20" s="34" t="s">
        <v>1062</v>
      </c>
      <c r="X20" s="34" t="str">
        <f>IFERROR(IF(Tabella4[[#This Row],[Tool]]="lighthouse",Tabella4[[#This Row],[Detail]],MID(Tabella4[[#This Row],[Detail]],1,FIND("&gt;",Tabella4[[#This Row],[Detail]]))),Tabella4[[#This Row],[Detail]])</f>
        <v>&lt;p id=\"offcanvas-panel-desc-00_sites\" class=\"sr-only\"&gt;</v>
      </c>
      <c r="Y20" s="34" t="str">
        <f>SUBSTITUTE(IF(Tabella4[[#This Row],[Tool]]="axe-core",MID(Tabella4[[#This Row],[Rejected Element]],3,LEN(Tabella4[[#This Row],[Rejected Element]])-4),Tabella4[[#This Row],[Rejected Element]]),"\","")</f>
        <v>div.side-offcanvas-content-wrap &gt; div.row &gt; div.col-sm-12 &gt; p#offcanvas-panel-desc-00_sites</v>
      </c>
      <c r="Z20" s="34">
        <f>COUNTIFS(Tabella4[Detail univoco],Tabella4[[#This Row],[Detail univoco]],Tabella4[Rejected Element Univoco],Tabella4[[#This Row],[Rejected Element Univoco]],Tabella4[ItemsNodeLabel],Tabella4[[#This Row],[ItemsNodeLabel]])</f>
        <v>15</v>
      </c>
      <c r="AA20" s="34" t="str">
        <f>IF(Tabella4[[#This Row],[Componente]]="Documenti",VLOOKUP(Tabella4[[#This Row],[URL]],Tabella27[[URL]:[Servizio]],4,FALSE),VLOOKUP(Tabella4[[#This Row],[Page ID]],Tabella1[[Page ID]:[Servizio]],4,FALSE))</f>
        <v>S006 L'azienda</v>
      </c>
      <c r="AB20" s="34"/>
      <c r="AC20" s="34" t="str">
        <f>Tabella4[[#This Row],[User Impact]]</f>
        <v>1 - Critical</v>
      </c>
      <c r="AD20" s="34" t="str">
        <f>Copertina!C$2&amp;" - "&amp;Tabella4[[#This Row],[UNI CEI EN 301549]]&amp;" "&amp;VLOOKUP(Tabella4[[#This Row],[Criterio]],Tabella5[[ID]:[Criterio di successo]],2,FALSE)&amp;" - "&amp;Tabella4[[#This Row],[Servizio]]&amp;":"</f>
        <v>Insurance Brocker - 9.4.1.1 Analisi sintattica (parsing) - S006 L'azienda:</v>
      </c>
      <c r="AE2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S006 L'azienda: (#D0019)
S006 L'azienda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https://posteinsurancebroker.poste.it/segnalazioni-anomalie/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20">
        <f>_xlfn.XLOOKUP(Tabella4[[#This Row],[ID Silk]],outTable[ID Silk],outTable[Numero ticket  ],,0,1)</f>
        <v>5997</v>
      </c>
    </row>
    <row r="21" spans="1:32">
      <c r="A21" s="34" t="str">
        <f>MID(Tabella4[[#This Row],[Servizio]],1,4)&amp;Tabella4[[#This Row],[UNI CEI EN 301549]]</f>
        <v>S0039.4.1.1</v>
      </c>
      <c r="B21" s="34" t="str">
        <f>Tabella4[[#This Row],[ID Silk]]&amp;"_1"</f>
        <v>S0039.4.1.1_1</v>
      </c>
      <c r="C21" s="34" t="s">
        <v>433</v>
      </c>
      <c r="D21" s="2" t="str">
        <f>"(#"&amp;Tabella4[[#This Row],['#ID]]&amp;")"</f>
        <v>(#D0020)</v>
      </c>
      <c r="E21" s="34" t="str">
        <f>IF(MID(Tabella4[[#This Row],['#ID]],1,1)="M","Mobile",IF(MID(Tabella4[[#This Row],['#ID]],1,1)="D","Desktop",IF(MID(Tabella4[[#This Row],['#ID]],1,2)="TM","Manuale","Documenti")))</f>
        <v>Desktop</v>
      </c>
      <c r="F21" s="34" t="s">
        <v>1005</v>
      </c>
      <c r="G21" s="34" t="s">
        <v>366</v>
      </c>
      <c r="H21" s="34" t="str">
        <f>IF(Tabella4[[#This Row],[Componente]]="Documenti","10.","9.")&amp;Tabella4[[#This Row],[Criterio]]</f>
        <v>9.4.1.1</v>
      </c>
      <c r="I21" s="34" t="s">
        <v>1007</v>
      </c>
      <c r="J21" s="34" t="s">
        <v>1008</v>
      </c>
      <c r="K21" s="34" t="s">
        <v>1009</v>
      </c>
      <c r="L21" s="34" t="s">
        <v>1010</v>
      </c>
      <c r="M21" s="34" t="s">
        <v>1011</v>
      </c>
      <c r="N21" t="s">
        <v>435</v>
      </c>
      <c r="O21" t="s">
        <v>436</v>
      </c>
      <c r="P21" t="s">
        <v>394</v>
      </c>
      <c r="R21" s="34" t="str">
        <f>IF(Tabella4[[#This Row],[Componente]]="Documenti",_xlfn.XLOOKUP(Tabella4[[#This Row],[URL]],Tabella27[URL],Tabella27[PDF ID],,0),_xlfn.XLOOKUP(Tabella4[[#This Row],[URL]],Tabella1[URL],Tabella1[Page ID],,0))</f>
        <v>#15</v>
      </c>
      <c r="S21" s="34" t="s">
        <v>434</v>
      </c>
      <c r="T21" s="34" t="s">
        <v>411</v>
      </c>
      <c r="U21" t="s">
        <v>435</v>
      </c>
      <c r="V21" t="s">
        <v>444</v>
      </c>
      <c r="W21" s="34" t="s">
        <v>1062</v>
      </c>
      <c r="X21" s="34" t="str">
        <f>IFERROR(IF(Tabella4[[#This Row],[Tool]]="lighthouse",Tabella4[[#This Row],[Detail]],MID(Tabella4[[#This Row],[Detail]],1,FIND("&gt;",Tabella4[[#This Row],[Detail]]))),Tabella4[[#This Row],[Detail]])</f>
        <v>&lt;p id=\"offcanvas-panel-desc-00_sites\" class=\"sr-only\"&gt;</v>
      </c>
      <c r="Y21" s="34" t="str">
        <f>SUBSTITUTE(IF(Tabella4[[#This Row],[Tool]]="axe-core",MID(Tabella4[[#This Row],[Rejected Element]],3,LEN(Tabella4[[#This Row],[Rejected Element]])-4),Tabella4[[#This Row],[Rejected Element]]),"\","")</f>
        <v>div.side-offcanvas-content-wrap &gt; div.row &gt; div.col-sm-12 &gt; p#offcanvas-panel-desc-00_sites</v>
      </c>
      <c r="Z21" s="34">
        <f>COUNTIFS(Tabella4[Detail univoco],Tabella4[[#This Row],[Detail univoco]],Tabella4[Rejected Element Univoco],Tabella4[[#This Row],[Rejected Element Univoco]],Tabella4[ItemsNodeLabel],Tabella4[[#This Row],[ItemsNodeLabel]])</f>
        <v>15</v>
      </c>
      <c r="AA21" s="34" t="str">
        <f>IF(Tabella4[[#This Row],[Componente]]="Documenti",VLOOKUP(Tabella4[[#This Row],[URL]],Tabella27[[URL]:[Servizio]],4,FALSE),VLOOKUP(Tabella4[[#This Row],[Page ID]],Tabella1[[Page ID]:[Servizio]],4,FALSE))</f>
        <v>S003 Assistenza</v>
      </c>
      <c r="AB21" s="34"/>
      <c r="AC21" s="34" t="str">
        <f>Tabella4[[#This Row],[User Impact]]</f>
        <v>1 - Critical</v>
      </c>
      <c r="AD21" s="34" t="str">
        <f>Copertina!C$2&amp;" - "&amp;Tabella4[[#This Row],[UNI CEI EN 301549]]&amp;" "&amp;VLOOKUP(Tabella4[[#This Row],[Criterio]],Tabella5[[ID]:[Criterio di successo]],2,FALSE)&amp;" - "&amp;Tabella4[[#This Row],[Servizio]]&amp;":"</f>
        <v>Insurance Brocker - 9.4.1.1 Analisi sintattica (parsing) - S003 Assistenza:</v>
      </c>
      <c r="AE2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(#D0020)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https://posteinsurancebroker.poste.it/sinistri/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21">
        <f>_xlfn.XLOOKUP(Tabella4[[#This Row],[ID Silk]],outTable[ID Silk],outTable[Numero ticket  ],,0,1)</f>
        <v>5974</v>
      </c>
    </row>
    <row r="22" spans="1:32">
      <c r="A22" s="34" t="str">
        <f>MID(Tabella4[[#This Row],[Servizio]],1,4)&amp;Tabella4[[#This Row],[UNI CEI EN 301549]]</f>
        <v>S0019.4.1.1</v>
      </c>
      <c r="B22" s="34" t="str">
        <f>Tabella4[[#This Row],[ID Silk]]&amp;"_1"</f>
        <v>S0019.4.1.1_1</v>
      </c>
      <c r="C22" s="34" t="s">
        <v>447</v>
      </c>
      <c r="D22" s="2" t="str">
        <f>"(#"&amp;Tabella4[[#This Row],['#ID]]&amp;")"</f>
        <v>(#M0001)</v>
      </c>
      <c r="E22" s="34" t="str">
        <f>IF(MID(Tabella4[[#This Row],['#ID]],1,1)="M","Mobile",IF(MID(Tabella4[[#This Row],['#ID]],1,1)="D","Desktop",IF(MID(Tabella4[[#This Row],['#ID]],1,2)="TM","Manuale","Documenti")))</f>
        <v>Mobile</v>
      </c>
      <c r="F22" s="34" t="s">
        <v>1005</v>
      </c>
      <c r="G22" s="34" t="s">
        <v>366</v>
      </c>
      <c r="H22" s="34" t="str">
        <f>IF(Tabella4[[#This Row],[Componente]]="Documenti","10.","9.")&amp;Tabella4[[#This Row],[Criterio]]</f>
        <v>9.4.1.1</v>
      </c>
      <c r="I22" s="34" t="s">
        <v>1007</v>
      </c>
      <c r="J22" s="34" t="s">
        <v>1008</v>
      </c>
      <c r="K22" s="34" t="s">
        <v>1009</v>
      </c>
      <c r="L22" s="34" t="s">
        <v>1010</v>
      </c>
      <c r="M22" s="34" t="s">
        <v>1011</v>
      </c>
      <c r="N22" t="s">
        <v>435</v>
      </c>
      <c r="O22" t="s">
        <v>436</v>
      </c>
      <c r="P22" t="s">
        <v>382</v>
      </c>
      <c r="R22" s="34" t="str">
        <f>IF(Tabella4[[#This Row],[Componente]]="Documenti",_xlfn.XLOOKUP(Tabella4[[#This Row],[URL]],Tabella27[URL],Tabella27[PDF ID],,0),_xlfn.XLOOKUP(Tabella4[[#This Row],[URL]],Tabella1[URL],Tabella1[Page ID],,0))</f>
        <v>#1</v>
      </c>
      <c r="S22" s="34" t="s">
        <v>434</v>
      </c>
      <c r="T22" t="s">
        <v>411</v>
      </c>
      <c r="U22" t="s">
        <v>448</v>
      </c>
      <c r="V22" t="s">
        <v>444</v>
      </c>
      <c r="W22" s="34" t="s">
        <v>1062</v>
      </c>
      <c r="X22" s="34" t="str">
        <f>IFERROR(IF(Tabella4[[#This Row],[Tool]]="lighthouse",Tabella4[[#This Row],[Detail]],MID(Tabella4[[#This Row],[Detail]],1,FIND("&gt;",Tabella4[[#This Row],[Detail]]))),Tabella4[[#This Row],[Detail]])</f>
        <v>&lt;p id=\"offcanvas-panel-desc-00_sites\" class=\"sr-only\"&gt;</v>
      </c>
      <c r="Y22" s="34" t="str">
        <f>SUBSTITUTE(IF(Tabella4[[#This Row],[Tool]]="axe-core",MID(Tabella4[[#This Row],[Rejected Element]],3,LEN(Tabella4[[#This Row],[Rejected Element]])-4),Tabella4[[#This Row],[Rejected Element]]),"\","")</f>
        <v>div.side-offcanvas-content-wrap &gt; div.row &gt; div.col-sm-12 &gt; p#offcanvas-panel-desc-00_sites</v>
      </c>
      <c r="Z22" s="34">
        <f>COUNTIFS(Tabella4[Detail univoco],Tabella4[[#This Row],[Detail univoco]],Tabella4[Rejected Element Univoco],Tabella4[[#This Row],[Rejected Element Univoco]],Tabella4[ItemsNodeLabel],Tabella4[[#This Row],[ItemsNodeLabel]])</f>
        <v>15</v>
      </c>
      <c r="AA22" s="34" t="str">
        <f>IF(Tabella4[[#This Row],[Componente]]="Documenti",VLOOKUP(Tabella4[[#This Row],[URL]],Tabella27[[URL]:[Servizio]],4,FALSE),VLOOKUP(Tabella4[[#This Row],[Page ID]],Tabella1[[Page ID]:[Servizio]],4,FALSE))</f>
        <v>S001 Homepage</v>
      </c>
      <c r="AB22" s="34"/>
      <c r="AC22" s="34" t="str">
        <f>Tabella4[[#This Row],[User Impact]]</f>
        <v>1 - Critical</v>
      </c>
      <c r="AD22" s="34" t="str">
        <f>Copertina!C$2&amp;" - "&amp;Tabella4[[#This Row],[UNI CEI EN 301549]]&amp;" "&amp;VLOOKUP(Tabella4[[#This Row],[Criterio]],Tabella5[[ID]:[Criterio di successo]],2,FALSE)&amp;" - "&amp;Tabella4[[#This Row],[Servizio]]&amp;":"</f>
        <v>Insurance Brocker - 9.4.1.1 Analisi sintattica (parsing) - S001 Homepage:</v>
      </c>
      <c r="AE2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S001 Homepage: (#M0001)
S001 Homepage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22">
        <f>_xlfn.XLOOKUP(Tabella4[[#This Row],[ID Silk]],outTable[ID Silk],outTable[Numero ticket  ],,0,1)</f>
        <v>6007</v>
      </c>
    </row>
    <row r="23" spans="1:32">
      <c r="A23" s="34" t="str">
        <f>MID(Tabella4[[#This Row],[Servizio]],1,4)&amp;Tabella4[[#This Row],[UNI CEI EN 301549]]</f>
        <v>S0039.4.1.1</v>
      </c>
      <c r="B23" s="34" t="str">
        <f>Tabella4[[#This Row],[ID Silk]]&amp;"_1"</f>
        <v>S0039.4.1.1_1</v>
      </c>
      <c r="C23" s="34" t="s">
        <v>449</v>
      </c>
      <c r="D23" s="2" t="str">
        <f>"(#"&amp;Tabella4[[#This Row],['#ID]]&amp;")"</f>
        <v>(#M0002)</v>
      </c>
      <c r="E23" s="34" t="str">
        <f>IF(MID(Tabella4[[#This Row],['#ID]],1,1)="M","Mobile",IF(MID(Tabella4[[#This Row],['#ID]],1,1)="D","Desktop",IF(MID(Tabella4[[#This Row],['#ID]],1,2)="TM","Manuale","Documenti")))</f>
        <v>Mobile</v>
      </c>
      <c r="F23" s="34" t="s">
        <v>1005</v>
      </c>
      <c r="G23" s="34" t="s">
        <v>366</v>
      </c>
      <c r="H23" s="34" t="str">
        <f>IF(Tabella4[[#This Row],[Componente]]="Documenti","10.","9.")&amp;Tabella4[[#This Row],[Criterio]]</f>
        <v>9.4.1.1</v>
      </c>
      <c r="I23" s="34" t="s">
        <v>1007</v>
      </c>
      <c r="J23" s="34" t="s">
        <v>1008</v>
      </c>
      <c r="K23" s="34" t="s">
        <v>1009</v>
      </c>
      <c r="L23" s="34" t="s">
        <v>1010</v>
      </c>
      <c r="M23" s="34" t="s">
        <v>1011</v>
      </c>
      <c r="N23" t="s">
        <v>435</v>
      </c>
      <c r="O23" t="s">
        <v>436</v>
      </c>
      <c r="P23" t="s">
        <v>383</v>
      </c>
      <c r="R23" s="34" t="str">
        <f>IF(Tabella4[[#This Row],[Componente]]="Documenti",_xlfn.XLOOKUP(Tabella4[[#This Row],[URL]],Tabella27[URL],Tabella27[PDF ID],,0),_xlfn.XLOOKUP(Tabella4[[#This Row],[URL]],Tabella1[URL],Tabella1[Page ID],,0))</f>
        <v>#2</v>
      </c>
      <c r="S23" s="34" t="s">
        <v>434</v>
      </c>
      <c r="T23" s="34" t="s">
        <v>411</v>
      </c>
      <c r="U23" t="s">
        <v>448</v>
      </c>
      <c r="V23" t="s">
        <v>444</v>
      </c>
      <c r="W23" s="34" t="s">
        <v>1062</v>
      </c>
      <c r="X23" s="34" t="str">
        <f>IFERROR(IF(Tabella4[[#This Row],[Tool]]="lighthouse",Tabella4[[#This Row],[Detail]],MID(Tabella4[[#This Row],[Detail]],1,FIND("&gt;",Tabella4[[#This Row],[Detail]]))),Tabella4[[#This Row],[Detail]])</f>
        <v>&lt;p id=\"offcanvas-panel-desc-00_sites\" class=\"sr-only\"&gt;</v>
      </c>
      <c r="Y23" s="34" t="str">
        <f>SUBSTITUTE(IF(Tabella4[[#This Row],[Tool]]="axe-core",MID(Tabella4[[#This Row],[Rejected Element]],3,LEN(Tabella4[[#This Row],[Rejected Element]])-4),Tabella4[[#This Row],[Rejected Element]]),"\","")</f>
        <v>div.side-offcanvas-content-wrap &gt; div.row &gt; div.col-sm-12 &gt; p#offcanvas-panel-desc-00_sites</v>
      </c>
      <c r="Z23" s="34">
        <f>COUNTIFS(Tabella4[Detail univoco],Tabella4[[#This Row],[Detail univoco]],Tabella4[Rejected Element Univoco],Tabella4[[#This Row],[Rejected Element Univoco]],Tabella4[ItemsNodeLabel],Tabella4[[#This Row],[ItemsNodeLabel]])</f>
        <v>15</v>
      </c>
      <c r="AA23" s="34" t="str">
        <f>IF(Tabella4[[#This Row],[Componente]]="Documenti",VLOOKUP(Tabella4[[#This Row],[URL]],Tabella27[[URL]:[Servizio]],4,FALSE),VLOOKUP(Tabella4[[#This Row],[Page ID]],Tabella1[[Page ID]:[Servizio]],4,FALSE))</f>
        <v>S003 Assistenza</v>
      </c>
      <c r="AB23" s="34"/>
      <c r="AC23" s="34" t="str">
        <f>Tabella4[[#This Row],[User Impact]]</f>
        <v>1 - Critical</v>
      </c>
      <c r="AD23" s="34" t="str">
        <f>Copertina!C$2&amp;" - "&amp;Tabella4[[#This Row],[UNI CEI EN 301549]]&amp;" "&amp;VLOOKUP(Tabella4[[#This Row],[Criterio]],Tabella5[[ID]:[Criterio di successo]],2,FALSE)&amp;" - "&amp;Tabella4[[#This Row],[Servizio]]&amp;":"</f>
        <v>Insurance Brocker - 9.4.1.1 Analisi sintattica (parsing) - S003 Assistenza:</v>
      </c>
      <c r="AE2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(#M0002)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https://posteinsurancebroker.poste.it/archivio/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23">
        <f>_xlfn.XLOOKUP(Tabella4[[#This Row],[ID Silk]],outTable[ID Silk],outTable[Numero ticket  ],,0,1)</f>
        <v>5974</v>
      </c>
    </row>
    <row r="24" spans="1:32">
      <c r="A24" s="34" t="str">
        <f>MID(Tabella4[[#This Row],[Servizio]],1,4)&amp;Tabella4[[#This Row],[UNI CEI EN 301549]]</f>
        <v>S0039.4.1.1</v>
      </c>
      <c r="B24" s="34" t="str">
        <f>Tabella4[[#This Row],[ID Silk]]&amp;"_1"</f>
        <v>S0039.4.1.1_1</v>
      </c>
      <c r="C24" s="34" t="s">
        <v>450</v>
      </c>
      <c r="D24" s="2" t="str">
        <f>"(#"&amp;Tabella4[[#This Row],['#ID]]&amp;")"</f>
        <v>(#M0003)</v>
      </c>
      <c r="E24" s="34" t="str">
        <f>IF(MID(Tabella4[[#This Row],['#ID]],1,1)="M","Mobile",IF(MID(Tabella4[[#This Row],['#ID]],1,1)="D","Desktop",IF(MID(Tabella4[[#This Row],['#ID]],1,2)="TM","Manuale","Documenti")))</f>
        <v>Mobile</v>
      </c>
      <c r="F24" s="34" t="s">
        <v>1005</v>
      </c>
      <c r="G24" s="34" t="s">
        <v>366</v>
      </c>
      <c r="H24" s="34" t="str">
        <f>IF(Tabella4[[#This Row],[Componente]]="Documenti","10.","9.")&amp;Tabella4[[#This Row],[Criterio]]</f>
        <v>9.4.1.1</v>
      </c>
      <c r="I24" s="34" t="s">
        <v>1007</v>
      </c>
      <c r="J24" s="34" t="s">
        <v>1008</v>
      </c>
      <c r="K24" s="34" t="s">
        <v>1009</v>
      </c>
      <c r="L24" s="34" t="s">
        <v>1010</v>
      </c>
      <c r="M24" s="34" t="s">
        <v>1011</v>
      </c>
      <c r="N24" t="s">
        <v>435</v>
      </c>
      <c r="O24" t="s">
        <v>436</v>
      </c>
      <c r="P24" t="s">
        <v>384</v>
      </c>
      <c r="R24" s="34" t="str">
        <f>IF(Tabella4[[#This Row],[Componente]]="Documenti",_xlfn.XLOOKUP(Tabella4[[#This Row],[URL]],Tabella27[URL],Tabella27[PDF ID],,0),_xlfn.XLOOKUP(Tabella4[[#This Row],[URL]],Tabella1[URL],Tabella1[Page ID],,0))</f>
        <v>#3</v>
      </c>
      <c r="S24" s="34" t="s">
        <v>434</v>
      </c>
      <c r="T24" s="34" t="s">
        <v>411</v>
      </c>
      <c r="U24" t="s">
        <v>448</v>
      </c>
      <c r="V24" t="s">
        <v>444</v>
      </c>
      <c r="W24" s="34" t="s">
        <v>1062</v>
      </c>
      <c r="X24" s="34" t="str">
        <f>IFERROR(IF(Tabella4[[#This Row],[Tool]]="lighthouse",Tabella4[[#This Row],[Detail]],MID(Tabella4[[#This Row],[Detail]],1,FIND("&gt;",Tabella4[[#This Row],[Detail]]))),Tabella4[[#This Row],[Detail]])</f>
        <v>&lt;p id=\"offcanvas-panel-desc-00_sites\" class=\"sr-only\"&gt;</v>
      </c>
      <c r="Y24" s="34" t="str">
        <f>SUBSTITUTE(IF(Tabella4[[#This Row],[Tool]]="axe-core",MID(Tabella4[[#This Row],[Rejected Element]],3,LEN(Tabella4[[#This Row],[Rejected Element]])-4),Tabella4[[#This Row],[Rejected Element]]),"\","")</f>
        <v>div.side-offcanvas-content-wrap &gt; div.row &gt; div.col-sm-12 &gt; p#offcanvas-panel-desc-00_sites</v>
      </c>
      <c r="Z24" s="34">
        <f>COUNTIFS(Tabella4[Detail univoco],Tabella4[[#This Row],[Detail univoco]],Tabella4[Rejected Element Univoco],Tabella4[[#This Row],[Rejected Element Univoco]],Tabella4[ItemsNodeLabel],Tabella4[[#This Row],[ItemsNodeLabel]])</f>
        <v>15</v>
      </c>
      <c r="AA24" s="34" t="str">
        <f>IF(Tabella4[[#This Row],[Componente]]="Documenti",VLOOKUP(Tabella4[[#This Row],[URL]],Tabella27[[URL]:[Servizio]],4,FALSE),VLOOKUP(Tabella4[[#This Row],[Page ID]],Tabella1[[Page ID]:[Servizio]],4,FALSE))</f>
        <v>S003 Assistenza</v>
      </c>
      <c r="AB24" s="34"/>
      <c r="AC24" s="34" t="str">
        <f>Tabella4[[#This Row],[User Impact]]</f>
        <v>1 - Critical</v>
      </c>
      <c r="AD24" s="34" t="str">
        <f>Copertina!C$2&amp;" - "&amp;Tabella4[[#This Row],[UNI CEI EN 301549]]&amp;" "&amp;VLOOKUP(Tabella4[[#This Row],[Criterio]],Tabella5[[ID]:[Criterio di successo]],2,FALSE)&amp;" - "&amp;Tabella4[[#This Row],[Servizio]]&amp;":"</f>
        <v>Insurance Brocker - 9.4.1.1 Analisi sintattica (parsing) - S003 Assistenza:</v>
      </c>
      <c r="AE2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(#M0003)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https://posteinsurancebroker.poste.it/assistenza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24">
        <f>_xlfn.XLOOKUP(Tabella4[[#This Row],[ID Silk]],outTable[ID Silk],outTable[Numero ticket  ],,0,1)</f>
        <v>5974</v>
      </c>
    </row>
    <row r="25" spans="1:32">
      <c r="A25" s="34" t="str">
        <f>MID(Tabella4[[#This Row],[Servizio]],1,4)&amp;Tabella4[[#This Row],[UNI CEI EN 301549]]</f>
        <v>S0039.4.1.1</v>
      </c>
      <c r="B25" s="34" t="str">
        <f>Tabella4[[#This Row],[ID Silk]]&amp;"_1"</f>
        <v>S0039.4.1.1_1</v>
      </c>
      <c r="C25" s="34" t="s">
        <v>451</v>
      </c>
      <c r="D25" s="2" t="str">
        <f>"(#"&amp;Tabella4[[#This Row],['#ID]]&amp;")"</f>
        <v>(#M0004)</v>
      </c>
      <c r="E25" s="34" t="str">
        <f>IF(MID(Tabella4[[#This Row],['#ID]],1,1)="M","Mobile",IF(MID(Tabella4[[#This Row],['#ID]],1,1)="D","Desktop",IF(MID(Tabella4[[#This Row],['#ID]],1,2)="TM","Manuale","Documenti")))</f>
        <v>Mobile</v>
      </c>
      <c r="F25" s="34" t="s">
        <v>1005</v>
      </c>
      <c r="G25" s="34" t="s">
        <v>366</v>
      </c>
      <c r="H25" s="34" t="str">
        <f>IF(Tabella4[[#This Row],[Componente]]="Documenti","10.","9.")&amp;Tabella4[[#This Row],[Criterio]]</f>
        <v>9.4.1.1</v>
      </c>
      <c r="I25" s="34" t="s">
        <v>1007</v>
      </c>
      <c r="J25" s="34" t="s">
        <v>1008</v>
      </c>
      <c r="K25" s="34" t="s">
        <v>1009</v>
      </c>
      <c r="L25" s="34" t="s">
        <v>1010</v>
      </c>
      <c r="M25" s="34" t="s">
        <v>1011</v>
      </c>
      <c r="N25" t="s">
        <v>435</v>
      </c>
      <c r="O25" t="s">
        <v>436</v>
      </c>
      <c r="P25" t="s">
        <v>384</v>
      </c>
      <c r="R25" s="34" t="str">
        <f>IF(Tabella4[[#This Row],[Componente]]="Documenti",_xlfn.XLOOKUP(Tabella4[[#This Row],[URL]],Tabella27[URL],Tabella27[PDF ID],,0),_xlfn.XLOOKUP(Tabella4[[#This Row],[URL]],Tabella1[URL],Tabella1[Page ID],,0))</f>
        <v>#3</v>
      </c>
      <c r="S25" s="34" t="s">
        <v>434</v>
      </c>
      <c r="T25" s="34" t="s">
        <v>411</v>
      </c>
      <c r="U25" t="s">
        <v>448</v>
      </c>
      <c r="V25" t="s">
        <v>444</v>
      </c>
      <c r="W25" s="34" t="s">
        <v>1062</v>
      </c>
      <c r="X25" s="34" t="str">
        <f>IFERROR(IF(Tabella4[[#This Row],[Tool]]="lighthouse",Tabella4[[#This Row],[Detail]],MID(Tabella4[[#This Row],[Detail]],1,FIND("&gt;",Tabella4[[#This Row],[Detail]]))),Tabella4[[#This Row],[Detail]])</f>
        <v>&lt;p id=\"offcanvas-panel-desc-00_sites\" class=\"sr-only\"&gt;</v>
      </c>
      <c r="Y25" s="34" t="str">
        <f>SUBSTITUTE(IF(Tabella4[[#This Row],[Tool]]="axe-core",MID(Tabella4[[#This Row],[Rejected Element]],3,LEN(Tabella4[[#This Row],[Rejected Element]])-4),Tabella4[[#This Row],[Rejected Element]]),"\","")</f>
        <v>div.side-offcanvas-content-wrap &gt; div.row &gt; div.col-sm-12 &gt; p#offcanvas-panel-desc-00_sites</v>
      </c>
      <c r="Z25" s="34">
        <f>COUNTIFS(Tabella4[Detail univoco],Tabella4[[#This Row],[Detail univoco]],Tabella4[Rejected Element Univoco],Tabella4[[#This Row],[Rejected Element Univoco]],Tabella4[ItemsNodeLabel],Tabella4[[#This Row],[ItemsNodeLabel]])</f>
        <v>15</v>
      </c>
      <c r="AA25" s="34" t="str">
        <f>IF(Tabella4[[#This Row],[Componente]]="Documenti",VLOOKUP(Tabella4[[#This Row],[URL]],Tabella27[[URL]:[Servizio]],4,FALSE),VLOOKUP(Tabella4[[#This Row],[Page ID]],Tabella1[[Page ID]:[Servizio]],4,FALSE))</f>
        <v>S003 Assistenza</v>
      </c>
      <c r="AB25" s="34"/>
      <c r="AC25" s="34" t="str">
        <f>Tabella4[[#This Row],[User Impact]]</f>
        <v>1 - Critical</v>
      </c>
      <c r="AD25" s="34" t="str">
        <f>Copertina!C$2&amp;" - "&amp;Tabella4[[#This Row],[UNI CEI EN 301549]]&amp;" "&amp;VLOOKUP(Tabella4[[#This Row],[Criterio]],Tabella5[[ID]:[Criterio di successo]],2,FALSE)&amp;" - "&amp;Tabella4[[#This Row],[Servizio]]&amp;":"</f>
        <v>Insurance Brocker - 9.4.1.1 Analisi sintattica (parsing) - S003 Assistenza:</v>
      </c>
      <c r="AE2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(#M0004)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https://posteinsurancebroker.poste.it/assistenza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25">
        <f>_xlfn.XLOOKUP(Tabella4[[#This Row],[ID Silk]],outTable[ID Silk],outTable[Numero ticket  ],,0,1)</f>
        <v>5974</v>
      </c>
    </row>
    <row r="26" spans="1:32">
      <c r="A26" s="34" t="str">
        <f>MID(Tabella4[[#This Row],[Servizio]],1,4)&amp;Tabella4[[#This Row],[UNI CEI EN 301549]]</f>
        <v>S0039.4.1.1</v>
      </c>
      <c r="B26" s="34" t="str">
        <f>Tabella4[[#This Row],[ID Silk]]&amp;"_1"</f>
        <v>S0039.4.1.1_1</v>
      </c>
      <c r="C26" s="34" t="s">
        <v>452</v>
      </c>
      <c r="D26" s="2" t="str">
        <f>"(#"&amp;Tabella4[[#This Row],['#ID]]&amp;")"</f>
        <v>(#M0005)</v>
      </c>
      <c r="E26" s="34" t="str">
        <f>IF(MID(Tabella4[[#This Row],['#ID]],1,1)="M","Mobile",IF(MID(Tabella4[[#This Row],['#ID]],1,1)="D","Desktop",IF(MID(Tabella4[[#This Row],['#ID]],1,2)="TM","Manuale","Documenti")))</f>
        <v>Mobile</v>
      </c>
      <c r="F26" s="34" t="s">
        <v>1005</v>
      </c>
      <c r="G26" s="34" t="s">
        <v>366</v>
      </c>
      <c r="H26" s="34" t="str">
        <f>IF(Tabella4[[#This Row],[Componente]]="Documenti","10.","9.")&amp;Tabella4[[#This Row],[Criterio]]</f>
        <v>9.4.1.1</v>
      </c>
      <c r="I26" s="34" t="s">
        <v>1007</v>
      </c>
      <c r="J26" s="34" t="s">
        <v>1008</v>
      </c>
      <c r="K26" s="34" t="s">
        <v>1009</v>
      </c>
      <c r="L26" s="34" t="s">
        <v>1010</v>
      </c>
      <c r="M26" s="34" t="s">
        <v>1011</v>
      </c>
      <c r="N26" t="s">
        <v>435</v>
      </c>
      <c r="O26" t="s">
        <v>436</v>
      </c>
      <c r="P26" t="s">
        <v>385</v>
      </c>
      <c r="R26" s="34" t="str">
        <f>IF(Tabella4[[#This Row],[Componente]]="Documenti",_xlfn.XLOOKUP(Tabella4[[#This Row],[URL]],Tabella27[URL],Tabella27[PDF ID],,0),_xlfn.XLOOKUP(Tabella4[[#This Row],[URL]],Tabella1[URL],Tabella1[Page ID],,0))</f>
        <v>#5</v>
      </c>
      <c r="S26" s="34" t="s">
        <v>434</v>
      </c>
      <c r="T26" s="34" t="s">
        <v>411</v>
      </c>
      <c r="U26" t="s">
        <v>448</v>
      </c>
      <c r="V26" t="s">
        <v>444</v>
      </c>
      <c r="W26" s="34" t="s">
        <v>1062</v>
      </c>
      <c r="X26" s="34" t="str">
        <f>IFERROR(IF(Tabella4[[#This Row],[Tool]]="lighthouse",Tabella4[[#This Row],[Detail]],MID(Tabella4[[#This Row],[Detail]],1,FIND("&gt;",Tabella4[[#This Row],[Detail]]))),Tabella4[[#This Row],[Detail]])</f>
        <v>&lt;p id=\"offcanvas-panel-desc-00_sites\" class=\"sr-only\"&gt;</v>
      </c>
      <c r="Y26" s="34" t="str">
        <f>SUBSTITUTE(IF(Tabella4[[#This Row],[Tool]]="axe-core",MID(Tabella4[[#This Row],[Rejected Element]],3,LEN(Tabella4[[#This Row],[Rejected Element]])-4),Tabella4[[#This Row],[Rejected Element]]),"\","")</f>
        <v>div.side-offcanvas-content-wrap &gt; div.row &gt; div.col-sm-12 &gt; p#offcanvas-panel-desc-00_sites</v>
      </c>
      <c r="Z26" s="34">
        <f>COUNTIFS(Tabella4[Detail univoco],Tabella4[[#This Row],[Detail univoco]],Tabella4[Rejected Element Univoco],Tabella4[[#This Row],[Rejected Element Univoco]],Tabella4[ItemsNodeLabel],Tabella4[[#This Row],[ItemsNodeLabel]])</f>
        <v>15</v>
      </c>
      <c r="AA26" s="34" t="str">
        <f>IF(Tabella4[[#This Row],[Componente]]="Documenti",VLOOKUP(Tabella4[[#This Row],[URL]],Tabella27[[URL]:[Servizio]],4,FALSE),VLOOKUP(Tabella4[[#This Row],[Page ID]],Tabella1[[Page ID]:[Servizio]],4,FALSE))</f>
        <v>S003 Assistenza</v>
      </c>
      <c r="AB26" s="34"/>
      <c r="AC26" s="34" t="str">
        <f>Tabella4[[#This Row],[User Impact]]</f>
        <v>1 - Critical</v>
      </c>
      <c r="AD26" s="34" t="str">
        <f>Copertina!C$2&amp;" - "&amp;Tabella4[[#This Row],[UNI CEI EN 301549]]&amp;" "&amp;VLOOKUP(Tabella4[[#This Row],[Criterio]],Tabella5[[ID]:[Criterio di successo]],2,FALSE)&amp;" - "&amp;Tabella4[[#This Row],[Servizio]]&amp;":"</f>
        <v>Insurance Brocker - 9.4.1.1 Analisi sintattica (parsing) - S003 Assistenza:</v>
      </c>
      <c r="AE2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(#M0005)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https://posteinsurancebroker.poste.it/chiamaci/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26">
        <f>_xlfn.XLOOKUP(Tabella4[[#This Row],[ID Silk]],outTable[ID Silk],outTable[Numero ticket  ],,0,1)</f>
        <v>5974</v>
      </c>
    </row>
    <row r="27" spans="1:32">
      <c r="A27" s="34" t="str">
        <f>MID(Tabella4[[#This Row],[Servizio]],1,4)&amp;Tabella4[[#This Row],[UNI CEI EN 301549]]</f>
        <v>S0059.4.1.1</v>
      </c>
      <c r="B27" s="34" t="str">
        <f>Tabella4[[#This Row],[ID Silk]]&amp;"_1"</f>
        <v>S0059.4.1.1_1</v>
      </c>
      <c r="C27" s="34" t="s">
        <v>453</v>
      </c>
      <c r="D27" s="2" t="str">
        <f>"(#"&amp;Tabella4[[#This Row],['#ID]]&amp;")"</f>
        <v>(#M0006)</v>
      </c>
      <c r="E27" s="34" t="str">
        <f>IF(MID(Tabella4[[#This Row],['#ID]],1,1)="M","Mobile",IF(MID(Tabella4[[#This Row],['#ID]],1,1)="D","Desktop",IF(MID(Tabella4[[#This Row],['#ID]],1,2)="TM","Manuale","Documenti")))</f>
        <v>Mobile</v>
      </c>
      <c r="F27" s="34" t="s">
        <v>1005</v>
      </c>
      <c r="G27" s="34" t="s">
        <v>366</v>
      </c>
      <c r="H27" s="34" t="str">
        <f>IF(Tabella4[[#This Row],[Componente]]="Documenti","10.","9.")&amp;Tabella4[[#This Row],[Criterio]]</f>
        <v>9.4.1.1</v>
      </c>
      <c r="I27" s="34" t="s">
        <v>1007</v>
      </c>
      <c r="J27" s="34" t="s">
        <v>1008</v>
      </c>
      <c r="K27" s="34" t="s">
        <v>1009</v>
      </c>
      <c r="L27" s="34" t="s">
        <v>1010</v>
      </c>
      <c r="M27" s="34" t="s">
        <v>1011</v>
      </c>
      <c r="N27" t="s">
        <v>435</v>
      </c>
      <c r="O27" t="s">
        <v>436</v>
      </c>
      <c r="P27" t="s">
        <v>386</v>
      </c>
      <c r="R27" s="34" t="str">
        <f>IF(Tabella4[[#This Row],[Componente]]="Documenti",_xlfn.XLOOKUP(Tabella4[[#This Row],[URL]],Tabella27[URL],Tabella27[PDF ID],,0),_xlfn.XLOOKUP(Tabella4[[#This Row],[URL]],Tabella1[URL],Tabella1[Page ID],,0))</f>
        <v>#6</v>
      </c>
      <c r="S27" s="34" t="s">
        <v>434</v>
      </c>
      <c r="T27" s="34" t="s">
        <v>411</v>
      </c>
      <c r="U27" t="s">
        <v>448</v>
      </c>
      <c r="V27" t="s">
        <v>444</v>
      </c>
      <c r="W27" s="34" t="s">
        <v>1062</v>
      </c>
      <c r="X27" s="34" t="str">
        <f>IFERROR(IF(Tabella4[[#This Row],[Tool]]="lighthouse",Tabella4[[#This Row],[Detail]],MID(Tabella4[[#This Row],[Detail]],1,FIND("&gt;",Tabella4[[#This Row],[Detail]]))),Tabella4[[#This Row],[Detail]])</f>
        <v>&lt;p id=\"offcanvas-panel-desc-00_sites\" class=\"sr-only\"&gt;</v>
      </c>
      <c r="Y27" s="34" t="str">
        <f>SUBSTITUTE(IF(Tabella4[[#This Row],[Tool]]="axe-core",MID(Tabella4[[#This Row],[Rejected Element]],3,LEN(Tabella4[[#This Row],[Rejected Element]])-4),Tabella4[[#This Row],[Rejected Element]]),"\","")</f>
        <v>div.side-offcanvas-content-wrap &gt; div.row &gt; div.col-sm-12 &gt; p#offcanvas-panel-desc-00_sites</v>
      </c>
      <c r="Z27" s="34">
        <f>COUNTIFS(Tabella4[Detail univoco],Tabella4[[#This Row],[Detail univoco]],Tabella4[Rejected Element Univoco],Tabella4[[#This Row],[Rejected Element Univoco]],Tabella4[ItemsNodeLabel],Tabella4[[#This Row],[ItemsNodeLabel]])</f>
        <v>15</v>
      </c>
      <c r="AA27" s="34" t="str">
        <f>IF(Tabella4[[#This Row],[Componente]]="Documenti",VLOOKUP(Tabella4[[#This Row],[URL]],Tabella27[[URL]:[Servizio]],4,FALSE),VLOOKUP(Tabella4[[#This Row],[Page ID]],Tabella1[[Page ID]:[Servizio]],4,FALSE))</f>
        <v>S005 Privacy Policy</v>
      </c>
      <c r="AB27" s="34"/>
      <c r="AC27" s="34" t="str">
        <f>Tabella4[[#This Row],[User Impact]]</f>
        <v>1 - Critical</v>
      </c>
      <c r="AD27" s="34" t="str">
        <f>Copertina!C$2&amp;" - "&amp;Tabella4[[#This Row],[UNI CEI EN 301549]]&amp;" "&amp;VLOOKUP(Tabella4[[#This Row],[Criterio]],Tabella5[[ID]:[Criterio di successo]],2,FALSE)&amp;" - "&amp;Tabella4[[#This Row],[Servizio]]&amp;":"</f>
        <v>Insurance Brocker - 9.4.1.1 Analisi sintattica (parsing) - S005 Privacy Policy:</v>
      </c>
      <c r="AE2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S005 Privacy Policy: (#M0006)
S005 Privacy Policy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https://posteinsurancebroker.poste.it/cookie-policy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6): https://posteitaliane.sharepoint.com/:x:/r/teams/ACCESSIBILITRISULTATIVERIFICHETECNICHE-PORTALEIMMIGRAZIONE/Shared%20Documents/PORTALE%20IMMIGRAZIONE/LOG/Log_2411.xlsx?d=wce770a595441461abc11f2c139111c73&amp;csf=1&amp;web=1&amp;e=tpdJfo
Link al dettaglio requisito WCAG: </v>
      </c>
      <c r="AF27">
        <f>_xlfn.XLOOKUP(Tabella4[[#This Row],[ID Silk]],outTable[ID Silk],outTable[Numero ticket  ],,0,1)</f>
        <v>5985</v>
      </c>
    </row>
    <row r="28" spans="1:32">
      <c r="A28" s="34" t="str">
        <f>MID(Tabella4[[#This Row],[Servizio]],1,4)&amp;Tabella4[[#This Row],[UNI CEI EN 301549]]</f>
        <v>S0049.4.1.1</v>
      </c>
      <c r="B28" s="34" t="str">
        <f>Tabella4[[#This Row],[ID Silk]]&amp;"_1"</f>
        <v>S0049.4.1.1_1</v>
      </c>
      <c r="C28" s="34" t="s">
        <v>454</v>
      </c>
      <c r="D28" s="2" t="str">
        <f>"(#"&amp;Tabella4[[#This Row],['#ID]]&amp;")"</f>
        <v>(#M0007)</v>
      </c>
      <c r="E28" s="34" t="str">
        <f>IF(MID(Tabella4[[#This Row],['#ID]],1,1)="M","Mobile",IF(MID(Tabella4[[#This Row],['#ID]],1,1)="D","Desktop",IF(MID(Tabella4[[#This Row],['#ID]],1,2)="TM","Manuale","Documenti")))</f>
        <v>Mobile</v>
      </c>
      <c r="F28" s="34" t="s">
        <v>1005</v>
      </c>
      <c r="G28" s="34" t="s">
        <v>366</v>
      </c>
      <c r="H28" s="34" t="str">
        <f>IF(Tabella4[[#This Row],[Componente]]="Documenti","10.","9.")&amp;Tabella4[[#This Row],[Criterio]]</f>
        <v>9.4.1.1</v>
      </c>
      <c r="I28" s="34" t="s">
        <v>1007</v>
      </c>
      <c r="J28" s="34" t="s">
        <v>1008</v>
      </c>
      <c r="K28" s="34" t="s">
        <v>1009</v>
      </c>
      <c r="L28" s="34" t="s">
        <v>1010</v>
      </c>
      <c r="M28" s="34" t="s">
        <v>1011</v>
      </c>
      <c r="N28" t="s">
        <v>435</v>
      </c>
      <c r="O28" t="s">
        <v>436</v>
      </c>
      <c r="P28" t="s">
        <v>387</v>
      </c>
      <c r="R28" s="34" t="str">
        <f>IF(Tabella4[[#This Row],[Componente]]="Documenti",_xlfn.XLOOKUP(Tabella4[[#This Row],[URL]],Tabella27[URL],Tabella27[PDF ID],,0),_xlfn.XLOOKUP(Tabella4[[#This Row],[URL]],Tabella1[URL],Tabella1[Page ID],,0))</f>
        <v>#7</v>
      </c>
      <c r="S28" s="34" t="s">
        <v>434</v>
      </c>
      <c r="T28" s="34" t="s">
        <v>411</v>
      </c>
      <c r="U28" t="s">
        <v>448</v>
      </c>
      <c r="V28" t="s">
        <v>444</v>
      </c>
      <c r="W28" s="34" t="s">
        <v>1062</v>
      </c>
      <c r="X28" s="34" t="str">
        <f>IFERROR(IF(Tabella4[[#This Row],[Tool]]="lighthouse",Tabella4[[#This Row],[Detail]],MID(Tabella4[[#This Row],[Detail]],1,FIND("&gt;",Tabella4[[#This Row],[Detail]]))),Tabella4[[#This Row],[Detail]])</f>
        <v>&lt;p id=\"offcanvas-panel-desc-00_sites\" class=\"sr-only\"&gt;</v>
      </c>
      <c r="Y28" s="34" t="str">
        <f>SUBSTITUTE(IF(Tabella4[[#This Row],[Tool]]="axe-core",MID(Tabella4[[#This Row],[Rejected Element]],3,LEN(Tabella4[[#This Row],[Rejected Element]])-4),Tabella4[[#This Row],[Rejected Element]]),"\","")</f>
        <v>div.side-offcanvas-content-wrap &gt; div.row &gt; div.col-sm-12 &gt; p#offcanvas-panel-desc-00_sites</v>
      </c>
      <c r="Z28" s="34">
        <f>COUNTIFS(Tabella4[Detail univoco],Tabella4[[#This Row],[Detail univoco]],Tabella4[Rejected Element Univoco],Tabella4[[#This Row],[Rejected Element Univoco]],Tabella4[ItemsNodeLabel],Tabella4[[#This Row],[ItemsNodeLabel]])</f>
        <v>15</v>
      </c>
      <c r="AA28" s="34" t="str">
        <f>IF(Tabella4[[#This Row],[Componente]]="Documenti",VLOOKUP(Tabella4[[#This Row],[URL]],Tabella27[[URL]:[Servizio]],4,FALSE),VLOOKUP(Tabella4[[#This Row],[Page ID]],Tabella1[[Page ID]:[Servizio]],4,FALSE))</f>
        <v>S004 Accessibilità</v>
      </c>
      <c r="AB28" s="34"/>
      <c r="AC28" s="34" t="str">
        <f>Tabella4[[#This Row],[User Impact]]</f>
        <v>1 - Critical</v>
      </c>
      <c r="AD28" s="34" t="str">
        <f>Copertina!C$2&amp;" - "&amp;Tabella4[[#This Row],[UNI CEI EN 301549]]&amp;" "&amp;VLOOKUP(Tabella4[[#This Row],[Criterio]],Tabella5[[ID]:[Criterio di successo]],2,FALSE)&amp;" - "&amp;Tabella4[[#This Row],[Servizio]]&amp;":"</f>
        <v>Insurance Brocker - 9.4.1.1 Analisi sintattica (parsing) - S004 Accessibilità:</v>
      </c>
      <c r="AE2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S004 Accessibilità: (#M0007)
S004 Accessibilità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https://posteinsurancebroker.poste.it/dichiarazione-accessibilita/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28">
        <f>_xlfn.XLOOKUP(Tabella4[[#This Row],[ID Silk]],outTable[ID Silk],outTable[Numero ticket  ],,0,1)</f>
        <v>5979</v>
      </c>
    </row>
    <row r="29" spans="1:32">
      <c r="A29" s="34" t="str">
        <f>MID(Tabella4[[#This Row],[Servizio]],1,4)&amp;Tabella4[[#This Row],[UNI CEI EN 301549]]</f>
        <v>S0029.4.1.1</v>
      </c>
      <c r="B29" s="34" t="str">
        <f>Tabella4[[#This Row],[ID Silk]]&amp;"_1"</f>
        <v>S0029.4.1.1_1</v>
      </c>
      <c r="C29" s="34" t="s">
        <v>455</v>
      </c>
      <c r="D29" s="2" t="str">
        <f>"(#"&amp;Tabella4[[#This Row],['#ID]]&amp;")"</f>
        <v>(#M0008)</v>
      </c>
      <c r="E29" s="34" t="str">
        <f>IF(MID(Tabella4[[#This Row],['#ID]],1,1)="M","Mobile",IF(MID(Tabella4[[#This Row],['#ID]],1,1)="D","Desktop",IF(MID(Tabella4[[#This Row],['#ID]],1,2)="TM","Manuale","Documenti")))</f>
        <v>Mobile</v>
      </c>
      <c r="F29" s="34" t="s">
        <v>1005</v>
      </c>
      <c r="G29" s="34" t="s">
        <v>366</v>
      </c>
      <c r="H29" s="34" t="str">
        <f>IF(Tabella4[[#This Row],[Componente]]="Documenti","10.","9.")&amp;Tabella4[[#This Row],[Criterio]]</f>
        <v>9.4.1.1</v>
      </c>
      <c r="I29" s="34" t="s">
        <v>1007</v>
      </c>
      <c r="J29" s="34" t="s">
        <v>1008</v>
      </c>
      <c r="K29" s="34" t="s">
        <v>1009</v>
      </c>
      <c r="L29" s="34" t="s">
        <v>1010</v>
      </c>
      <c r="M29" s="34" t="s">
        <v>1011</v>
      </c>
      <c r="N29" t="s">
        <v>435</v>
      </c>
      <c r="O29" t="s">
        <v>436</v>
      </c>
      <c r="P29" t="s">
        <v>388</v>
      </c>
      <c r="R29" s="34" t="str">
        <f>IF(Tabella4[[#This Row],[Componente]]="Documenti",_xlfn.XLOOKUP(Tabella4[[#This Row],[URL]],Tabella27[URL],Tabella27[PDF ID],,0),_xlfn.XLOOKUP(Tabella4[[#This Row],[URL]],Tabella1[URL],Tabella1[Page ID],,0))</f>
        <v>#8</v>
      </c>
      <c r="S29" s="34" t="s">
        <v>434</v>
      </c>
      <c r="T29" s="34" t="s">
        <v>411</v>
      </c>
      <c r="U29" t="s">
        <v>448</v>
      </c>
      <c r="V29" t="s">
        <v>444</v>
      </c>
      <c r="W29" s="34" t="s">
        <v>1062</v>
      </c>
      <c r="X29" s="34" t="str">
        <f>IFERROR(IF(Tabella4[[#This Row],[Tool]]="lighthouse",Tabella4[[#This Row],[Detail]],MID(Tabella4[[#This Row],[Detail]],1,FIND("&gt;",Tabella4[[#This Row],[Detail]]))),Tabella4[[#This Row],[Detail]])</f>
        <v>&lt;p id=\"offcanvas-panel-desc-00_sites\" class=\"sr-only\"&gt;</v>
      </c>
      <c r="Y29" s="34" t="str">
        <f>SUBSTITUTE(IF(Tabella4[[#This Row],[Tool]]="axe-core",MID(Tabella4[[#This Row],[Rejected Element]],3,LEN(Tabella4[[#This Row],[Rejected Element]])-4),Tabella4[[#This Row],[Rejected Element]]),"\","")</f>
        <v>div.side-offcanvas-content-wrap &gt; div.row &gt; div.col-sm-12 &gt; p#offcanvas-panel-desc-00_sites</v>
      </c>
      <c r="Z29" s="34">
        <f>COUNTIFS(Tabella4[Detail univoco],Tabella4[[#This Row],[Detail univoco]],Tabella4[Rejected Element Univoco],Tabella4[[#This Row],[Rejected Element Univoco]],Tabella4[ItemsNodeLabel],Tabella4[[#This Row],[ItemsNodeLabel]])</f>
        <v>15</v>
      </c>
      <c r="AA29" s="34" t="str">
        <f>IF(Tabella4[[#This Row],[Componente]]="Documenti",VLOOKUP(Tabella4[[#This Row],[URL]],Tabella27[[URL]:[Servizio]],4,FALSE),VLOOKUP(Tabella4[[#This Row],[Page ID]],Tabella1[[Page ID]:[Servizio]],4,FALSE))</f>
        <v>S002 Poste Guidare Sicuri</v>
      </c>
      <c r="AB29" s="34"/>
      <c r="AC29" s="34" t="str">
        <f>Tabella4[[#This Row],[User Impact]]</f>
        <v>1 - Critical</v>
      </c>
      <c r="AD29" s="34" t="str">
        <f>Copertina!C$2&amp;" - "&amp;Tabella4[[#This Row],[UNI CEI EN 301549]]&amp;" "&amp;VLOOKUP(Tabella4[[#This Row],[Criterio]],Tabella5[[ID]:[Criterio di successo]],2,FALSE)&amp;" - "&amp;Tabella4[[#This Row],[Servizio]]&amp;":"</f>
        <v>Insurance Brocker - 9.4.1.1 Analisi sintattica (parsing) - S002 Poste Guidare Sicuri:</v>
      </c>
      <c r="AE2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S002 Poste Guidare Sicuri: (#M0008)
S002 Poste Guidare Sicuri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https://posteinsurancebroker.poste.it/faq-poste-guidare-sicuri/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4): https://posteitaliane.sharepoint.com/:x:/r/teams/ACCESSIBILITRISULTATIVERIFICHETECNICHE-PORTALEIMMIGRAZIONE/Shared%20Documents/PORTALE%20IMMIGRAZIONE/LOG/Log_2411.xlsx?d=wce770a595441461abc11f2c139111c73&amp;csf=1&amp;web=1&amp;e=tpdJfo
Link al dettaglio requisito WCAG: </v>
      </c>
      <c r="AF29">
        <f>_xlfn.XLOOKUP(Tabella4[[#This Row],[ID Silk]],outTable[ID Silk],outTable[Numero ticket  ],,0,1)</f>
        <v>6015</v>
      </c>
    </row>
    <row r="30" spans="1:32">
      <c r="A30" s="34" t="str">
        <f>MID(Tabella4[[#This Row],[Servizio]],1,4)&amp;Tabella4[[#This Row],[UNI CEI EN 301549]]</f>
        <v>S0029.1.1.1</v>
      </c>
      <c r="B30" s="34" t="str">
        <f>Tabella4[[#This Row],[ID Silk]]&amp;"_1"</f>
        <v>S0029.1.1.1_1</v>
      </c>
      <c r="C30" s="34" t="s">
        <v>456</v>
      </c>
      <c r="D30" s="2" t="str">
        <f>"(#"&amp;Tabella4[[#This Row],['#ID]]&amp;")"</f>
        <v>(#M0009)</v>
      </c>
      <c r="E30" s="34" t="str">
        <f>IF(MID(Tabella4[[#This Row],['#ID]],1,1)="M","Mobile",IF(MID(Tabella4[[#This Row],['#ID]],1,1)="D","Desktop",IF(MID(Tabella4[[#This Row],['#ID]],1,2)="TM","Manuale","Documenti")))</f>
        <v>Mobile</v>
      </c>
      <c r="F30" s="34" t="s">
        <v>1005</v>
      </c>
      <c r="G30" s="34" t="s">
        <v>124</v>
      </c>
      <c r="H30" s="34" t="str">
        <f>IF(Tabella4[[#This Row],[Componente]]="Documenti","10.","9.")&amp;Tabella4[[#This Row],[Criterio]]</f>
        <v>9.1.1.1</v>
      </c>
      <c r="I30" s="34" t="s">
        <v>1007</v>
      </c>
      <c r="J30" s="34" t="s">
        <v>1008</v>
      </c>
      <c r="K30" s="34" t="s">
        <v>1012</v>
      </c>
      <c r="L30" s="34" t="s">
        <v>1013</v>
      </c>
      <c r="M30" s="34" t="s">
        <v>1014</v>
      </c>
      <c r="N30" t="s">
        <v>437</v>
      </c>
      <c r="O30" t="s">
        <v>438</v>
      </c>
      <c r="P30" t="s">
        <v>389</v>
      </c>
      <c r="R30" s="34" t="str">
        <f>IF(Tabella4[[#This Row],[Componente]]="Documenti",_xlfn.XLOOKUP(Tabella4[[#This Row],[URL]],Tabella27[URL],Tabella27[PDF ID],,0),_xlfn.XLOOKUP(Tabella4[[#This Row],[URL]],Tabella1[URL],Tabella1[Page ID],,0))</f>
        <v>#9</v>
      </c>
      <c r="S30" s="34" t="s">
        <v>434</v>
      </c>
      <c r="T30" s="34" t="s">
        <v>412</v>
      </c>
      <c r="U30" t="s">
        <v>437</v>
      </c>
      <c r="V30" t="s">
        <v>445</v>
      </c>
      <c r="W30" s="34" t="s">
        <v>1063</v>
      </c>
      <c r="X30" s="34" t="str">
        <f>IFERROR(IF(Tabella4[[#This Row],[Tool]]="lighthouse",Tabella4[[#This Row],[Detail]],MID(Tabella4[[#This Row],[Detail]],1,FIND("&gt;",Tabella4[[#This Row],[Detail]]))),Tabella4[[#This Row],[Detail]])</f>
        <v>&lt;img src=\"/risorse_dt_ext/icone/business-account.svg\" srcset=\"/risorse_dt_ext/icone/business-account.svg\"&gt;</v>
      </c>
      <c r="Y30" s="34" t="str">
        <f>SUBSTITUTE(IF(Tabella4[[#This Row],[Tool]]="axe-core",MID(Tabella4[[#This Row],[Rejected Element]],3,LEN(Tabella4[[#This Row],[Rejected Element]])-4),Tabella4[[#This Row],[Rejected Element]]),"\","")</f>
        <v>div.abstract-heading &gt; a.btn &gt; span.icon &gt; img</v>
      </c>
      <c r="Z30" s="34">
        <f>COUNTIFS(Tabella4[Detail univoco],Tabella4[[#This Row],[Detail univoco]],Tabella4[Rejected Element Univoco],Tabella4[[#This Row],[Rejected Element Univoco]],Tabella4[ItemsNodeLabel],Tabella4[[#This Row],[ItemsNodeLabel]])</f>
        <v>2</v>
      </c>
      <c r="AA30" s="34" t="str">
        <f>IF(Tabella4[[#This Row],[Componente]]="Documenti",VLOOKUP(Tabella4[[#This Row],[URL]],Tabella27[[URL]:[Servizio]],4,FALSE),VLOOKUP(Tabella4[[#This Row],[Page ID]],Tabella1[[Page ID]:[Servizio]],4,FALSE))</f>
        <v>S002 Poste Guidare Sicuri</v>
      </c>
      <c r="AB30" s="34"/>
      <c r="AC30" s="34" t="str">
        <f>Tabella4[[#This Row],[User Impact]]</f>
        <v>1 - Critical</v>
      </c>
      <c r="AD30" s="34" t="str">
        <f>Copertina!C$2&amp;" - "&amp;Tabella4[[#This Row],[UNI CEI EN 301549]]&amp;" "&amp;VLOOKUP(Tabella4[[#This Row],[Criterio]],Tabella5[[ID]:[Criterio di successo]],2,FALSE)&amp;" - "&amp;Tabella4[[#This Row],[Servizio]]&amp;":"</f>
        <v>Insurance Brocker - 9.1.1.1 Contenuti non testuali - S002 Poste Guidare Sicuri:</v>
      </c>
      <c r="AE3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- 9.1.1.1 Contenuti non testuali - S002 Poste Guidare Sicuri: (#M0009)
S002 Poste Guidare Sicuri
Requisito: WCAG 1.1.1
Disabilità afflitte: Blind;Deafblind
Impatto Utente: 1 - Critical
Descrizione: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https://posteinsurancebroker.poste.it/fastquote/index.html - &lt;img src=\"/risorse_dt_ext/icone/business-account.svg\" srcset=\"/risorse_dt_ext/icone/business-account.svg\"&gt; con selettore: 
div.abstract-heading &gt; a.btn &gt; span.icon &gt; img
Dettaglio + screenshot (accedere con le seguenti credenziali: user, axeposte@gmail.com; password, Poste2024!): 
Possibile metodologia risolutiva:
Fornisci un attributo alt descrittivo per ogni immagine. Questo consente agli screen reader di descrivere l’immagine agli utenti con disabilità visive, migliorando l’accessibilità del contenuto visivo.
File di log (occorrenze rilevate: 4):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https://posteitaliane.sharepoint.com/:w:/r/teams/ACCESSIBILITRISULTATIVERIFICHETECNICHE/Shared%20Documents/Generale/SCHEDE_REQUISITI/9.1.1.1%20Contenuti%20non%20testuali%20.docx?d=w096cbdf06fa14fbf9d8a34e20106b52f&amp;csf=1&amp;web=1&amp;e=GfrHzT</v>
      </c>
      <c r="AF30">
        <f>_xlfn.XLOOKUP(Tabella4[[#This Row],[ID Silk]],outTable[ID Silk],outTable[Numero ticket  ],,0,1)</f>
        <v>6004</v>
      </c>
    </row>
    <row r="31" spans="1:32">
      <c r="A31" s="34" t="str">
        <f>MID(Tabella4[[#This Row],[Servizio]],1,4)&amp;Tabella4[[#This Row],[UNI CEI EN 301549]]</f>
        <v>S0029.1.4.4</v>
      </c>
      <c r="B31" s="34" t="str">
        <f>Tabella4[[#This Row],[ID Silk]]&amp;"_1"</f>
        <v>S0029.1.4.4_1</v>
      </c>
      <c r="C31" s="34" t="s">
        <v>457</v>
      </c>
      <c r="D31" s="2" t="str">
        <f>"(#"&amp;Tabella4[[#This Row],['#ID]]&amp;")"</f>
        <v>(#M0010)</v>
      </c>
      <c r="E31" s="34" t="str">
        <f>IF(MID(Tabella4[[#This Row],['#ID]],1,1)="M","Mobile",IF(MID(Tabella4[[#This Row],['#ID]],1,1)="D","Desktop",IF(MID(Tabella4[[#This Row],['#ID]],1,2)="TM","Manuale","Documenti")))</f>
        <v>Mobile</v>
      </c>
      <c r="F31" s="34" t="s">
        <v>1006</v>
      </c>
      <c r="G31" s="34" t="s">
        <v>232</v>
      </c>
      <c r="H31" s="34" t="str">
        <f>IF(Tabella4[[#This Row],[Componente]]="Documenti","10.","9.")&amp;Tabella4[[#This Row],[Criterio]]</f>
        <v>9.1.4.4</v>
      </c>
      <c r="I31" s="34" t="s">
        <v>1007</v>
      </c>
      <c r="J31" s="34" t="s">
        <v>1015</v>
      </c>
      <c r="K31" s="34" t="s">
        <v>1016</v>
      </c>
      <c r="L31" s="34" t="s">
        <v>1017</v>
      </c>
      <c r="M31" s="34" t="s">
        <v>1018</v>
      </c>
      <c r="N31" t="s">
        <v>442</v>
      </c>
      <c r="O31" t="s">
        <v>443</v>
      </c>
      <c r="P31" t="s">
        <v>389</v>
      </c>
      <c r="R31" s="34" t="str">
        <f>IF(Tabella4[[#This Row],[Componente]]="Documenti",_xlfn.XLOOKUP(Tabella4[[#This Row],[URL]],Tabella27[URL],Tabella27[PDF ID],,0),_xlfn.XLOOKUP(Tabella4[[#This Row],[URL]],Tabella1[URL],Tabella1[Page ID],,0))</f>
        <v>#9</v>
      </c>
      <c r="S31" s="34" t="s">
        <v>434</v>
      </c>
      <c r="T31" s="34" t="s">
        <v>413</v>
      </c>
      <c r="U31" t="s">
        <v>442</v>
      </c>
      <c r="V31" t="s">
        <v>446</v>
      </c>
      <c r="W31" s="34" t="s">
        <v>1064</v>
      </c>
      <c r="X31" s="34" t="str">
        <f>IFERROR(IF(Tabella4[[#This Row],[Tool]]="lighthouse",Tabella4[[#This Row],[Detail]],MID(Tabella4[[#This Row],[Detail]],1,FIND("&gt;",Tabella4[[#This Row],[Detail]]))),Tabella4[[#This Row],[Detail]])</f>
        <v>&lt;meta name=\"viewport\" content=\"width=device-width, initial-scale=1, user-scalable=no, user-scalable=0\"&gt;</v>
      </c>
      <c r="Y31" s="34" t="str">
        <f>SUBSTITUTE(IF(Tabella4[[#This Row],[Tool]]="axe-core",MID(Tabella4[[#This Row],[Rejected Element]],3,LEN(Tabella4[[#This Row],[Rejected Element]])-4),Tabella4[[#This Row],[Rejected Element]]),"\","")</f>
        <v>head &gt; meta</v>
      </c>
      <c r="Z31" s="34">
        <f>COUNTIFS(Tabella4[Detail univoco],Tabella4[[#This Row],[Detail univoco]],Tabella4[Rejected Element Univoco],Tabella4[[#This Row],[Rejected Element Univoco]],Tabella4[ItemsNodeLabel],Tabella4[[#This Row],[ItemsNodeLabel]])</f>
        <v>2</v>
      </c>
      <c r="AA31" s="34" t="str">
        <f>IF(Tabella4[[#This Row],[Componente]]="Documenti",VLOOKUP(Tabella4[[#This Row],[URL]],Tabella27[[URL]:[Servizio]],4,FALSE),VLOOKUP(Tabella4[[#This Row],[Page ID]],Tabella1[[Page ID]:[Servizio]],4,FALSE))</f>
        <v>S002 Poste Guidare Sicuri</v>
      </c>
      <c r="AB31" s="34"/>
      <c r="AC31" s="34" t="str">
        <f>Tabella4[[#This Row],[User Impact]]</f>
        <v>1 - Critical</v>
      </c>
      <c r="AD31" s="34" t="str">
        <f>Copertina!C$2&amp;" - "&amp;Tabella4[[#This Row],[UNI CEI EN 301549]]&amp;" "&amp;VLOOKUP(Tabella4[[#This Row],[Criterio]],Tabella5[[ID]:[Criterio di successo]],2,FALSE)&amp;" - "&amp;Tabella4[[#This Row],[Servizio]]&amp;":"</f>
        <v>Insurance Brocker - 9.1.4.4 Ridimensionamento del testo - S002 Poste Guidare Sicuri:</v>
      </c>
      <c r="AE3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- 9.1.4.4 Ridimensionamento del testo - S002 Poste Guidare Sicuri: (#M0010)
S002 Poste Guidare Sicuri
Requisito: WCAG 1.4.4
Disabilità afflitte: Low Vision
Impatto Utente: 1 - Critical
Descrizione: [user-scalable="no"]' viene utilizzato nell'elemento '&lt;meta name="viewport"&gt;' oppure l'attributo '[maximum-scale]' è minore di 5. - La disattivazione dello zoom è problematica per gli utenti ipovedenti che si affidano all'ingrandimento dello schermo per visualizzare correttamente il contenuto di una pagina Web. [Ulteriori informazioni] (https://dequeuniversity.com/rules/axe/4.10/meta-viewport)
Esempio di violazione individuata sull'oggetto: 
https://posteinsurancebroker.poste.it/fastquote/index.html - &lt;meta name=\"viewport\" content=\"width=device-width, initial-scale=1, user-scalable=no, user-scalable=0\"&gt; con selettore: 
head &gt; meta
Dettaglio + screenshot (accedere con le seguenti credenziali: user, axeposte@gmail.com; password, Poste2024!): 
Possibile metodologia risolutiva:
Rimuovere user-scalable="no" dal &lt;meta name="viewport"&gt;: Questo attributo impedisce agli utenti di ingrandire la pagina, violando l'accessibilità. Permettere lo zoom offre maggiore flessibilità per gli utenti con esigenze visive specifiche.
Impostare [maximum-scale] a un valore pari o superiore a 5: Garantire che l'utente possa ingrandire fino al livello desiderato.
Verificare il reflow del contenuto: Dopo aver abilitato lo zoom, assicurarsi che i contenuti si adattino correttamente alle diverse scale senza richiedere lo scrolling orizzontale.
File di log (occorrenze rilevate: 2):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https://posteitaliane.sharepoint.com/:w:/r/teams/ACCESSIBILITRISULTATIVERIFICHETECNICHE/Shared%20Documents/Generale/SCHEDE_REQUISITI/9.1.4.4%20Ridimensionamento%20del%20testo.docx?d=wb29e3fb3b6f9461f9c272ad4ae5b9539&amp;csf=1&amp;web=1&amp;e=DsXnvH</v>
      </c>
      <c r="AF31">
        <f>_xlfn.XLOOKUP(Tabella4[[#This Row],[ID Silk]],outTable[ID Silk],outTable[Numero ticket  ],,0,1)</f>
        <v>6010</v>
      </c>
    </row>
    <row r="32" spans="1:32">
      <c r="A32" s="34" t="str">
        <f>MID(Tabella4[[#This Row],[Servizio]],1,4)&amp;Tabella4[[#This Row],[UNI CEI EN 301549]]</f>
        <v>S0039.4.1.2</v>
      </c>
      <c r="B32" s="34" t="str">
        <f>Tabella4[[#This Row],[ID Silk]]&amp;"_1"</f>
        <v>S0039.4.1.2_1</v>
      </c>
      <c r="C32" s="34" t="s">
        <v>458</v>
      </c>
      <c r="D32" s="2" t="str">
        <f>"(#"&amp;Tabella4[[#This Row],['#ID]]&amp;")"</f>
        <v>(#M0011)</v>
      </c>
      <c r="E32" s="34" t="str">
        <f>IF(MID(Tabella4[[#This Row],['#ID]],1,1)="M","Mobile",IF(MID(Tabella4[[#This Row],['#ID]],1,1)="D","Desktop",IF(MID(Tabella4[[#This Row],['#ID]],1,2)="TM","Manuale","Documenti")))</f>
        <v>Mobile</v>
      </c>
      <c r="F32" s="34" t="s">
        <v>1005</v>
      </c>
      <c r="G32" s="34" t="s">
        <v>368</v>
      </c>
      <c r="H32" s="34" t="str">
        <f>IF(Tabella4[[#This Row],[Componente]]="Documenti","10.","9.")&amp;Tabella4[[#This Row],[Criterio]]</f>
        <v>9.4.1.2</v>
      </c>
      <c r="I32" s="34" t="s">
        <v>1007</v>
      </c>
      <c r="J32" s="34" t="s">
        <v>1019</v>
      </c>
      <c r="K32" s="34" t="s">
        <v>1020</v>
      </c>
      <c r="L32" s="34" t="s">
        <v>1021</v>
      </c>
      <c r="M32" s="34" t="s">
        <v>1022</v>
      </c>
      <c r="P32" t="s">
        <v>390</v>
      </c>
      <c r="R32" s="34" t="str">
        <f>IF(Tabella4[[#This Row],[Componente]]="Documenti",_xlfn.XLOOKUP(Tabella4[[#This Row],[URL]],Tabella27[URL],Tabella27[PDF ID],,0),_xlfn.XLOOKUP(Tabella4[[#This Row],[URL]],Tabella1[URL],Tabella1[Page ID],,0))</f>
        <v>#10</v>
      </c>
      <c r="S32" s="34" t="s">
        <v>434</v>
      </c>
      <c r="T32" s="34" t="s">
        <v>414</v>
      </c>
      <c r="W32" s="34" t="s">
        <v>1065</v>
      </c>
      <c r="X32" s="34">
        <f>IFERROR(IF(Tabella4[[#This Row],[Tool]]="lighthouse",Tabella4[[#This Row],[Detail]],MID(Tabella4[[#This Row],[Detail]],1,FIND("&gt;",Tabella4[[#This Row],[Detail]]))),Tabella4[[#This Row],[Detail]])</f>
        <v>0</v>
      </c>
      <c r="Y32" s="34" t="str">
        <f>SUBSTITUTE(IF(Tabella4[[#This Row],[Tool]]="axe-core",MID(Tabella4[[#This Row],[Rejected Element]],3,LEN(Tabella4[[#This Row],[Rejected Element]])-4),Tabella4[[#This Row],[Rejected Element]]),"\","")</f>
        <v/>
      </c>
      <c r="Z32" s="34">
        <f>COUNTIFS(Tabella4[Detail univoco],Tabella4[[#This Row],[Detail univoco]],Tabella4[Rejected Element Univoco],Tabella4[[#This Row],[Rejected Element Univoco]],Tabella4[ItemsNodeLabel],Tabella4[[#This Row],[ItemsNodeLabel]])</f>
        <v>0</v>
      </c>
      <c r="AA32" s="34" t="str">
        <f>IF(Tabella4[[#This Row],[Componente]]="Documenti",VLOOKUP(Tabella4[[#This Row],[URL]],Tabella27[[URL]:[Servizio]],4,FALSE),VLOOKUP(Tabella4[[#This Row],[Page ID]],Tabella1[[Page ID]:[Servizio]],4,FALSE))</f>
        <v>S003 Assistenza</v>
      </c>
      <c r="AB32" s="34"/>
      <c r="AC32" s="34" t="str">
        <f>Tabella4[[#This Row],[User Impact]]</f>
        <v>1 - Critical</v>
      </c>
      <c r="AD32" s="34" t="str">
        <f>Copertina!C$2&amp;" - "&amp;Tabella4[[#This Row],[UNI CEI EN 301549]]&amp;" "&amp;VLOOKUP(Tabella4[[#This Row],[Criterio]],Tabella5[[ID]:[Criterio di successo]],2,FALSE)&amp;" - "&amp;Tabella4[[#This Row],[Servizio]]&amp;":"</f>
        <v>Insurance Brocker - 9.4.1.2 Nome, ruolo, valore - S003 Assistenza:</v>
      </c>
      <c r="AE3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(#M0011)
S003 Assistenza
Requisito: WCAG 4.1.2
Disabilità afflitte: Blind;Deafblind;Mobility
Impatto Utente: 1 - Critical
Descrizione: Gli elementi devono utilizzare solo attributi ARIA ammissibili - Assicurarsi che gli attributi ARIA siano consentiti per il ruolo di un elemento [Ulteriori informazioni] (https://dequeuniversity.com/rules/axe/4.7/aria-allowed-attr?application=drwright)
Esempio di violazione individuata sull'oggetto: 
https://posteinsurancebroker.poste.it/glossario-assicurativo/ -  con selettore: 
Dettaglio + screenshot (accedere con le seguenti credenziali: user, axeposte@gmail.com; password, Poste2024!): 
Possibile metodologia risolutiva:
Verificare che gli attributi ARIA utilizzati siano ammessi per i ruoli specificati negli elementi, consultando la documentazione ufficiale WAI-ARIA. Rimuovere o correggere gli attributi non validi per garantire conformità e compatibilità.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2">
        <f>_xlfn.XLOOKUP(Tabella4[[#This Row],[ID Silk]],outTable[ID Silk],outTable[Numero ticket  ],,0,1)</f>
        <v>5975</v>
      </c>
    </row>
    <row r="33" spans="1:32">
      <c r="A33" s="34" t="str">
        <f>MID(Tabella4[[#This Row],[Servizio]],1,4)&amp;Tabella4[[#This Row],[UNI CEI EN 301549]]</f>
        <v>S0039.4.1.1</v>
      </c>
      <c r="B33" s="34" t="str">
        <f>Tabella4[[#This Row],[ID Silk]]&amp;"_1"</f>
        <v>S0039.4.1.1_1</v>
      </c>
      <c r="C33" s="34" t="s">
        <v>459</v>
      </c>
      <c r="D33" s="2" t="str">
        <f>"(#"&amp;Tabella4[[#This Row],['#ID]]&amp;")"</f>
        <v>(#M0012)</v>
      </c>
      <c r="E33" s="34" t="str">
        <f>IF(MID(Tabella4[[#This Row],['#ID]],1,1)="M","Mobile",IF(MID(Tabella4[[#This Row],['#ID]],1,1)="D","Desktop",IF(MID(Tabella4[[#This Row],['#ID]],1,2)="TM","Manuale","Documenti")))</f>
        <v>Mobile</v>
      </c>
      <c r="F33" s="34" t="s">
        <v>1005</v>
      </c>
      <c r="G33" s="34" t="s">
        <v>366</v>
      </c>
      <c r="H33" s="34" t="str">
        <f>IF(Tabella4[[#This Row],[Componente]]="Documenti","10.","9.")&amp;Tabella4[[#This Row],[Criterio]]</f>
        <v>9.4.1.1</v>
      </c>
      <c r="I33" s="34" t="s">
        <v>1007</v>
      </c>
      <c r="J33" s="34" t="s">
        <v>1008</v>
      </c>
      <c r="K33" s="34" t="s">
        <v>1009</v>
      </c>
      <c r="L33" s="34" t="s">
        <v>1010</v>
      </c>
      <c r="M33" s="34" t="s">
        <v>1011</v>
      </c>
      <c r="N33" t="s">
        <v>435</v>
      </c>
      <c r="O33" t="s">
        <v>436</v>
      </c>
      <c r="P33" t="s">
        <v>390</v>
      </c>
      <c r="R33" s="34" t="str">
        <f>IF(Tabella4[[#This Row],[Componente]]="Documenti",_xlfn.XLOOKUP(Tabella4[[#This Row],[URL]],Tabella27[URL],Tabella27[PDF ID],,0),_xlfn.XLOOKUP(Tabella4[[#This Row],[URL]],Tabella1[URL],Tabella1[Page ID],,0))</f>
        <v>#10</v>
      </c>
      <c r="S33" s="34" t="s">
        <v>434</v>
      </c>
      <c r="T33" s="34" t="s">
        <v>411</v>
      </c>
      <c r="U33" t="s">
        <v>448</v>
      </c>
      <c r="V33" t="s">
        <v>444</v>
      </c>
      <c r="W33" s="34" t="s">
        <v>1062</v>
      </c>
      <c r="X33" s="34" t="str">
        <f>IFERROR(IF(Tabella4[[#This Row],[Tool]]="lighthouse",Tabella4[[#This Row],[Detail]],MID(Tabella4[[#This Row],[Detail]],1,FIND("&gt;",Tabella4[[#This Row],[Detail]]))),Tabella4[[#This Row],[Detail]])</f>
        <v>&lt;p id=\"offcanvas-panel-desc-00_sites\" class=\"sr-only\"&gt;</v>
      </c>
      <c r="Y33" s="34" t="str">
        <f>SUBSTITUTE(IF(Tabella4[[#This Row],[Tool]]="axe-core",MID(Tabella4[[#This Row],[Rejected Element]],3,LEN(Tabella4[[#This Row],[Rejected Element]])-4),Tabella4[[#This Row],[Rejected Element]]),"\","")</f>
        <v>div.side-offcanvas-content-wrap &gt; div.row &gt; div.col-sm-12 &gt; p#offcanvas-panel-desc-00_sites</v>
      </c>
      <c r="Z33" s="34">
        <f>COUNTIFS(Tabella4[Detail univoco],Tabella4[[#This Row],[Detail univoco]],Tabella4[Rejected Element Univoco],Tabella4[[#This Row],[Rejected Element Univoco]],Tabella4[ItemsNodeLabel],Tabella4[[#This Row],[ItemsNodeLabel]])</f>
        <v>15</v>
      </c>
      <c r="AA33" s="34" t="str">
        <f>IF(Tabella4[[#This Row],[Componente]]="Documenti",VLOOKUP(Tabella4[[#This Row],[URL]],Tabella27[[URL]:[Servizio]],4,FALSE),VLOOKUP(Tabella4[[#This Row],[Page ID]],Tabella1[[Page ID]:[Servizio]],4,FALSE))</f>
        <v>S003 Assistenza</v>
      </c>
      <c r="AB33" s="34"/>
      <c r="AC33" s="34" t="str">
        <f>Tabella4[[#This Row],[User Impact]]</f>
        <v>1 - Critical</v>
      </c>
      <c r="AD33" s="34" t="str">
        <f>Copertina!C$2&amp;" - "&amp;Tabella4[[#This Row],[UNI CEI EN 301549]]&amp;" "&amp;VLOOKUP(Tabella4[[#This Row],[Criterio]],Tabella5[[ID]:[Criterio di successo]],2,FALSE)&amp;" - "&amp;Tabella4[[#This Row],[Servizio]]&amp;":"</f>
        <v>Insurance Brocker - 9.4.1.1 Analisi sintattica (parsing) - S003 Assistenza:</v>
      </c>
      <c r="AE3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(#M0012)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https://posteinsurancebroker.poste.it/glossario-assicurativo/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33">
        <f>_xlfn.XLOOKUP(Tabella4[[#This Row],[ID Silk]],outTable[ID Silk],outTable[Numero ticket  ],,0,1)</f>
        <v>5974</v>
      </c>
    </row>
    <row r="34" spans="1:32">
      <c r="A34" s="34" t="str">
        <f>MID(Tabella4[[#This Row],[Servizio]],1,4)&amp;Tabella4[[#This Row],[UNI CEI EN 301549]]</f>
        <v>S0029.4.1.1</v>
      </c>
      <c r="B34" s="34" t="str">
        <f>Tabella4[[#This Row],[ID Silk]]&amp;"_1"</f>
        <v>S0029.4.1.1_1</v>
      </c>
      <c r="C34" s="34" t="s">
        <v>460</v>
      </c>
      <c r="D34" s="2" t="str">
        <f>"(#"&amp;Tabella4[[#This Row],['#ID]]&amp;")"</f>
        <v>(#M0013)</v>
      </c>
      <c r="E34" s="34" t="str">
        <f>IF(MID(Tabella4[[#This Row],['#ID]],1,1)="M","Mobile",IF(MID(Tabella4[[#This Row],['#ID]],1,1)="D","Desktop",IF(MID(Tabella4[[#This Row],['#ID]],1,2)="TM","Manuale","Documenti")))</f>
        <v>Mobile</v>
      </c>
      <c r="F34" s="34" t="s">
        <v>1005</v>
      </c>
      <c r="G34" s="34" t="s">
        <v>366</v>
      </c>
      <c r="H34" s="34" t="str">
        <f>IF(Tabella4[[#This Row],[Componente]]="Documenti","10.","9.")&amp;Tabella4[[#This Row],[Criterio]]</f>
        <v>9.4.1.1</v>
      </c>
      <c r="I34" s="34" t="s">
        <v>1007</v>
      </c>
      <c r="J34" s="34" t="s">
        <v>1008</v>
      </c>
      <c r="K34" s="34" t="s">
        <v>1009</v>
      </c>
      <c r="L34" s="34" t="s">
        <v>1010</v>
      </c>
      <c r="M34" s="34" t="s">
        <v>1011</v>
      </c>
      <c r="N34" t="s">
        <v>435</v>
      </c>
      <c r="O34" t="s">
        <v>436</v>
      </c>
      <c r="P34" t="s">
        <v>391</v>
      </c>
      <c r="R34" s="34" t="str">
        <f>IF(Tabella4[[#This Row],[Componente]]="Documenti",_xlfn.XLOOKUP(Tabella4[[#This Row],[URL]],Tabella27[URL],Tabella27[PDF ID],,0),_xlfn.XLOOKUP(Tabella4[[#This Row],[URL]],Tabella1[URL],Tabella1[Page ID],,0))</f>
        <v>#11</v>
      </c>
      <c r="S34" s="34" t="s">
        <v>434</v>
      </c>
      <c r="T34" s="34" t="s">
        <v>411</v>
      </c>
      <c r="U34" t="s">
        <v>448</v>
      </c>
      <c r="V34" t="s">
        <v>444</v>
      </c>
      <c r="W34" s="34" t="s">
        <v>1062</v>
      </c>
      <c r="X34" s="34" t="str">
        <f>IFERROR(IF(Tabella4[[#This Row],[Tool]]="lighthouse",Tabella4[[#This Row],[Detail]],MID(Tabella4[[#This Row],[Detail]],1,FIND("&gt;",Tabella4[[#This Row],[Detail]]))),Tabella4[[#This Row],[Detail]])</f>
        <v>&lt;p id=\"offcanvas-panel-desc-00_sites\" class=\"sr-only\"&gt;</v>
      </c>
      <c r="Y34" s="34" t="str">
        <f>SUBSTITUTE(IF(Tabella4[[#This Row],[Tool]]="axe-core",MID(Tabella4[[#This Row],[Rejected Element]],3,LEN(Tabella4[[#This Row],[Rejected Element]])-4),Tabella4[[#This Row],[Rejected Element]]),"\","")</f>
        <v>div.side-offcanvas-content-wrap &gt; div.row &gt; div.col-sm-12 &gt; p#offcanvas-panel-desc-00_sites</v>
      </c>
      <c r="Z34" s="34">
        <f>COUNTIFS(Tabella4[Detail univoco],Tabella4[[#This Row],[Detail univoco]],Tabella4[Rejected Element Univoco],Tabella4[[#This Row],[Rejected Element Univoco]],Tabella4[ItemsNodeLabel],Tabella4[[#This Row],[ItemsNodeLabel]])</f>
        <v>15</v>
      </c>
      <c r="AA34" s="34" t="str">
        <f>IF(Tabella4[[#This Row],[Componente]]="Documenti",VLOOKUP(Tabella4[[#This Row],[URL]],Tabella27[[URL]:[Servizio]],4,FALSE),VLOOKUP(Tabella4[[#This Row],[Page ID]],Tabella1[[Page ID]:[Servizio]],4,FALSE))</f>
        <v>S002 Poste Guidare Sicuri</v>
      </c>
      <c r="AB34" s="34"/>
      <c r="AC34" s="34" t="str">
        <f>Tabella4[[#This Row],[User Impact]]</f>
        <v>1 - Critical</v>
      </c>
      <c r="AD34" s="34" t="str">
        <f>Copertina!C$2&amp;" - "&amp;Tabella4[[#This Row],[UNI CEI EN 301549]]&amp;" "&amp;VLOOKUP(Tabella4[[#This Row],[Criterio]],Tabella5[[ID]:[Criterio di successo]],2,FALSE)&amp;" - "&amp;Tabella4[[#This Row],[Servizio]]&amp;":"</f>
        <v>Insurance Brocker - 9.4.1.1 Analisi sintattica (parsing) - S002 Poste Guidare Sicuri:</v>
      </c>
      <c r="AE3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S002 Poste Guidare Sicuri: (#M0013)
S002 Poste Guidare Sicuri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https://posteinsurancebroker.poste.it/poste-guidare-sicuri/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4): https://posteitaliane.sharepoint.com/:x:/r/teams/ACCESSIBILITRISULTATIVERIFICHETECNICHE-PORTALEIMMIGRAZIONE/Shared%20Documents/PORTALE%20IMMIGRAZIONE/LOG/Log_2411.xlsx?d=wce770a595441461abc11f2c139111c73&amp;csf=1&amp;web=1&amp;e=tpdJfo
Link al dettaglio requisito WCAG: </v>
      </c>
      <c r="AF34">
        <f>_xlfn.XLOOKUP(Tabella4[[#This Row],[ID Silk]],outTable[ID Silk],outTable[Numero ticket  ],,0,1)</f>
        <v>6015</v>
      </c>
    </row>
    <row r="35" spans="1:32">
      <c r="A35" s="34" t="str">
        <f>MID(Tabella4[[#This Row],[Servizio]],1,4)&amp;Tabella4[[#This Row],[UNI CEI EN 301549]]</f>
        <v>S0059.4.1.1</v>
      </c>
      <c r="B35" s="34" t="str">
        <f>Tabella4[[#This Row],[ID Silk]]&amp;"_1"</f>
        <v>S0059.4.1.1_1</v>
      </c>
      <c r="C35" s="34" t="s">
        <v>461</v>
      </c>
      <c r="D35" s="2" t="str">
        <f>"(#"&amp;Tabella4[[#This Row],['#ID]]&amp;")"</f>
        <v>(#M0014)</v>
      </c>
      <c r="E35" s="34" t="str">
        <f>IF(MID(Tabella4[[#This Row],['#ID]],1,1)="M","Mobile",IF(MID(Tabella4[[#This Row],['#ID]],1,1)="D","Desktop",IF(MID(Tabella4[[#This Row],['#ID]],1,2)="TM","Manuale","Documenti")))</f>
        <v>Mobile</v>
      </c>
      <c r="F35" s="34" t="s">
        <v>1005</v>
      </c>
      <c r="G35" s="34" t="s">
        <v>366</v>
      </c>
      <c r="H35" s="34" t="str">
        <f>IF(Tabella4[[#This Row],[Componente]]="Documenti","10.","9.")&amp;Tabella4[[#This Row],[Criterio]]</f>
        <v>9.4.1.1</v>
      </c>
      <c r="I35" s="34" t="s">
        <v>1007</v>
      </c>
      <c r="J35" s="34" t="s">
        <v>1008</v>
      </c>
      <c r="K35" s="34" t="s">
        <v>1009</v>
      </c>
      <c r="L35" s="34" t="s">
        <v>1010</v>
      </c>
      <c r="M35" s="34" t="s">
        <v>1011</v>
      </c>
      <c r="N35" t="s">
        <v>435</v>
      </c>
      <c r="O35" t="s">
        <v>436</v>
      </c>
      <c r="P35" t="s">
        <v>392</v>
      </c>
      <c r="R35" s="34" t="str">
        <f>IF(Tabella4[[#This Row],[Componente]]="Documenti",_xlfn.XLOOKUP(Tabella4[[#This Row],[URL]],Tabella27[URL],Tabella27[PDF ID],,0),_xlfn.XLOOKUP(Tabella4[[#This Row],[URL]],Tabella1[URL],Tabella1[Page ID],,0))</f>
        <v>#12</v>
      </c>
      <c r="S35" s="34" t="s">
        <v>434</v>
      </c>
      <c r="T35" s="34" t="s">
        <v>411</v>
      </c>
      <c r="U35" t="s">
        <v>448</v>
      </c>
      <c r="V35" t="s">
        <v>444</v>
      </c>
      <c r="W35" s="34" t="s">
        <v>1062</v>
      </c>
      <c r="X35" s="34" t="str">
        <f>IFERROR(IF(Tabella4[[#This Row],[Tool]]="lighthouse",Tabella4[[#This Row],[Detail]],MID(Tabella4[[#This Row],[Detail]],1,FIND("&gt;",Tabella4[[#This Row],[Detail]]))),Tabella4[[#This Row],[Detail]])</f>
        <v>&lt;p id=\"offcanvas-panel-desc-00_sites\" class=\"sr-only\"&gt;</v>
      </c>
      <c r="Y35" s="34" t="str">
        <f>SUBSTITUTE(IF(Tabella4[[#This Row],[Tool]]="axe-core",MID(Tabella4[[#This Row],[Rejected Element]],3,LEN(Tabella4[[#This Row],[Rejected Element]])-4),Tabella4[[#This Row],[Rejected Element]]),"\","")</f>
        <v>div.side-offcanvas-content-wrap &gt; div.row &gt; div.col-sm-12 &gt; p#offcanvas-panel-desc-00_sites</v>
      </c>
      <c r="Z35" s="34">
        <f>COUNTIFS(Tabella4[Detail univoco],Tabella4[[#This Row],[Detail univoco]],Tabella4[Rejected Element Univoco],Tabella4[[#This Row],[Rejected Element Univoco]],Tabella4[ItemsNodeLabel],Tabella4[[#This Row],[ItemsNodeLabel]])</f>
        <v>15</v>
      </c>
      <c r="AA35" s="34" t="str">
        <f>IF(Tabella4[[#This Row],[Componente]]="Documenti",VLOOKUP(Tabella4[[#This Row],[URL]],Tabella27[[URL]:[Servizio]],4,FALSE),VLOOKUP(Tabella4[[#This Row],[Page ID]],Tabella1[[Page ID]:[Servizio]],4,FALSE))</f>
        <v>S005 Privacy Policy</v>
      </c>
      <c r="AB35" s="34"/>
      <c r="AC35" s="34" t="str">
        <f>Tabella4[[#This Row],[User Impact]]</f>
        <v>1 - Critical</v>
      </c>
      <c r="AD35" s="34" t="str">
        <f>Copertina!C$2&amp;" - "&amp;Tabella4[[#This Row],[UNI CEI EN 301549]]&amp;" "&amp;VLOOKUP(Tabella4[[#This Row],[Criterio]],Tabella5[[ID]:[Criterio di successo]],2,FALSE)&amp;" - "&amp;Tabella4[[#This Row],[Servizio]]&amp;":"</f>
        <v>Insurance Brocker - 9.4.1.1 Analisi sintattica (parsing) - S005 Privacy Policy:</v>
      </c>
      <c r="AE3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S005 Privacy Policy: (#M0014)
S005 Privacy Policy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https://posteinsurancebroker.poste.it/privacy-policy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6): https://posteitaliane.sharepoint.com/:x:/r/teams/ACCESSIBILITRISULTATIVERIFICHETECNICHE-PORTALEIMMIGRAZIONE/Shared%20Documents/PORTALE%20IMMIGRAZIONE/LOG/Log_2411.xlsx?d=wce770a595441461abc11f2c139111c73&amp;csf=1&amp;web=1&amp;e=tpdJfo
Link al dettaglio requisito WCAG: </v>
      </c>
      <c r="AF35">
        <f>_xlfn.XLOOKUP(Tabella4[[#This Row],[ID Silk]],outTable[ID Silk],outTable[Numero ticket  ],,0,1)</f>
        <v>5985</v>
      </c>
    </row>
    <row r="36" spans="1:32">
      <c r="A36" s="34" t="str">
        <f>MID(Tabella4[[#This Row],[Servizio]],1,4)&amp;Tabella4[[#This Row],[UNI CEI EN 301549]]</f>
        <v>S0059.4.1.1</v>
      </c>
      <c r="B36" s="34" t="str">
        <f>Tabella4[[#This Row],[ID Silk]]&amp;"_1"</f>
        <v>S0059.4.1.1_1</v>
      </c>
      <c r="C36" s="34" t="s">
        <v>462</v>
      </c>
      <c r="D36" s="2" t="str">
        <f>"(#"&amp;Tabella4[[#This Row],['#ID]]&amp;")"</f>
        <v>(#M0015)</v>
      </c>
      <c r="E36" s="34" t="str">
        <f>IF(MID(Tabella4[[#This Row],['#ID]],1,1)="M","Mobile",IF(MID(Tabella4[[#This Row],['#ID]],1,1)="D","Desktop",IF(MID(Tabella4[[#This Row],['#ID]],1,2)="TM","Manuale","Documenti")))</f>
        <v>Mobile</v>
      </c>
      <c r="F36" s="34" t="s">
        <v>1005</v>
      </c>
      <c r="G36" s="34" t="s">
        <v>366</v>
      </c>
      <c r="H36" s="34" t="str">
        <f>IF(Tabella4[[#This Row],[Componente]]="Documenti","10.","9.")&amp;Tabella4[[#This Row],[Criterio]]</f>
        <v>9.4.1.1</v>
      </c>
      <c r="I36" s="34" t="s">
        <v>1007</v>
      </c>
      <c r="J36" s="34" t="s">
        <v>1008</v>
      </c>
      <c r="K36" s="34" t="s">
        <v>1009</v>
      </c>
      <c r="L36" s="34" t="s">
        <v>1010</v>
      </c>
      <c r="M36" s="34" t="s">
        <v>1011</v>
      </c>
      <c r="N36" t="s">
        <v>435</v>
      </c>
      <c r="O36" t="s">
        <v>436</v>
      </c>
      <c r="P36" t="s">
        <v>392</v>
      </c>
      <c r="R36" s="34" t="str">
        <f>IF(Tabella4[[#This Row],[Componente]]="Documenti",_xlfn.XLOOKUP(Tabella4[[#This Row],[URL]],Tabella27[URL],Tabella27[PDF ID],,0),_xlfn.XLOOKUP(Tabella4[[#This Row],[URL]],Tabella1[URL],Tabella1[Page ID],,0))</f>
        <v>#12</v>
      </c>
      <c r="S36" s="34" t="s">
        <v>434</v>
      </c>
      <c r="T36" s="34" t="s">
        <v>411</v>
      </c>
      <c r="U36" t="s">
        <v>448</v>
      </c>
      <c r="V36" t="s">
        <v>444</v>
      </c>
      <c r="W36" s="34" t="s">
        <v>1062</v>
      </c>
      <c r="X36" s="34" t="str">
        <f>IFERROR(IF(Tabella4[[#This Row],[Tool]]="lighthouse",Tabella4[[#This Row],[Detail]],MID(Tabella4[[#This Row],[Detail]],1,FIND("&gt;",Tabella4[[#This Row],[Detail]]))),Tabella4[[#This Row],[Detail]])</f>
        <v>&lt;p id=\"offcanvas-panel-desc-00_sites\" class=\"sr-only\"&gt;</v>
      </c>
      <c r="Y36" s="34" t="str">
        <f>SUBSTITUTE(IF(Tabella4[[#This Row],[Tool]]="axe-core",MID(Tabella4[[#This Row],[Rejected Element]],3,LEN(Tabella4[[#This Row],[Rejected Element]])-4),Tabella4[[#This Row],[Rejected Element]]),"\","")</f>
        <v>div.side-offcanvas-content-wrap &gt; div.row &gt; div.col-sm-12 &gt; p#offcanvas-panel-desc-00_sites</v>
      </c>
      <c r="Z36" s="34">
        <f>COUNTIFS(Tabella4[Detail univoco],Tabella4[[#This Row],[Detail univoco]],Tabella4[Rejected Element Univoco],Tabella4[[#This Row],[Rejected Element Univoco]],Tabella4[ItemsNodeLabel],Tabella4[[#This Row],[ItemsNodeLabel]])</f>
        <v>15</v>
      </c>
      <c r="AA36" s="34" t="str">
        <f>IF(Tabella4[[#This Row],[Componente]]="Documenti",VLOOKUP(Tabella4[[#This Row],[URL]],Tabella27[[URL]:[Servizio]],4,FALSE),VLOOKUP(Tabella4[[#This Row],[Page ID]],Tabella1[[Page ID]:[Servizio]],4,FALSE))</f>
        <v>S005 Privacy Policy</v>
      </c>
      <c r="AB36" s="34"/>
      <c r="AC36" s="34" t="str">
        <f>Tabella4[[#This Row],[User Impact]]</f>
        <v>1 - Critical</v>
      </c>
      <c r="AD36" s="34" t="str">
        <f>Copertina!C$2&amp;" - "&amp;Tabella4[[#This Row],[UNI CEI EN 301549]]&amp;" "&amp;VLOOKUP(Tabella4[[#This Row],[Criterio]],Tabella5[[ID]:[Criterio di successo]],2,FALSE)&amp;" - "&amp;Tabella4[[#This Row],[Servizio]]&amp;":"</f>
        <v>Insurance Brocker - 9.4.1.1 Analisi sintattica (parsing) - S005 Privacy Policy:</v>
      </c>
      <c r="AE3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S005 Privacy Policy: (#M0015)
S005 Privacy Policy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https://posteinsurancebroker.poste.it/privacy-policy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6): https://posteitaliane.sharepoint.com/:x:/r/teams/ACCESSIBILITRISULTATIVERIFICHETECNICHE-PORTALEIMMIGRAZIONE/Shared%20Documents/PORTALE%20IMMIGRAZIONE/LOG/Log_2411.xlsx?d=wce770a595441461abc11f2c139111c73&amp;csf=1&amp;web=1&amp;e=tpdJfo
Link al dettaglio requisito WCAG: </v>
      </c>
      <c r="AF36">
        <f>_xlfn.XLOOKUP(Tabella4[[#This Row],[ID Silk]],outTable[ID Silk],outTable[Numero ticket  ],,0,1)</f>
        <v>5985</v>
      </c>
    </row>
    <row r="37" spans="1:32">
      <c r="A37" s="34" t="str">
        <f>MID(Tabella4[[#This Row],[Servizio]],1,4)&amp;Tabella4[[#This Row],[UNI CEI EN 301549]]</f>
        <v>S0039.4.1.1</v>
      </c>
      <c r="B37" s="34" t="str">
        <f>Tabella4[[#This Row],[ID Silk]]&amp;"_1"</f>
        <v>S0039.4.1.1_1</v>
      </c>
      <c r="C37" s="34" t="s">
        <v>463</v>
      </c>
      <c r="D37" s="2" t="str">
        <f>"(#"&amp;Tabella4[[#This Row],['#ID]]&amp;")"</f>
        <v>(#M0016)</v>
      </c>
      <c r="E37" s="34" t="str">
        <f>IF(MID(Tabella4[[#This Row],['#ID]],1,1)="M","Mobile",IF(MID(Tabella4[[#This Row],['#ID]],1,1)="D","Desktop",IF(MID(Tabella4[[#This Row],['#ID]],1,2)="TM","Manuale","Documenti")))</f>
        <v>Mobile</v>
      </c>
      <c r="F37" s="34" t="s">
        <v>1005</v>
      </c>
      <c r="G37" s="34" t="s">
        <v>366</v>
      </c>
      <c r="H37" s="34" t="str">
        <f>IF(Tabella4[[#This Row],[Componente]]="Documenti","10.","9.")&amp;Tabella4[[#This Row],[Criterio]]</f>
        <v>9.4.1.1</v>
      </c>
      <c r="I37" s="34" t="s">
        <v>1007</v>
      </c>
      <c r="J37" s="34" t="s">
        <v>1008</v>
      </c>
      <c r="K37" s="34" t="s">
        <v>1009</v>
      </c>
      <c r="L37" s="34" t="s">
        <v>1010</v>
      </c>
      <c r="M37" s="34" t="s">
        <v>1011</v>
      </c>
      <c r="N37" t="s">
        <v>435</v>
      </c>
      <c r="O37" t="s">
        <v>436</v>
      </c>
      <c r="P37" t="s">
        <v>393</v>
      </c>
      <c r="R37" s="34" t="str">
        <f>IF(Tabella4[[#This Row],[Componente]]="Documenti",_xlfn.XLOOKUP(Tabella4[[#This Row],[URL]],Tabella27[URL],Tabella27[PDF ID],,0),_xlfn.XLOOKUP(Tabella4[[#This Row],[URL]],Tabella1[URL],Tabella1[Page ID],,0))</f>
        <v>#13</v>
      </c>
      <c r="S37" s="34" t="s">
        <v>434</v>
      </c>
      <c r="T37" s="34" t="s">
        <v>411</v>
      </c>
      <c r="U37" t="s">
        <v>448</v>
      </c>
      <c r="V37" t="s">
        <v>444</v>
      </c>
      <c r="W37" s="34" t="s">
        <v>1062</v>
      </c>
      <c r="X37" s="34" t="str">
        <f>IFERROR(IF(Tabella4[[#This Row],[Tool]]="lighthouse",Tabella4[[#This Row],[Detail]],MID(Tabella4[[#This Row],[Detail]],1,FIND("&gt;",Tabella4[[#This Row],[Detail]]))),Tabella4[[#This Row],[Detail]])</f>
        <v>&lt;p id=\"offcanvas-panel-desc-00_sites\" class=\"sr-only\"&gt;</v>
      </c>
      <c r="Y37" s="34" t="str">
        <f>SUBSTITUTE(IF(Tabella4[[#This Row],[Tool]]="axe-core",MID(Tabella4[[#This Row],[Rejected Element]],3,LEN(Tabella4[[#This Row],[Rejected Element]])-4),Tabella4[[#This Row],[Rejected Element]]),"\","")</f>
        <v>div.side-offcanvas-content-wrap &gt; div.row &gt; div.col-sm-12 &gt; p#offcanvas-panel-desc-00_sites</v>
      </c>
      <c r="Z37" s="34">
        <f>COUNTIFS(Tabella4[Detail univoco],Tabella4[[#This Row],[Detail univoco]],Tabella4[Rejected Element Univoco],Tabella4[[#This Row],[Rejected Element Univoco]],Tabella4[ItemsNodeLabel],Tabella4[[#This Row],[ItemsNodeLabel]])</f>
        <v>15</v>
      </c>
      <c r="AA37" s="34" t="str">
        <f>IF(Tabella4[[#This Row],[Componente]]="Documenti",VLOOKUP(Tabella4[[#This Row],[URL]],Tabella27[[URL]:[Servizio]],4,FALSE),VLOOKUP(Tabella4[[#This Row],[Page ID]],Tabella1[[Page ID]:[Servizio]],4,FALSE))</f>
        <v>S003 Assistenza</v>
      </c>
      <c r="AB37" s="34"/>
      <c r="AC37" s="34" t="str">
        <f>Tabella4[[#This Row],[User Impact]]</f>
        <v>1 - Critical</v>
      </c>
      <c r="AD37" s="34" t="str">
        <f>Copertina!C$2&amp;" - "&amp;Tabella4[[#This Row],[UNI CEI EN 301549]]&amp;" "&amp;VLOOKUP(Tabella4[[#This Row],[Criterio]],Tabella5[[ID]:[Criterio di successo]],2,FALSE)&amp;" - "&amp;Tabella4[[#This Row],[Servizio]]&amp;":"</f>
        <v>Insurance Brocker - 9.4.1.1 Analisi sintattica (parsing) - S003 Assistenza:</v>
      </c>
      <c r="AE3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(#M0016)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https://posteinsurancebroker.poste.it/reclami/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37">
        <f>_xlfn.XLOOKUP(Tabella4[[#This Row],[ID Silk]],outTable[ID Silk],outTable[Numero ticket  ],,0,1)</f>
        <v>5974</v>
      </c>
    </row>
    <row r="38" spans="1:32">
      <c r="A38" s="34" t="str">
        <f>MID(Tabella4[[#This Row],[Servizio]],1,4)&amp;Tabella4[[#This Row],[UNI CEI EN 301549]]</f>
        <v>S0069.4.1.1</v>
      </c>
      <c r="B38" s="34" t="str">
        <f>Tabella4[[#This Row],[ID Silk]]&amp;"_1"</f>
        <v>S0069.4.1.1_1</v>
      </c>
      <c r="C38" s="34" t="s">
        <v>464</v>
      </c>
      <c r="D38" s="2" t="str">
        <f>"(#"&amp;Tabella4[[#This Row],['#ID]]&amp;")"</f>
        <v>(#M0017)</v>
      </c>
      <c r="E38" s="34" t="str">
        <f>IF(MID(Tabella4[[#This Row],['#ID]],1,1)="M","Mobile",IF(MID(Tabella4[[#This Row],['#ID]],1,1)="D","Desktop",IF(MID(Tabella4[[#This Row],['#ID]],1,2)="TM","Manuale","Documenti")))</f>
        <v>Mobile</v>
      </c>
      <c r="F38" s="34" t="s">
        <v>1005</v>
      </c>
      <c r="G38" s="34" t="s">
        <v>366</v>
      </c>
      <c r="H38" s="34" t="str">
        <f>IF(Tabella4[[#This Row],[Componente]]="Documenti","10.","9.")&amp;Tabella4[[#This Row],[Criterio]]</f>
        <v>9.4.1.1</v>
      </c>
      <c r="I38" s="34" t="s">
        <v>1007</v>
      </c>
      <c r="J38" s="34" t="s">
        <v>1008</v>
      </c>
      <c r="K38" s="34" t="s">
        <v>1009</v>
      </c>
      <c r="L38" s="34" t="s">
        <v>1010</v>
      </c>
      <c r="M38" s="34" t="s">
        <v>1011</v>
      </c>
      <c r="N38" t="s">
        <v>435</v>
      </c>
      <c r="O38" t="s">
        <v>436</v>
      </c>
      <c r="P38" t="s">
        <v>381</v>
      </c>
      <c r="R38" s="34" t="str">
        <f>IF(Tabella4[[#This Row],[Componente]]="Documenti",_xlfn.XLOOKUP(Tabella4[[#This Row],[URL]],Tabella27[URL],Tabella27[PDF ID],,0),_xlfn.XLOOKUP(Tabella4[[#This Row],[URL]],Tabella1[URL],Tabella1[Page ID],,0))</f>
        <v>#14</v>
      </c>
      <c r="S38" s="34" t="s">
        <v>434</v>
      </c>
      <c r="T38" s="34" t="s">
        <v>411</v>
      </c>
      <c r="U38" t="s">
        <v>448</v>
      </c>
      <c r="V38" t="s">
        <v>444</v>
      </c>
      <c r="W38" s="34" t="s">
        <v>1062</v>
      </c>
      <c r="X38" s="34" t="str">
        <f>IFERROR(IF(Tabella4[[#This Row],[Tool]]="lighthouse",Tabella4[[#This Row],[Detail]],MID(Tabella4[[#This Row],[Detail]],1,FIND("&gt;",Tabella4[[#This Row],[Detail]]))),Tabella4[[#This Row],[Detail]])</f>
        <v>&lt;p id=\"offcanvas-panel-desc-00_sites\" class=\"sr-only\"&gt;</v>
      </c>
      <c r="Y38" s="34" t="str">
        <f>SUBSTITUTE(IF(Tabella4[[#This Row],[Tool]]="axe-core",MID(Tabella4[[#This Row],[Rejected Element]],3,LEN(Tabella4[[#This Row],[Rejected Element]])-4),Tabella4[[#This Row],[Rejected Element]]),"\","")</f>
        <v>div.side-offcanvas-content-wrap &gt; div.row &gt; div.col-sm-12 &gt; p#offcanvas-panel-desc-00_sites</v>
      </c>
      <c r="Z38" s="34">
        <f>COUNTIFS(Tabella4[Detail univoco],Tabella4[[#This Row],[Detail univoco]],Tabella4[Rejected Element Univoco],Tabella4[[#This Row],[Rejected Element Univoco]],Tabella4[ItemsNodeLabel],Tabella4[[#This Row],[ItemsNodeLabel]])</f>
        <v>15</v>
      </c>
      <c r="AA38" s="34" t="str">
        <f>IF(Tabella4[[#This Row],[Componente]]="Documenti",VLOOKUP(Tabella4[[#This Row],[URL]],Tabella27[[URL]:[Servizio]],4,FALSE),VLOOKUP(Tabella4[[#This Row],[Page ID]],Tabella1[[Page ID]:[Servizio]],4,FALSE))</f>
        <v>S006 L'azienda</v>
      </c>
      <c r="AB38" s="34"/>
      <c r="AC38" s="34" t="str">
        <f>Tabella4[[#This Row],[User Impact]]</f>
        <v>1 - Critical</v>
      </c>
      <c r="AD38" s="34" t="str">
        <f>Copertina!C$2&amp;" - "&amp;Tabella4[[#This Row],[UNI CEI EN 301549]]&amp;" "&amp;VLOOKUP(Tabella4[[#This Row],[Criterio]],Tabella5[[ID]:[Criterio di successo]],2,FALSE)&amp;" - "&amp;Tabella4[[#This Row],[Servizio]]&amp;":"</f>
        <v>Insurance Brocker - 9.4.1.1 Analisi sintattica (parsing) - S006 L'azienda:</v>
      </c>
      <c r="AE3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S006 L'azienda: (#M0017)
S006 L'azienda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https://posteinsurancebroker.poste.it/segnalazioni-anomalie/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38">
        <f>_xlfn.XLOOKUP(Tabella4[[#This Row],[ID Silk]],outTable[ID Silk],outTable[Numero ticket  ],,0,1)</f>
        <v>5997</v>
      </c>
    </row>
    <row r="39" spans="1:32">
      <c r="A39" s="34" t="str">
        <f>MID(Tabella4[[#This Row],[Servizio]],1,4)&amp;Tabella4[[#This Row],[UNI CEI EN 301549]]</f>
        <v>S0039.4.1.1</v>
      </c>
      <c r="B39" s="34" t="str">
        <f>Tabella4[[#This Row],[ID Silk]]&amp;"_1"</f>
        <v>S0039.4.1.1_1</v>
      </c>
      <c r="C39" s="34" t="s">
        <v>465</v>
      </c>
      <c r="D39" s="2" t="str">
        <f>"(#"&amp;Tabella4[[#This Row],['#ID]]&amp;")"</f>
        <v>(#M0018)</v>
      </c>
      <c r="E39" s="34" t="str">
        <f>IF(MID(Tabella4[[#This Row],['#ID]],1,1)="M","Mobile",IF(MID(Tabella4[[#This Row],['#ID]],1,1)="D","Desktop",IF(MID(Tabella4[[#This Row],['#ID]],1,2)="TM","Manuale","Documenti")))</f>
        <v>Mobile</v>
      </c>
      <c r="F39" s="34" t="s">
        <v>1005</v>
      </c>
      <c r="G39" s="34" t="s">
        <v>366</v>
      </c>
      <c r="H39" s="34" t="str">
        <f>IF(Tabella4[[#This Row],[Componente]]="Documenti","10.","9.")&amp;Tabella4[[#This Row],[Criterio]]</f>
        <v>9.4.1.1</v>
      </c>
      <c r="I39" s="34" t="s">
        <v>1007</v>
      </c>
      <c r="J39" s="34" t="s">
        <v>1008</v>
      </c>
      <c r="K39" s="34" t="s">
        <v>1009</v>
      </c>
      <c r="L39" s="34" t="s">
        <v>1010</v>
      </c>
      <c r="M39" s="34" t="s">
        <v>1011</v>
      </c>
      <c r="N39" t="s">
        <v>435</v>
      </c>
      <c r="O39" t="s">
        <v>436</v>
      </c>
      <c r="P39" t="s">
        <v>394</v>
      </c>
      <c r="R39" s="34" t="str">
        <f>IF(Tabella4[[#This Row],[Componente]]="Documenti",_xlfn.XLOOKUP(Tabella4[[#This Row],[URL]],Tabella27[URL],Tabella27[PDF ID],,0),_xlfn.XLOOKUP(Tabella4[[#This Row],[URL]],Tabella1[URL],Tabella1[Page ID],,0))</f>
        <v>#15</v>
      </c>
      <c r="S39" s="34" t="s">
        <v>434</v>
      </c>
      <c r="T39" s="34" t="s">
        <v>411</v>
      </c>
      <c r="U39" t="s">
        <v>448</v>
      </c>
      <c r="V39" t="s">
        <v>444</v>
      </c>
      <c r="W39" s="34" t="s">
        <v>1062</v>
      </c>
      <c r="X39" s="34" t="str">
        <f>IFERROR(IF(Tabella4[[#This Row],[Tool]]="lighthouse",Tabella4[[#This Row],[Detail]],MID(Tabella4[[#This Row],[Detail]],1,FIND("&gt;",Tabella4[[#This Row],[Detail]]))),Tabella4[[#This Row],[Detail]])</f>
        <v>&lt;p id=\"offcanvas-panel-desc-00_sites\" class=\"sr-only\"&gt;</v>
      </c>
      <c r="Y39" s="34" t="str">
        <f>SUBSTITUTE(IF(Tabella4[[#This Row],[Tool]]="axe-core",MID(Tabella4[[#This Row],[Rejected Element]],3,LEN(Tabella4[[#This Row],[Rejected Element]])-4),Tabella4[[#This Row],[Rejected Element]]),"\","")</f>
        <v>div.side-offcanvas-content-wrap &gt; div.row &gt; div.col-sm-12 &gt; p#offcanvas-panel-desc-00_sites</v>
      </c>
      <c r="Z39" s="34">
        <f>COUNTIFS(Tabella4[Detail univoco],Tabella4[[#This Row],[Detail univoco]],Tabella4[Rejected Element Univoco],Tabella4[[#This Row],[Rejected Element Univoco]],Tabella4[ItemsNodeLabel],Tabella4[[#This Row],[ItemsNodeLabel]])</f>
        <v>15</v>
      </c>
      <c r="AA39" s="34" t="str">
        <f>IF(Tabella4[[#This Row],[Componente]]="Documenti",VLOOKUP(Tabella4[[#This Row],[URL]],Tabella27[[URL]:[Servizio]],4,FALSE),VLOOKUP(Tabella4[[#This Row],[Page ID]],Tabella1[[Page ID]:[Servizio]],4,FALSE))</f>
        <v>S003 Assistenza</v>
      </c>
      <c r="AB39" s="34"/>
      <c r="AC39" s="34" t="str">
        <f>Tabella4[[#This Row],[User Impact]]</f>
        <v>1 - Critical</v>
      </c>
      <c r="AD39" s="34" t="str">
        <f>Copertina!C$2&amp;" - "&amp;Tabella4[[#This Row],[UNI CEI EN 301549]]&amp;" "&amp;VLOOKUP(Tabella4[[#This Row],[Criterio]],Tabella5[[ID]:[Criterio di successo]],2,FALSE)&amp;" - "&amp;Tabella4[[#This Row],[Servizio]]&amp;":"</f>
        <v>Insurance Brocker - 9.4.1.1 Analisi sintattica (parsing) - S003 Assistenza:</v>
      </c>
      <c r="AE3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- 9.4.1.1 Analisi sintattica (parsing) - S003 Assistenza: (#M0018)
S003 Assistenza
Requisito: WCAG 4.1.1
Disabilità afflitte: Blind;Deafblind
Impatto Utente: 1 - Critical
Descrizione: Gli ID ARIA non sono univoci - Il valore di un ID ARIA deve essere univoco per evitare che altre istanze vengano trascurate dalle tecnologie assistive. [Ulteriori informazioni] (https://web.dev/duplicate-id-aria/)
Esempio di violazione individuata sull'oggetto: 
https://posteinsurancebroker.poste.it/sinistri/ - &lt;p id=\"offcanvas-panel-desc-00_sites\" class=\"sr-only\"&gt; con selettore: 
div.side-offcanvas-content-wrap &gt; div.row &gt; div.col-sm-12 &gt; p#offcanvas-panel-desc-00_sites
Dettaglio + screenshot (accedere con le seguenti credenziali: user, axeposte@gmail.com; password, Poste2024!): 
Possibile metodologia risolutiva:
Cambia il valore dell'ID usato piu di una volta, per essere sicuro che sia univoco
File di log (occorrenze rilevate: 14): https://posteitaliane.sharepoint.com/:x:/r/teams/ACCESSIBILITRISULTATIVERIFICHETECNICHE-PORTALEIMMIGRAZIONE/Shared%20Documents/PORTALE%20IMMIGRAZIONE/LOG/Log_2411.xlsx?d=wce770a595441461abc11f2c139111c73&amp;csf=1&amp;web=1&amp;e=tpdJfo
Link al dettaglio requisito WCAG: </v>
      </c>
      <c r="AF39">
        <f>_xlfn.XLOOKUP(Tabella4[[#This Row],[ID Silk]],outTable[ID Silk],outTable[Numero ticket  ],,0,1)</f>
        <v>5974</v>
      </c>
    </row>
    <row r="40" spans="1:32">
      <c r="A40" s="34" t="str">
        <f>MID(Tabella4[[#This Row],[Servizio]],1,4)&amp;Tabella4[[#This Row],[UNI CEI EN 301549]]</f>
        <v>S0039.2.5.3</v>
      </c>
      <c r="B40" s="34" t="str">
        <f>Tabella4[[#This Row],[ID Silk]]&amp;"_1"</f>
        <v>S0039.2.5.3_1</v>
      </c>
      <c r="C40" s="34" t="s">
        <v>781</v>
      </c>
      <c r="D40" s="2" t="str">
        <f>"(#"&amp;Tabella4[[#This Row],['#ID]]&amp;")"</f>
        <v>(#TM0001)</v>
      </c>
      <c r="E40" s="34" t="str">
        <f>IF(MID(Tabella4[[#This Row],['#ID]],1,1)="M","Mobile",IF(MID(Tabella4[[#This Row],['#ID]],1,1)="D","Desktop",IF(MID(Tabella4[[#This Row],['#ID]],1,2)="TM","Manuale","Documenti")))</f>
        <v>Manuale</v>
      </c>
      <c r="F40" s="34" t="s">
        <v>1005</v>
      </c>
      <c r="G40" s="34" t="s">
        <v>324</v>
      </c>
      <c r="H40" s="34" t="str">
        <f>IF(Tabella4[[#This Row],[Componente]]="Documenti","10.","9.")&amp;Tabella4[[#This Row],[Criterio]]</f>
        <v>9.2.5.3</v>
      </c>
      <c r="I40" s="34" t="s">
        <v>1023</v>
      </c>
      <c r="J40" s="34" t="s">
        <v>1024</v>
      </c>
      <c r="K40" s="34" t="s">
        <v>1025</v>
      </c>
      <c r="L40" s="34" t="s">
        <v>1026</v>
      </c>
      <c r="M40" s="34" t="s">
        <v>1027</v>
      </c>
      <c r="N40" t="s">
        <v>483</v>
      </c>
      <c r="O40" t="s">
        <v>485</v>
      </c>
      <c r="P40" t="s">
        <v>383</v>
      </c>
      <c r="R40" s="34" t="str">
        <f>IF(Tabella4[[#This Row],[Componente]]="Documenti",_xlfn.XLOOKUP(Tabella4[[#This Row],[URL]],Tabella27[URL],Tabella27[PDF ID],,0),_xlfn.XLOOKUP(Tabella4[[#This Row],[URL]],Tabella1[URL],Tabella1[Page ID],,0))</f>
        <v>#2</v>
      </c>
      <c r="S40" s="34" t="s">
        <v>1004</v>
      </c>
      <c r="T40" s="34" t="s">
        <v>481</v>
      </c>
      <c r="V40" t="s">
        <v>484</v>
      </c>
      <c r="W40" s="34" t="s">
        <v>1066</v>
      </c>
      <c r="X40" s="34" t="str">
        <f>IFERROR(IF(Tabella4[[#This Row],[Tool]]="lighthouse",Tabella4[[#This Row],[Detail]],MID(Tabella4[[#This Row],[Detail]],1,FIND("&gt;",Tabella4[[#This Row],[Detail]]))),Tabella4[[#This Row],[Detail]])</f>
        <v>&lt;button id="business-button-open" class="offcanvas-toggle pi-targetarea" aria-label="Business" type="button" aria-haspopup="true" aria-controls="menu-siti" aria-expanded="false"&gt;</v>
      </c>
      <c r="Y40" s="34" t="str">
        <f>SUBSTITUTE(IF(Tabella4[[#This Row],[Tool]]="axe-core",MID(Tabella4[[#This Row],[Rejected Element]],3,LEN(Tabella4[[#This Row],[Rejected Element]])-4),Tabella4[[#This Row],[Rejected Element]]),"\","")</f>
        <v>#business-button-open</v>
      </c>
      <c r="Z40" s="34">
        <f>COUNTIFS(Tabella4[Detail univoco],Tabella4[[#This Row],[Detail univoco]],Tabella4[Rejected Element Univoco],Tabella4[[#This Row],[Rejected Element Univoco]],Tabella4[ItemsNodeLabel],Tabella4[[#This Row],[ItemsNodeLabel]])</f>
        <v>0</v>
      </c>
      <c r="AA40" s="34" t="str">
        <f>IF(Tabella4[[#This Row],[Componente]]="Documenti",VLOOKUP(Tabella4[[#This Row],[URL]],Tabella27[[URL]:[Servizio]],4,FALSE),VLOOKUP(Tabella4[[#This Row],[Page ID]],Tabella1[[Page ID]:[Servizio]],4,FALSE))</f>
        <v>S003 Assistenza</v>
      </c>
      <c r="AB40" s="34"/>
      <c r="AC40" s="34" t="str">
        <f>Tabella4[[#This Row],[User Impact]]</f>
        <v>2 - Serious</v>
      </c>
      <c r="AD40" s="34" t="str">
        <f>Copertina!C$2&amp;" - "&amp;Tabella4[[#This Row],[UNI CEI EN 301549]]&amp;" "&amp;VLOOKUP(Tabella4[[#This Row],[Criterio]],Tabella5[[ID]:[Criterio di successo]],2,FALSE)&amp;" - "&amp;Tabella4[[#This Row],[Servizio]]&amp;":"</f>
        <v>Insurance Brocker - 9.2.5.3 Etichetta nel nome - S003 Assistenza:</v>
      </c>
      <c r="AE4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(#TM0001)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https://posteinsurancebroker.poste.it/archivio/ - &lt;button id="business-button-open" class="offcanvas-toggle pi-targetarea" aria-label="Business" type="button" aria-haspopup="true" aria-controls="menu-siti" aria-expanded="false"&gt; con selettore: 
["#business-button-open"]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40">
        <f>_xlfn.XLOOKUP(Tabella4[[#This Row],[ID Silk]],outTable[ID Silk],outTable[Numero ticket  ],,0,1)</f>
        <v>5970</v>
      </c>
    </row>
    <row r="41" spans="1:32">
      <c r="A41" s="34" t="str">
        <f>MID(Tabella4[[#This Row],[Servizio]],1,4)&amp;Tabella4[[#This Row],[UNI CEI EN 301549]]</f>
        <v>S0039.2.5.3</v>
      </c>
      <c r="B41" s="34" t="str">
        <f>Tabella4[[#This Row],[ID Silk]]&amp;"_1"</f>
        <v>S0039.2.5.3_1</v>
      </c>
      <c r="C41" s="34" t="s">
        <v>782</v>
      </c>
      <c r="D41" s="2" t="str">
        <f>"(#"&amp;Tabella4[[#This Row],['#ID]]&amp;")"</f>
        <v>(#TM0002)</v>
      </c>
      <c r="E41" s="34" t="str">
        <f>IF(MID(Tabella4[[#This Row],['#ID]],1,1)="M","Mobile",IF(MID(Tabella4[[#This Row],['#ID]],1,1)="D","Desktop",IF(MID(Tabella4[[#This Row],['#ID]],1,2)="TM","Manuale","Documenti")))</f>
        <v>Manuale</v>
      </c>
      <c r="F41" s="34" t="s">
        <v>1005</v>
      </c>
      <c r="G41" s="34" t="s">
        <v>324</v>
      </c>
      <c r="H41" s="34" t="str">
        <f>IF(Tabella4[[#This Row],[Componente]]="Documenti","10.","9.")&amp;Tabella4[[#This Row],[Criterio]]</f>
        <v>9.2.5.3</v>
      </c>
      <c r="I41" s="34" t="s">
        <v>1023</v>
      </c>
      <c r="J41" s="34" t="s">
        <v>1024</v>
      </c>
      <c r="K41" s="34" t="s">
        <v>1025</v>
      </c>
      <c r="L41" s="34" t="s">
        <v>1026</v>
      </c>
      <c r="M41" s="34" t="s">
        <v>1027</v>
      </c>
      <c r="N41" t="s">
        <v>486</v>
      </c>
      <c r="O41" t="s">
        <v>487</v>
      </c>
      <c r="P41" t="s">
        <v>383</v>
      </c>
      <c r="R41" s="34" t="str">
        <f>IF(Tabella4[[#This Row],[Componente]]="Documenti",_xlfn.XLOOKUP(Tabella4[[#This Row],[URL]],Tabella27[URL],Tabella27[PDF ID],,0),_xlfn.XLOOKUP(Tabella4[[#This Row],[URL]],Tabella1[URL],Tabella1[Page ID],,0))</f>
        <v>#2</v>
      </c>
      <c r="S41" s="34" t="s">
        <v>1004</v>
      </c>
      <c r="T41" s="34" t="s">
        <v>481</v>
      </c>
      <c r="V41" t="s">
        <v>484</v>
      </c>
      <c r="W41" s="34" t="s">
        <v>1066</v>
      </c>
      <c r="X41" s="34" t="str">
        <f>IFERROR(IF(Tabella4[[#This Row],[Tool]]="lighthouse",Tabella4[[#This Row],[Detail]],MID(Tabella4[[#This Row],[Detail]],1,FIND("&gt;",Tabella4[[#This Row],[Detail]]))),Tabella4[[#This Row],[Detail]])</f>
        <v>&lt;button id="assistenza-cta" class="fedbar-object offcanvas-toggle" aria-label="assistenza" aria-controls="assistenza-side" aria-expanded="false" data-menu-pnl="assistenza-default-panel" aria-haspopup="true" title="Assistenza" data-activity-linkid="header-assistenza-btn"&gt;</v>
      </c>
      <c r="Y41" s="34" t="str">
        <f>SUBSTITUTE(IF(Tabella4[[#This Row],[Tool]]="axe-core",MID(Tabella4[[#This Row],[Rejected Element]],3,LEN(Tabella4[[#This Row],[Rejected Element]])-4),Tabella4[[#This Row],[Rejected Element]]),"\","")</f>
        <v>#assistenza-cta</v>
      </c>
      <c r="Z41" s="34">
        <f>COUNTIFS(Tabella4[Detail univoco],Tabella4[[#This Row],[Detail univoco]],Tabella4[Rejected Element Univoco],Tabella4[[#This Row],[Rejected Element Univoco]],Tabella4[ItemsNodeLabel],Tabella4[[#This Row],[ItemsNodeLabel]])</f>
        <v>0</v>
      </c>
      <c r="AA41" s="34" t="str">
        <f>IF(Tabella4[[#This Row],[Componente]]="Documenti",VLOOKUP(Tabella4[[#This Row],[URL]],Tabella27[[URL]:[Servizio]],4,FALSE),VLOOKUP(Tabella4[[#This Row],[Page ID]],Tabella1[[Page ID]:[Servizio]],4,FALSE))</f>
        <v>S003 Assistenza</v>
      </c>
      <c r="AB41" s="34"/>
      <c r="AC41" s="34" t="str">
        <f>Tabella4[[#This Row],[User Impact]]</f>
        <v>2 - Serious</v>
      </c>
      <c r="AD41" s="34" t="str">
        <f>Copertina!C$2&amp;" - "&amp;Tabella4[[#This Row],[UNI CEI EN 301549]]&amp;" "&amp;VLOOKUP(Tabella4[[#This Row],[Criterio]],Tabella5[[ID]:[Criterio di successo]],2,FALSE)&amp;" - "&amp;Tabella4[[#This Row],[Servizio]]&amp;":"</f>
        <v>Insurance Brocker - 9.2.5.3 Etichetta nel nome - S003 Assistenza:</v>
      </c>
      <c r="AE4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(#TM0002)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https://posteinsurancebroker.poste.it/archivio/ - &lt;button id="assistenza-cta" class="fedbar-object offcanvas-toggle" aria-label="assistenza" aria-controls="assistenza-side" aria-expanded="false" data-menu-pnl="assistenza-default-panel" aria-haspopup="true" title="Assistenza" data-activity-linkid="header-assistenza-btn"&gt; con selettore: 
["#assistenza-cta"]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41">
        <f>_xlfn.XLOOKUP(Tabella4[[#This Row],[ID Silk]],outTable[ID Silk],outTable[Numero ticket  ],,0,1)</f>
        <v>5970</v>
      </c>
    </row>
    <row r="42" spans="1:32">
      <c r="A42" s="34" t="str">
        <f>MID(Tabella4[[#This Row],[Servizio]],1,4)&amp;Tabella4[[#This Row],[UNI CEI EN 301549]]</f>
        <v>S0039.2.5.3</v>
      </c>
      <c r="B42" s="34" t="str">
        <f>Tabella4[[#This Row],[ID Silk]]&amp;"_1"</f>
        <v>S0039.2.5.3_1</v>
      </c>
      <c r="C42" s="34" t="s">
        <v>783</v>
      </c>
      <c r="D42" s="2" t="str">
        <f>"(#"&amp;Tabella4[[#This Row],['#ID]]&amp;")"</f>
        <v>(#TM0003)</v>
      </c>
      <c r="E42" s="34" t="str">
        <f>IF(MID(Tabella4[[#This Row],['#ID]],1,1)="M","Mobile",IF(MID(Tabella4[[#This Row],['#ID]],1,1)="D","Desktop",IF(MID(Tabella4[[#This Row],['#ID]],1,2)="TM","Manuale","Documenti")))</f>
        <v>Manuale</v>
      </c>
      <c r="F42" s="34" t="s">
        <v>1005</v>
      </c>
      <c r="G42" s="34" t="s">
        <v>324</v>
      </c>
      <c r="H42" s="34" t="str">
        <f>IF(Tabella4[[#This Row],[Componente]]="Documenti","10.","9.")&amp;Tabella4[[#This Row],[Criterio]]</f>
        <v>9.2.5.3</v>
      </c>
      <c r="I42" s="34" t="s">
        <v>1023</v>
      </c>
      <c r="J42" s="34" t="s">
        <v>1024</v>
      </c>
      <c r="K42" s="34" t="s">
        <v>1025</v>
      </c>
      <c r="L42" s="34" t="s">
        <v>1026</v>
      </c>
      <c r="M42" s="34" t="s">
        <v>1027</v>
      </c>
      <c r="N42" t="s">
        <v>488</v>
      </c>
      <c r="O42" t="s">
        <v>489</v>
      </c>
      <c r="P42" t="s">
        <v>383</v>
      </c>
      <c r="R42" s="34" t="str">
        <f>IF(Tabella4[[#This Row],[Componente]]="Documenti",_xlfn.XLOOKUP(Tabella4[[#This Row],[URL]],Tabella27[URL],Tabella27[PDF ID],,0),_xlfn.XLOOKUP(Tabella4[[#This Row],[URL]],Tabella1[URL],Tabella1[Page ID],,0))</f>
        <v>#2</v>
      </c>
      <c r="S42" s="34" t="s">
        <v>1004</v>
      </c>
      <c r="T42" s="34" t="s">
        <v>481</v>
      </c>
      <c r="V42" t="s">
        <v>484</v>
      </c>
      <c r="W42" s="34" t="s">
        <v>1066</v>
      </c>
      <c r="X42" s="34" t="str">
        <f>IFERROR(IF(Tabella4[[#This Row],[Tool]]="lighthouse",Tabella4[[#This Row],[Detail]],MID(Tabella4[[#This Row],[Detail]],1,FIND("&gt;",Tabella4[[#This Row],[Detail]]))),Tabella4[[#This Row],[Detail]])</f>
        <v>&lt;button class="navbar-object offcanvas-toggle" id="mn-ctrl" type="button" aria-haspopup="true" aria-controls="menu-navigazione" aria-expanded="false" aria-label="Apre il menu di navigazione" data-activity-linkid="Btn Menu Mobile"&gt;</v>
      </c>
      <c r="Y42" s="34" t="str">
        <f>SUBSTITUTE(IF(Tabella4[[#This Row],[Tool]]="axe-core",MID(Tabella4[[#This Row],[Rejected Element]],3,LEN(Tabella4[[#This Row],[Rejected Element]])-4),Tabella4[[#This Row],[Rejected Element]]),"\","")</f>
        <v>#mn-ctrl</v>
      </c>
      <c r="Z42" s="34">
        <f>COUNTIFS(Tabella4[Detail univoco],Tabella4[[#This Row],[Detail univoco]],Tabella4[Rejected Element Univoco],Tabella4[[#This Row],[Rejected Element Univoco]],Tabella4[ItemsNodeLabel],Tabella4[[#This Row],[ItemsNodeLabel]])</f>
        <v>0</v>
      </c>
      <c r="AA42" s="34" t="str">
        <f>IF(Tabella4[[#This Row],[Componente]]="Documenti",VLOOKUP(Tabella4[[#This Row],[URL]],Tabella27[[URL]:[Servizio]],4,FALSE),VLOOKUP(Tabella4[[#This Row],[Page ID]],Tabella1[[Page ID]:[Servizio]],4,FALSE))</f>
        <v>S003 Assistenza</v>
      </c>
      <c r="AB42" s="34"/>
      <c r="AC42" s="34" t="str">
        <f>Tabella4[[#This Row],[User Impact]]</f>
        <v>2 - Serious</v>
      </c>
      <c r="AD42" s="34" t="str">
        <f>Copertina!C$2&amp;" - "&amp;Tabella4[[#This Row],[UNI CEI EN 301549]]&amp;" "&amp;VLOOKUP(Tabella4[[#This Row],[Criterio]],Tabella5[[ID]:[Criterio di successo]],2,FALSE)&amp;" - "&amp;Tabella4[[#This Row],[Servizio]]&amp;":"</f>
        <v>Insurance Brocker - 9.2.5.3 Etichetta nel nome - S003 Assistenza:</v>
      </c>
      <c r="AE4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(#TM0003)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https://posteinsurancebroker.poste.it/archivio/ - &lt;button class="navbar-object offcanvas-toggle" id="mn-ctrl" type="button" aria-haspopup="true" aria-controls="menu-navigazione" aria-expanded="false" aria-label="Apre il menu di navigazione" data-activity-linkid="Btn Menu Mobile"&gt; con selettore: 
["#mn-ctrl"]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42">
        <f>_xlfn.XLOOKUP(Tabella4[[#This Row],[ID Silk]],outTable[ID Silk],outTable[Numero ticket  ],,0,1)</f>
        <v>5970</v>
      </c>
    </row>
    <row r="43" spans="1:32">
      <c r="A43" s="34" t="str">
        <f>MID(Tabella4[[#This Row],[Servizio]],1,4)&amp;Tabella4[[#This Row],[UNI CEI EN 301549]]</f>
        <v>S0039.4.1.2</v>
      </c>
      <c r="B43" s="34" t="str">
        <f>Tabella4[[#This Row],[ID Silk]]&amp;"_1"</f>
        <v>S0039.4.1.2_1</v>
      </c>
      <c r="C43" s="34" t="s">
        <v>784</v>
      </c>
      <c r="D43" s="2" t="str">
        <f>"(#"&amp;Tabella4[[#This Row],['#ID]]&amp;")"</f>
        <v>(#TM0004)</v>
      </c>
      <c r="E43" s="34" t="str">
        <f>IF(MID(Tabella4[[#This Row],['#ID]],1,1)="M","Mobile",IF(MID(Tabella4[[#This Row],['#ID]],1,1)="D","Desktop",IF(MID(Tabella4[[#This Row],['#ID]],1,2)="TM","Manuale","Documenti")))</f>
        <v>Manuale</v>
      </c>
      <c r="F43" s="34" t="s">
        <v>1005</v>
      </c>
      <c r="G43" s="34" t="s">
        <v>368</v>
      </c>
      <c r="H43" s="34" t="str">
        <f>IF(Tabella4[[#This Row],[Componente]]="Documenti","10.","9.")&amp;Tabella4[[#This Row],[Criterio]]</f>
        <v>9.4.1.2</v>
      </c>
      <c r="I43" s="34" t="s">
        <v>1023</v>
      </c>
      <c r="J43" s="34" t="s">
        <v>1028</v>
      </c>
      <c r="K43" s="34" t="s">
        <v>1029</v>
      </c>
      <c r="L43" s="34" t="s">
        <v>1030</v>
      </c>
      <c r="M43" s="34" t="s">
        <v>1031</v>
      </c>
      <c r="N43" t="s">
        <v>491</v>
      </c>
      <c r="O43" t="s">
        <v>493</v>
      </c>
      <c r="P43" t="s">
        <v>383</v>
      </c>
      <c r="R43" s="34" t="str">
        <f>IF(Tabella4[[#This Row],[Componente]]="Documenti",_xlfn.XLOOKUP(Tabella4[[#This Row],[URL]],Tabella27[URL],Tabella27[PDF ID],,0),_xlfn.XLOOKUP(Tabella4[[#This Row],[URL]],Tabella1[URL],Tabella1[Page ID],,0))</f>
        <v>#2</v>
      </c>
      <c r="S43" s="34" t="s">
        <v>1004</v>
      </c>
      <c r="T43" s="34" t="s">
        <v>490</v>
      </c>
      <c r="V43" t="s">
        <v>492</v>
      </c>
      <c r="W43" s="34" t="s">
        <v>1067</v>
      </c>
      <c r="X43" s="34" t="str">
        <f>IFERROR(IF(Tabella4[[#This Row],[Tool]]="lighthouse",Tabella4[[#This Row],[Detail]],MID(Tabella4[[#This Row],[Detail]],1,FIND("&gt;",Tabella4[[#This Row],[Detail]]))),Tabella4[[#This Row],[Detail]])</f>
        <v>&lt;div class="panel-heading" role="tab" tabindex="0" id="heading-rcaposteguidaresicurilinear-item-0"&gt;</v>
      </c>
      <c r="Y43" s="34" t="str">
        <f>SUBSTITUTE(IF(Tabella4[[#This Row],[Tool]]="axe-core",MID(Tabella4[[#This Row],[Rejected Element]],3,LEN(Tabella4[[#This Row],[Rejected Element]])-4),Tabella4[[#This Row],[Rejected Element]]),"\","")</f>
        <v>#heading-rcaposteguidaresicurilinear-item-0</v>
      </c>
      <c r="Z43" s="34">
        <f>COUNTIFS(Tabella4[Detail univoco],Tabella4[[#This Row],[Detail univoco]],Tabella4[Rejected Element Univoco],Tabella4[[#This Row],[Rejected Element Univoco]],Tabella4[ItemsNodeLabel],Tabella4[[#This Row],[ItemsNodeLabel]])</f>
        <v>0</v>
      </c>
      <c r="AA43" s="34" t="str">
        <f>IF(Tabella4[[#This Row],[Componente]]="Documenti",VLOOKUP(Tabella4[[#This Row],[URL]],Tabella27[[URL]:[Servizio]],4,FALSE),VLOOKUP(Tabella4[[#This Row],[Page ID]],Tabella1[[Page ID]:[Servizio]],4,FALSE))</f>
        <v>S003 Assistenza</v>
      </c>
      <c r="AB43" s="34"/>
      <c r="AC43" s="34" t="str">
        <f>Tabella4[[#This Row],[User Impact]]</f>
        <v>2 - Serious</v>
      </c>
      <c r="AD43" s="34" t="str">
        <f>Copertina!C$2&amp;" - "&amp;Tabella4[[#This Row],[UNI CEI EN 301549]]&amp;" "&amp;VLOOKUP(Tabella4[[#This Row],[Criterio]],Tabella5[[ID]:[Criterio di successo]],2,FALSE)&amp;" - "&amp;Tabella4[[#This Row],[Servizio]]&amp;":"</f>
        <v>Insurance Brocker - 9.4.1.2 Nome, ruolo, valore - S003 Assistenza:</v>
      </c>
      <c r="AE4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(#TM0004)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id="heading-rcaposteguidaresicurilinear-item-0"&gt; con selettore: 
["#heading-rcaposteguidaresicurilinear-item-0"]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43">
        <f>_xlfn.XLOOKUP(Tabella4[[#This Row],[ID Silk]],outTable[ID Silk],outTable[Numero ticket  ],,0,1)</f>
        <v>5975</v>
      </c>
    </row>
    <row r="44" spans="1:32">
      <c r="A44" s="34" t="str">
        <f>MID(Tabella4[[#This Row],[Servizio]],1,4)&amp;Tabella4[[#This Row],[UNI CEI EN 301549]]</f>
        <v>S0039.4.1.2</v>
      </c>
      <c r="B44" s="34" t="str">
        <f>Tabella4[[#This Row],[ID Silk]]&amp;"_1"</f>
        <v>S0039.4.1.2_1</v>
      </c>
      <c r="C44" s="34" t="s">
        <v>785</v>
      </c>
      <c r="D44" s="2" t="str">
        <f>"(#"&amp;Tabella4[[#This Row],['#ID]]&amp;")"</f>
        <v>(#TM0005)</v>
      </c>
      <c r="E44" s="34" t="str">
        <f>IF(MID(Tabella4[[#This Row],['#ID]],1,1)="M","Mobile",IF(MID(Tabella4[[#This Row],['#ID]],1,1)="D","Desktop",IF(MID(Tabella4[[#This Row],['#ID]],1,2)="TM","Manuale","Documenti")))</f>
        <v>Manuale</v>
      </c>
      <c r="F44" s="34" t="s">
        <v>1005</v>
      </c>
      <c r="G44" s="34" t="s">
        <v>368</v>
      </c>
      <c r="H44" s="34" t="str">
        <f>IF(Tabella4[[#This Row],[Componente]]="Documenti","10.","9.")&amp;Tabella4[[#This Row],[Criterio]]</f>
        <v>9.4.1.2</v>
      </c>
      <c r="I44" s="34" t="s">
        <v>1023</v>
      </c>
      <c r="J44" s="34" t="s">
        <v>1028</v>
      </c>
      <c r="K44" s="34" t="s">
        <v>1029</v>
      </c>
      <c r="L44" s="34" t="s">
        <v>1030</v>
      </c>
      <c r="M44" s="34" t="s">
        <v>1031</v>
      </c>
      <c r="N44" t="s">
        <v>494</v>
      </c>
      <c r="O44" t="s">
        <v>495</v>
      </c>
      <c r="P44" t="s">
        <v>383</v>
      </c>
      <c r="R44" s="34" t="str">
        <f>IF(Tabella4[[#This Row],[Componente]]="Documenti",_xlfn.XLOOKUP(Tabella4[[#This Row],[URL]],Tabella27[URL],Tabella27[PDF ID],,0),_xlfn.XLOOKUP(Tabella4[[#This Row],[URL]],Tabella1[URL],Tabella1[Page ID],,0))</f>
        <v>#2</v>
      </c>
      <c r="S44" s="34" t="s">
        <v>1004</v>
      </c>
      <c r="T44" s="34" t="s">
        <v>490</v>
      </c>
      <c r="V44" t="s">
        <v>492</v>
      </c>
      <c r="W44" s="34" t="s">
        <v>1067</v>
      </c>
      <c r="X44" s="34" t="str">
        <f>IFERROR(IF(Tabella4[[#This Row],[Tool]]="lighthouse",Tabella4[[#This Row],[Detail]],MID(Tabella4[[#This Row],[Detail]],1,FIND("&gt;",Tabella4[[#This Row],[Detail]]))),Tabella4[[#This Row],[Detail]])</f>
        <v>&lt;div class="panel-heading" role="tab" tabindex="0" id="heading-rcaposteguidaresicurilinear-item-1"&gt;</v>
      </c>
      <c r="Y44" s="34" t="str">
        <f>SUBSTITUTE(IF(Tabella4[[#This Row],[Tool]]="axe-core",MID(Tabella4[[#This Row],[Rejected Element]],3,LEN(Tabella4[[#This Row],[Rejected Element]])-4),Tabella4[[#This Row],[Rejected Element]]),"\","")</f>
        <v>#heading-rcaposteguidaresicurilinear-item-1</v>
      </c>
      <c r="Z44" s="34">
        <f>COUNTIFS(Tabella4[Detail univoco],Tabella4[[#This Row],[Detail univoco]],Tabella4[Rejected Element Univoco],Tabella4[[#This Row],[Rejected Element Univoco]],Tabella4[ItemsNodeLabel],Tabella4[[#This Row],[ItemsNodeLabel]])</f>
        <v>0</v>
      </c>
      <c r="AA44" s="34" t="str">
        <f>IF(Tabella4[[#This Row],[Componente]]="Documenti",VLOOKUP(Tabella4[[#This Row],[URL]],Tabella27[[URL]:[Servizio]],4,FALSE),VLOOKUP(Tabella4[[#This Row],[Page ID]],Tabella1[[Page ID]:[Servizio]],4,FALSE))</f>
        <v>S003 Assistenza</v>
      </c>
      <c r="AB44" s="34"/>
      <c r="AC44" s="34" t="str">
        <f>Tabella4[[#This Row],[User Impact]]</f>
        <v>2 - Serious</v>
      </c>
      <c r="AD44" s="34" t="str">
        <f>Copertina!C$2&amp;" - "&amp;Tabella4[[#This Row],[UNI CEI EN 301549]]&amp;" "&amp;VLOOKUP(Tabella4[[#This Row],[Criterio]],Tabella5[[ID]:[Criterio di successo]],2,FALSE)&amp;" - "&amp;Tabella4[[#This Row],[Servizio]]&amp;":"</f>
        <v>Insurance Brocker - 9.4.1.2 Nome, ruolo, valore - S003 Assistenza:</v>
      </c>
      <c r="AE4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(#TM0005)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id="heading-rcaposteguidaresicurilinear-item-1"&gt; con selettore: 
["#heading-rcaposteguidaresicurilinear-item-1"]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44">
        <f>_xlfn.XLOOKUP(Tabella4[[#This Row],[ID Silk]],outTable[ID Silk],outTable[Numero ticket  ],,0,1)</f>
        <v>5975</v>
      </c>
    </row>
    <row r="45" spans="1:32">
      <c r="A45" s="34" t="str">
        <f>MID(Tabella4[[#This Row],[Servizio]],1,4)&amp;Tabella4[[#This Row],[UNI CEI EN 301549]]</f>
        <v>S0039.4.1.2</v>
      </c>
      <c r="B45" s="34" t="str">
        <f>Tabella4[[#This Row],[ID Silk]]&amp;"_1"</f>
        <v>S0039.4.1.2_1</v>
      </c>
      <c r="C45" s="34" t="s">
        <v>786</v>
      </c>
      <c r="D45" s="2" t="str">
        <f>"(#"&amp;Tabella4[[#This Row],['#ID]]&amp;")"</f>
        <v>(#TM0006)</v>
      </c>
      <c r="E45" s="34" t="str">
        <f>IF(MID(Tabella4[[#This Row],['#ID]],1,1)="M","Mobile",IF(MID(Tabella4[[#This Row],['#ID]],1,1)="D","Desktop",IF(MID(Tabella4[[#This Row],['#ID]],1,2)="TM","Manuale","Documenti")))</f>
        <v>Manuale</v>
      </c>
      <c r="F45" s="34" t="s">
        <v>1005</v>
      </c>
      <c r="G45" s="34" t="s">
        <v>368</v>
      </c>
      <c r="H45" s="34" t="str">
        <f>IF(Tabella4[[#This Row],[Componente]]="Documenti","10.","9.")&amp;Tabella4[[#This Row],[Criterio]]</f>
        <v>9.4.1.2</v>
      </c>
      <c r="I45" s="34" t="s">
        <v>1023</v>
      </c>
      <c r="J45" s="34" t="s">
        <v>1028</v>
      </c>
      <c r="K45" s="34" t="s">
        <v>1029</v>
      </c>
      <c r="L45" s="34" t="s">
        <v>1030</v>
      </c>
      <c r="M45" s="34" t="s">
        <v>1031</v>
      </c>
      <c r="N45" t="s">
        <v>496</v>
      </c>
      <c r="O45" t="s">
        <v>497</v>
      </c>
      <c r="P45" t="s">
        <v>383</v>
      </c>
      <c r="R45" s="34" t="str">
        <f>IF(Tabella4[[#This Row],[Componente]]="Documenti",_xlfn.XLOOKUP(Tabella4[[#This Row],[URL]],Tabella27[URL],Tabella27[PDF ID],,0),_xlfn.XLOOKUP(Tabella4[[#This Row],[URL]],Tabella1[URL],Tabella1[Page ID],,0))</f>
        <v>#2</v>
      </c>
      <c r="S45" s="34" t="s">
        <v>1004</v>
      </c>
      <c r="T45" s="34" t="s">
        <v>490</v>
      </c>
      <c r="V45" t="s">
        <v>492</v>
      </c>
      <c r="W45" s="34" t="s">
        <v>1067</v>
      </c>
      <c r="X45" s="34" t="str">
        <f>IFERROR(IF(Tabella4[[#This Row],[Tool]]="lighthouse",Tabella4[[#This Row],[Detail]],MID(Tabella4[[#This Row],[Detail]],1,FIND("&gt;",Tabella4[[#This Row],[Detail]]))),Tabella4[[#This Row],[Detail]])</f>
        <v>&lt;div class="panel-heading" role="tab" tabindex="0" id="heading-rcaposteguidaresicurilinear-item-2"&gt;</v>
      </c>
      <c r="Y45" s="34" t="str">
        <f>SUBSTITUTE(IF(Tabella4[[#This Row],[Tool]]="axe-core",MID(Tabella4[[#This Row],[Rejected Element]],3,LEN(Tabella4[[#This Row],[Rejected Element]])-4),Tabella4[[#This Row],[Rejected Element]]),"\","")</f>
        <v>#heading-rcaposteguidaresicurilinear-item-2</v>
      </c>
      <c r="Z45" s="34">
        <f>COUNTIFS(Tabella4[Detail univoco],Tabella4[[#This Row],[Detail univoco]],Tabella4[Rejected Element Univoco],Tabella4[[#This Row],[Rejected Element Univoco]],Tabella4[ItemsNodeLabel],Tabella4[[#This Row],[ItemsNodeLabel]])</f>
        <v>0</v>
      </c>
      <c r="AA45" s="34" t="str">
        <f>IF(Tabella4[[#This Row],[Componente]]="Documenti",VLOOKUP(Tabella4[[#This Row],[URL]],Tabella27[[URL]:[Servizio]],4,FALSE),VLOOKUP(Tabella4[[#This Row],[Page ID]],Tabella1[[Page ID]:[Servizio]],4,FALSE))</f>
        <v>S003 Assistenza</v>
      </c>
      <c r="AB45" s="34"/>
      <c r="AC45" s="34" t="str">
        <f>Tabella4[[#This Row],[User Impact]]</f>
        <v>2 - Serious</v>
      </c>
      <c r="AD45" s="34" t="str">
        <f>Copertina!C$2&amp;" - "&amp;Tabella4[[#This Row],[UNI CEI EN 301549]]&amp;" "&amp;VLOOKUP(Tabella4[[#This Row],[Criterio]],Tabella5[[ID]:[Criterio di successo]],2,FALSE)&amp;" - "&amp;Tabella4[[#This Row],[Servizio]]&amp;":"</f>
        <v>Insurance Brocker - 9.4.1.2 Nome, ruolo, valore - S003 Assistenza:</v>
      </c>
      <c r="AE4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(#TM0006)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id="heading-rcaposteguidaresicurilinear-item-2"&gt; con selettore: 
["#heading-rcaposteguidaresicurilinear-item-2"]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45">
        <f>_xlfn.XLOOKUP(Tabella4[[#This Row],[ID Silk]],outTable[ID Silk],outTable[Numero ticket  ],,0,1)</f>
        <v>5975</v>
      </c>
    </row>
    <row r="46" spans="1:32">
      <c r="A46" s="34" t="str">
        <f>MID(Tabella4[[#This Row],[Servizio]],1,4)&amp;Tabella4[[#This Row],[UNI CEI EN 301549]]</f>
        <v>S0039.4.1.2</v>
      </c>
      <c r="B46" s="34" t="str">
        <f>Tabella4[[#This Row],[ID Silk]]&amp;"_1"</f>
        <v>S0039.4.1.2_1</v>
      </c>
      <c r="C46" s="34" t="s">
        <v>787</v>
      </c>
      <c r="D46" s="2" t="str">
        <f>"(#"&amp;Tabella4[[#This Row],['#ID]]&amp;")"</f>
        <v>(#TM0007)</v>
      </c>
      <c r="E46" s="34" t="str">
        <f>IF(MID(Tabella4[[#This Row],['#ID]],1,1)="M","Mobile",IF(MID(Tabella4[[#This Row],['#ID]],1,1)="D","Desktop",IF(MID(Tabella4[[#This Row],['#ID]],1,2)="TM","Manuale","Documenti")))</f>
        <v>Manuale</v>
      </c>
      <c r="F46" s="34" t="s">
        <v>1005</v>
      </c>
      <c r="G46" s="34" t="s">
        <v>368</v>
      </c>
      <c r="H46" s="34" t="str">
        <f>IF(Tabella4[[#This Row],[Componente]]="Documenti","10.","9.")&amp;Tabella4[[#This Row],[Criterio]]</f>
        <v>9.4.1.2</v>
      </c>
      <c r="I46" s="34" t="s">
        <v>1023</v>
      </c>
      <c r="J46" s="34" t="s">
        <v>1028</v>
      </c>
      <c r="K46" s="34" t="s">
        <v>1029</v>
      </c>
      <c r="L46" s="34" t="s">
        <v>1030</v>
      </c>
      <c r="M46" s="34" t="s">
        <v>1031</v>
      </c>
      <c r="N46" t="s">
        <v>498</v>
      </c>
      <c r="O46" t="s">
        <v>499</v>
      </c>
      <c r="P46" t="s">
        <v>383</v>
      </c>
      <c r="R46" s="34" t="str">
        <f>IF(Tabella4[[#This Row],[Componente]]="Documenti",_xlfn.XLOOKUP(Tabella4[[#This Row],[URL]],Tabella27[URL],Tabella27[PDF ID],,0),_xlfn.XLOOKUP(Tabella4[[#This Row],[URL]],Tabella1[URL],Tabella1[Page ID],,0))</f>
        <v>#2</v>
      </c>
      <c r="S46" s="34" t="s">
        <v>1004</v>
      </c>
      <c r="T46" s="34" t="s">
        <v>490</v>
      </c>
      <c r="V46" t="s">
        <v>492</v>
      </c>
      <c r="W46" s="34" t="s">
        <v>1067</v>
      </c>
      <c r="X46" s="34" t="str">
        <f>IFERROR(IF(Tabella4[[#This Row],[Tool]]="lighthouse",Tabella4[[#This Row],[Detail]],MID(Tabella4[[#This Row],[Detail]],1,FIND("&gt;",Tabella4[[#This Row],[Detail]]))),Tabella4[[#This Row],[Detail]])</f>
        <v>&lt;div class="panel-heading" role="tab" tabindex="0" id="heading-rcaposteguidaresicurilinear-item-3"&gt;</v>
      </c>
      <c r="Y46" s="34" t="str">
        <f>SUBSTITUTE(IF(Tabella4[[#This Row],[Tool]]="axe-core",MID(Tabella4[[#This Row],[Rejected Element]],3,LEN(Tabella4[[#This Row],[Rejected Element]])-4),Tabella4[[#This Row],[Rejected Element]]),"\","")</f>
        <v>#heading-rcaposteguidaresicurilinear-item-3</v>
      </c>
      <c r="Z46" s="34">
        <f>COUNTIFS(Tabella4[Detail univoco],Tabella4[[#This Row],[Detail univoco]],Tabella4[Rejected Element Univoco],Tabella4[[#This Row],[Rejected Element Univoco]],Tabella4[ItemsNodeLabel],Tabella4[[#This Row],[ItemsNodeLabel]])</f>
        <v>0</v>
      </c>
      <c r="AA46" s="34" t="str">
        <f>IF(Tabella4[[#This Row],[Componente]]="Documenti",VLOOKUP(Tabella4[[#This Row],[URL]],Tabella27[[URL]:[Servizio]],4,FALSE),VLOOKUP(Tabella4[[#This Row],[Page ID]],Tabella1[[Page ID]:[Servizio]],4,FALSE))</f>
        <v>S003 Assistenza</v>
      </c>
      <c r="AB46" s="34"/>
      <c r="AC46" s="34" t="str">
        <f>Tabella4[[#This Row],[User Impact]]</f>
        <v>2 - Serious</v>
      </c>
      <c r="AD46" s="34" t="str">
        <f>Copertina!C$2&amp;" - "&amp;Tabella4[[#This Row],[UNI CEI EN 301549]]&amp;" "&amp;VLOOKUP(Tabella4[[#This Row],[Criterio]],Tabella5[[ID]:[Criterio di successo]],2,FALSE)&amp;" - "&amp;Tabella4[[#This Row],[Servizio]]&amp;":"</f>
        <v>Insurance Brocker - 9.4.1.2 Nome, ruolo, valore - S003 Assistenza:</v>
      </c>
      <c r="AE4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(#TM0007)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id="heading-rcaposteguidaresicurilinear-item-3"&gt; con selettore: 
["#heading-rcaposteguidaresicurilinear-item-3"]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46">
        <f>_xlfn.XLOOKUP(Tabella4[[#This Row],[ID Silk]],outTable[ID Silk],outTable[Numero ticket  ],,0,1)</f>
        <v>5975</v>
      </c>
    </row>
    <row r="47" spans="1:32">
      <c r="A47" s="34" t="str">
        <f>MID(Tabella4[[#This Row],[Servizio]],1,4)&amp;Tabella4[[#This Row],[UNI CEI EN 301549]]</f>
        <v>S0039.4.1.2</v>
      </c>
      <c r="B47" s="34" t="str">
        <f>Tabella4[[#This Row],[ID Silk]]&amp;"_1"</f>
        <v>S0039.4.1.2_1</v>
      </c>
      <c r="C47" s="34" t="s">
        <v>788</v>
      </c>
      <c r="D47" s="2" t="str">
        <f>"(#"&amp;Tabella4[[#This Row],['#ID]]&amp;")"</f>
        <v>(#TM0008)</v>
      </c>
      <c r="E47" s="34" t="str">
        <f>IF(MID(Tabella4[[#This Row],['#ID]],1,1)="M","Mobile",IF(MID(Tabella4[[#This Row],['#ID]],1,1)="D","Desktop",IF(MID(Tabella4[[#This Row],['#ID]],1,2)="TM","Manuale","Documenti")))</f>
        <v>Manuale</v>
      </c>
      <c r="F47" s="34" t="s">
        <v>1005</v>
      </c>
      <c r="G47" s="34" t="s">
        <v>368</v>
      </c>
      <c r="H47" s="34" t="str">
        <f>IF(Tabella4[[#This Row],[Componente]]="Documenti","10.","9.")&amp;Tabella4[[#This Row],[Criterio]]</f>
        <v>9.4.1.2</v>
      </c>
      <c r="I47" s="34" t="s">
        <v>1023</v>
      </c>
      <c r="J47" s="34" t="s">
        <v>1028</v>
      </c>
      <c r="K47" s="34" t="s">
        <v>1029</v>
      </c>
      <c r="L47" s="34" t="s">
        <v>1030</v>
      </c>
      <c r="M47" s="34" t="s">
        <v>1031</v>
      </c>
      <c r="N47" t="s">
        <v>500</v>
      </c>
      <c r="O47" t="s">
        <v>501</v>
      </c>
      <c r="P47" t="s">
        <v>383</v>
      </c>
      <c r="R47" s="34" t="str">
        <f>IF(Tabella4[[#This Row],[Componente]]="Documenti",_xlfn.XLOOKUP(Tabella4[[#This Row],[URL]],Tabella27[URL],Tabella27[PDF ID],,0),_xlfn.XLOOKUP(Tabella4[[#This Row],[URL]],Tabella1[URL],Tabella1[Page ID],,0))</f>
        <v>#2</v>
      </c>
      <c r="S47" s="34" t="s">
        <v>1004</v>
      </c>
      <c r="T47" s="34" t="s">
        <v>490</v>
      </c>
      <c r="V47" t="s">
        <v>492</v>
      </c>
      <c r="W47" s="34" t="s">
        <v>1067</v>
      </c>
      <c r="X47" s="34" t="str">
        <f>IFERROR(IF(Tabella4[[#This Row],[Tool]]="lighthouse",Tabella4[[#This Row],[Detail]],MID(Tabella4[[#This Row],[Detail]],1,FIND("&gt;",Tabella4[[#This Row],[Detail]]))),Tabella4[[#This Row],[Detail]])</f>
        <v>&lt;div class="panel-heading" role="tab" tabindex="0" id="heading-rcaposteguidaresicurilinear-item-4"&gt;</v>
      </c>
      <c r="Y47" s="34" t="str">
        <f>SUBSTITUTE(IF(Tabella4[[#This Row],[Tool]]="axe-core",MID(Tabella4[[#This Row],[Rejected Element]],3,LEN(Tabella4[[#This Row],[Rejected Element]])-4),Tabella4[[#This Row],[Rejected Element]]),"\","")</f>
        <v>#heading-rcaposteguidaresicurilinear-item-4</v>
      </c>
      <c r="Z47" s="34">
        <f>COUNTIFS(Tabella4[Detail univoco],Tabella4[[#This Row],[Detail univoco]],Tabella4[Rejected Element Univoco],Tabella4[[#This Row],[Rejected Element Univoco]],Tabella4[ItemsNodeLabel],Tabella4[[#This Row],[ItemsNodeLabel]])</f>
        <v>0</v>
      </c>
      <c r="AA47" s="34" t="str">
        <f>IF(Tabella4[[#This Row],[Componente]]="Documenti",VLOOKUP(Tabella4[[#This Row],[URL]],Tabella27[[URL]:[Servizio]],4,FALSE),VLOOKUP(Tabella4[[#This Row],[Page ID]],Tabella1[[Page ID]:[Servizio]],4,FALSE))</f>
        <v>S003 Assistenza</v>
      </c>
      <c r="AB47" s="34"/>
      <c r="AC47" s="34" t="str">
        <f>Tabella4[[#This Row],[User Impact]]</f>
        <v>2 - Serious</v>
      </c>
      <c r="AD47" s="34" t="str">
        <f>Copertina!C$2&amp;" - "&amp;Tabella4[[#This Row],[UNI CEI EN 301549]]&amp;" "&amp;VLOOKUP(Tabella4[[#This Row],[Criterio]],Tabella5[[ID]:[Criterio di successo]],2,FALSE)&amp;" - "&amp;Tabella4[[#This Row],[Servizio]]&amp;":"</f>
        <v>Insurance Brocker - 9.4.1.2 Nome, ruolo, valore - S003 Assistenza:</v>
      </c>
      <c r="AE4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(#TM0008)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id="heading-rcaposteguidaresicurilinear-item-4"&gt; con selettore: 
["#heading-rcaposteguidaresicurilinear-item-4"]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47">
        <f>_xlfn.XLOOKUP(Tabella4[[#This Row],[ID Silk]],outTable[ID Silk],outTable[Numero ticket  ],,0,1)</f>
        <v>5975</v>
      </c>
    </row>
    <row r="48" spans="1:32">
      <c r="A48" s="34" t="str">
        <f>MID(Tabella4[[#This Row],[Servizio]],1,4)&amp;Tabella4[[#This Row],[UNI CEI EN 301549]]</f>
        <v>S0039.4.1.2</v>
      </c>
      <c r="B48" s="34" t="str">
        <f>Tabella4[[#This Row],[ID Silk]]&amp;"_1"</f>
        <v>S0039.4.1.2_1</v>
      </c>
      <c r="C48" s="34" t="s">
        <v>789</v>
      </c>
      <c r="D48" s="2" t="str">
        <f>"(#"&amp;Tabella4[[#This Row],['#ID]]&amp;")"</f>
        <v>(#TM0009)</v>
      </c>
      <c r="E48" s="34" t="str">
        <f>IF(MID(Tabella4[[#This Row],['#ID]],1,1)="M","Mobile",IF(MID(Tabella4[[#This Row],['#ID]],1,1)="D","Desktop",IF(MID(Tabella4[[#This Row],['#ID]],1,2)="TM","Manuale","Documenti")))</f>
        <v>Manuale</v>
      </c>
      <c r="F48" s="34" t="s">
        <v>1005</v>
      </c>
      <c r="G48" s="34" t="s">
        <v>368</v>
      </c>
      <c r="H48" s="34" t="str">
        <f>IF(Tabella4[[#This Row],[Componente]]="Documenti","10.","9.")&amp;Tabella4[[#This Row],[Criterio]]</f>
        <v>9.4.1.2</v>
      </c>
      <c r="I48" s="34" t="s">
        <v>1023</v>
      </c>
      <c r="J48" s="34" t="s">
        <v>1028</v>
      </c>
      <c r="K48" s="34" t="s">
        <v>1029</v>
      </c>
      <c r="L48" s="34" t="s">
        <v>1030</v>
      </c>
      <c r="M48" s="34" t="s">
        <v>1031</v>
      </c>
      <c r="N48" t="s">
        <v>502</v>
      </c>
      <c r="O48" t="s">
        <v>503</v>
      </c>
      <c r="P48" t="s">
        <v>383</v>
      </c>
      <c r="R48" s="34" t="str">
        <f>IF(Tabella4[[#This Row],[Componente]]="Documenti",_xlfn.XLOOKUP(Tabella4[[#This Row],[URL]],Tabella27[URL],Tabella27[PDF ID],,0),_xlfn.XLOOKUP(Tabella4[[#This Row],[URL]],Tabella1[URL],Tabella1[Page ID],,0))</f>
        <v>#2</v>
      </c>
      <c r="S48" s="34" t="s">
        <v>1004</v>
      </c>
      <c r="T48" s="34" t="s">
        <v>490</v>
      </c>
      <c r="V48" t="s">
        <v>492</v>
      </c>
      <c r="W48" s="34" t="s">
        <v>1067</v>
      </c>
      <c r="X48" s="34" t="str">
        <f>IFERROR(IF(Tabella4[[#This Row],[Tool]]="lighthouse",Tabella4[[#This Row],[Detail]],MID(Tabella4[[#This Row],[Detail]],1,FIND("&gt;",Tabella4[[#This Row],[Detail]]))),Tabella4[[#This Row],[Detail]])</f>
        <v>&lt;div class="panel-heading" role="tab" tabindex="0" id="heading-rcaposteguidaresicurilinear-item-5"&gt;</v>
      </c>
      <c r="Y48" s="34" t="str">
        <f>SUBSTITUTE(IF(Tabella4[[#This Row],[Tool]]="axe-core",MID(Tabella4[[#This Row],[Rejected Element]],3,LEN(Tabella4[[#This Row],[Rejected Element]])-4),Tabella4[[#This Row],[Rejected Element]]),"\","")</f>
        <v>#heading-rcaposteguidaresicurilinear-item-5</v>
      </c>
      <c r="Z48" s="34">
        <f>COUNTIFS(Tabella4[Detail univoco],Tabella4[[#This Row],[Detail univoco]],Tabella4[Rejected Element Univoco],Tabella4[[#This Row],[Rejected Element Univoco]],Tabella4[ItemsNodeLabel],Tabella4[[#This Row],[ItemsNodeLabel]])</f>
        <v>0</v>
      </c>
      <c r="AA48" s="34" t="str">
        <f>IF(Tabella4[[#This Row],[Componente]]="Documenti",VLOOKUP(Tabella4[[#This Row],[URL]],Tabella27[[URL]:[Servizio]],4,FALSE),VLOOKUP(Tabella4[[#This Row],[Page ID]],Tabella1[[Page ID]:[Servizio]],4,FALSE))</f>
        <v>S003 Assistenza</v>
      </c>
      <c r="AB48" s="34"/>
      <c r="AC48" s="34" t="str">
        <f>Tabella4[[#This Row],[User Impact]]</f>
        <v>2 - Serious</v>
      </c>
      <c r="AD48" s="34" t="str">
        <f>Copertina!C$2&amp;" - "&amp;Tabella4[[#This Row],[UNI CEI EN 301549]]&amp;" "&amp;VLOOKUP(Tabella4[[#This Row],[Criterio]],Tabella5[[ID]:[Criterio di successo]],2,FALSE)&amp;" - "&amp;Tabella4[[#This Row],[Servizio]]&amp;":"</f>
        <v>Insurance Brocker - 9.4.1.2 Nome, ruolo, valore - S003 Assistenza:</v>
      </c>
      <c r="AE4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(#TM0009)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id="heading-rcaposteguidaresicurilinear-item-5"&gt; con selettore: 
["#heading-rcaposteguidaresicurilinear-item-5"]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48">
        <f>_xlfn.XLOOKUP(Tabella4[[#This Row],[ID Silk]],outTable[ID Silk],outTable[Numero ticket  ],,0,1)</f>
        <v>5975</v>
      </c>
    </row>
    <row r="49" spans="1:32">
      <c r="A49" s="34" t="str">
        <f>MID(Tabella4[[#This Row],[Servizio]],1,4)&amp;Tabella4[[#This Row],[UNI CEI EN 301549]]</f>
        <v>S0039.4.1.2</v>
      </c>
      <c r="B49" s="34" t="str">
        <f>Tabella4[[#This Row],[ID Silk]]&amp;"_1"</f>
        <v>S0039.4.1.2_1</v>
      </c>
      <c r="C49" s="34" t="s">
        <v>790</v>
      </c>
      <c r="D49" s="2" t="str">
        <f>"(#"&amp;Tabella4[[#This Row],['#ID]]&amp;")"</f>
        <v>(#TM0010)</v>
      </c>
      <c r="E49" s="34" t="str">
        <f>IF(MID(Tabella4[[#This Row],['#ID]],1,1)="M","Mobile",IF(MID(Tabella4[[#This Row],['#ID]],1,1)="D","Desktop",IF(MID(Tabella4[[#This Row],['#ID]],1,2)="TM","Manuale","Documenti")))</f>
        <v>Manuale</v>
      </c>
      <c r="F49" s="34" t="s">
        <v>1005</v>
      </c>
      <c r="G49" s="34" t="s">
        <v>368</v>
      </c>
      <c r="H49" s="34" t="str">
        <f>IF(Tabella4[[#This Row],[Componente]]="Documenti","10.","9.")&amp;Tabella4[[#This Row],[Criterio]]</f>
        <v>9.4.1.2</v>
      </c>
      <c r="I49" s="34" t="s">
        <v>1023</v>
      </c>
      <c r="J49" s="34" t="s">
        <v>1028</v>
      </c>
      <c r="K49" s="34" t="s">
        <v>1029</v>
      </c>
      <c r="L49" s="34" t="s">
        <v>1030</v>
      </c>
      <c r="M49" s="34" t="s">
        <v>1031</v>
      </c>
      <c r="N49" t="s">
        <v>504</v>
      </c>
      <c r="O49" t="s">
        <v>505</v>
      </c>
      <c r="P49" t="s">
        <v>383</v>
      </c>
      <c r="R49" s="34" t="str">
        <f>IF(Tabella4[[#This Row],[Componente]]="Documenti",_xlfn.XLOOKUP(Tabella4[[#This Row],[URL]],Tabella27[URL],Tabella27[PDF ID],,0),_xlfn.XLOOKUP(Tabella4[[#This Row],[URL]],Tabella1[URL],Tabella1[Page ID],,0))</f>
        <v>#2</v>
      </c>
      <c r="S49" s="34" t="s">
        <v>1004</v>
      </c>
      <c r="T49" s="34" t="s">
        <v>490</v>
      </c>
      <c r="V49" t="s">
        <v>492</v>
      </c>
      <c r="W49" s="34" t="s">
        <v>1067</v>
      </c>
      <c r="X49" s="34" t="str">
        <f>IFERROR(IF(Tabella4[[#This Row],[Tool]]="lighthouse",Tabella4[[#This Row],[Detail]],MID(Tabella4[[#This Row],[Detail]],1,FIND("&gt;",Tabella4[[#This Row],[Detail]]))),Tabella4[[#This Row],[Detail]])</f>
        <v>&lt;div class="panel-heading" role="tab" tabindex="0" id="heading-rcaposteguidaresicurilinear-item-6"&gt;</v>
      </c>
      <c r="Y49" s="34" t="str">
        <f>SUBSTITUTE(IF(Tabella4[[#This Row],[Tool]]="axe-core",MID(Tabella4[[#This Row],[Rejected Element]],3,LEN(Tabella4[[#This Row],[Rejected Element]])-4),Tabella4[[#This Row],[Rejected Element]]),"\","")</f>
        <v>#heading-rcaposteguidaresicurilinear-item-6</v>
      </c>
      <c r="Z49" s="34">
        <f>COUNTIFS(Tabella4[Detail univoco],Tabella4[[#This Row],[Detail univoco]],Tabella4[Rejected Element Univoco],Tabella4[[#This Row],[Rejected Element Univoco]],Tabella4[ItemsNodeLabel],Tabella4[[#This Row],[ItemsNodeLabel]])</f>
        <v>0</v>
      </c>
      <c r="AA49" s="34" t="str">
        <f>IF(Tabella4[[#This Row],[Componente]]="Documenti",VLOOKUP(Tabella4[[#This Row],[URL]],Tabella27[[URL]:[Servizio]],4,FALSE),VLOOKUP(Tabella4[[#This Row],[Page ID]],Tabella1[[Page ID]:[Servizio]],4,FALSE))</f>
        <v>S003 Assistenza</v>
      </c>
      <c r="AB49" s="34"/>
      <c r="AC49" s="34" t="str">
        <f>Tabella4[[#This Row],[User Impact]]</f>
        <v>2 - Serious</v>
      </c>
      <c r="AD49" s="34" t="str">
        <f>Copertina!C$2&amp;" - "&amp;Tabella4[[#This Row],[UNI CEI EN 301549]]&amp;" "&amp;VLOOKUP(Tabella4[[#This Row],[Criterio]],Tabella5[[ID]:[Criterio di successo]],2,FALSE)&amp;" - "&amp;Tabella4[[#This Row],[Servizio]]&amp;":"</f>
        <v>Insurance Brocker - 9.4.1.2 Nome, ruolo, valore - S003 Assistenza:</v>
      </c>
      <c r="AE4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(#TM0010)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id="heading-rcaposteguidaresicurilinear-item-6"&gt; con selettore: 
["#heading-rcaposteguidaresicurilinear-item-6"]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49">
        <f>_xlfn.XLOOKUP(Tabella4[[#This Row],[ID Silk]],outTable[ID Silk],outTable[Numero ticket  ],,0,1)</f>
        <v>5975</v>
      </c>
    </row>
    <row r="50" spans="1:32">
      <c r="A50" s="34" t="str">
        <f>MID(Tabella4[[#This Row],[Servizio]],1,4)&amp;Tabella4[[#This Row],[UNI CEI EN 301549]]</f>
        <v>S0039.4.1.2</v>
      </c>
      <c r="B50" s="34" t="str">
        <f>Tabella4[[#This Row],[ID Silk]]&amp;"_1"</f>
        <v>S0039.4.1.2_1</v>
      </c>
      <c r="C50" s="34" t="s">
        <v>791</v>
      </c>
      <c r="D50" s="2" t="str">
        <f>"(#"&amp;Tabella4[[#This Row],['#ID]]&amp;")"</f>
        <v>(#TM0011)</v>
      </c>
      <c r="E50" s="34" t="str">
        <f>IF(MID(Tabella4[[#This Row],['#ID]],1,1)="M","Mobile",IF(MID(Tabella4[[#This Row],['#ID]],1,1)="D","Desktop",IF(MID(Tabella4[[#This Row],['#ID]],1,2)="TM","Manuale","Documenti")))</f>
        <v>Manuale</v>
      </c>
      <c r="F50" s="34" t="s">
        <v>1005</v>
      </c>
      <c r="G50" s="34" t="s">
        <v>368</v>
      </c>
      <c r="H50" s="34" t="str">
        <f>IF(Tabella4[[#This Row],[Componente]]="Documenti","10.","9.")&amp;Tabella4[[#This Row],[Criterio]]</f>
        <v>9.4.1.2</v>
      </c>
      <c r="I50" s="34" t="s">
        <v>1023</v>
      </c>
      <c r="J50" s="34" t="s">
        <v>1028</v>
      </c>
      <c r="K50" s="34" t="s">
        <v>1029</v>
      </c>
      <c r="L50" s="34" t="s">
        <v>1030</v>
      </c>
      <c r="M50" s="34" t="s">
        <v>1031</v>
      </c>
      <c r="N50" t="s">
        <v>506</v>
      </c>
      <c r="O50" t="s">
        <v>507</v>
      </c>
      <c r="P50" t="s">
        <v>383</v>
      </c>
      <c r="R50" s="34" t="str">
        <f>IF(Tabella4[[#This Row],[Componente]]="Documenti",_xlfn.XLOOKUP(Tabella4[[#This Row],[URL]],Tabella27[URL],Tabella27[PDF ID],,0),_xlfn.XLOOKUP(Tabella4[[#This Row],[URL]],Tabella1[URL],Tabella1[Page ID],,0))</f>
        <v>#2</v>
      </c>
      <c r="S50" s="34" t="s">
        <v>1004</v>
      </c>
      <c r="T50" s="34" t="s">
        <v>490</v>
      </c>
      <c r="V50" t="s">
        <v>492</v>
      </c>
      <c r="W50" s="34" t="s">
        <v>1067</v>
      </c>
      <c r="X50" s="34" t="str">
        <f>IFERROR(IF(Tabella4[[#This Row],[Tool]]="lighthouse",Tabella4[[#This Row],[Detail]],MID(Tabella4[[#This Row],[Detail]],1,FIND("&gt;",Tabella4[[#This Row],[Detail]]))),Tabella4[[#This Row],[Detail]])</f>
        <v>&lt;div class="panel-heading" role="tab" tabindex="0" id="heading-rcaposteguidaresicurilinear-item-7"&gt;</v>
      </c>
      <c r="Y50" s="34" t="str">
        <f>SUBSTITUTE(IF(Tabella4[[#This Row],[Tool]]="axe-core",MID(Tabella4[[#This Row],[Rejected Element]],3,LEN(Tabella4[[#This Row],[Rejected Element]])-4),Tabella4[[#This Row],[Rejected Element]]),"\","")</f>
        <v>#heading-rcaposteguidaresicurilinear-item-7</v>
      </c>
      <c r="Z50" s="34">
        <f>COUNTIFS(Tabella4[Detail univoco],Tabella4[[#This Row],[Detail univoco]],Tabella4[Rejected Element Univoco],Tabella4[[#This Row],[Rejected Element Univoco]],Tabella4[ItemsNodeLabel],Tabella4[[#This Row],[ItemsNodeLabel]])</f>
        <v>0</v>
      </c>
      <c r="AA50" s="34" t="str">
        <f>IF(Tabella4[[#This Row],[Componente]]="Documenti",VLOOKUP(Tabella4[[#This Row],[URL]],Tabella27[[URL]:[Servizio]],4,FALSE),VLOOKUP(Tabella4[[#This Row],[Page ID]],Tabella1[[Page ID]:[Servizio]],4,FALSE))</f>
        <v>S003 Assistenza</v>
      </c>
      <c r="AB50" s="34"/>
      <c r="AC50" s="34" t="str">
        <f>Tabella4[[#This Row],[User Impact]]</f>
        <v>2 - Serious</v>
      </c>
      <c r="AD50" s="34" t="str">
        <f>Copertina!C$2&amp;" - "&amp;Tabella4[[#This Row],[UNI CEI EN 301549]]&amp;" "&amp;VLOOKUP(Tabella4[[#This Row],[Criterio]],Tabella5[[ID]:[Criterio di successo]],2,FALSE)&amp;" - "&amp;Tabella4[[#This Row],[Servizio]]&amp;":"</f>
        <v>Insurance Brocker - 9.4.1.2 Nome, ruolo, valore - S003 Assistenza:</v>
      </c>
      <c r="AE5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(#TM0011)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id="heading-rcaposteguidaresicurilinear-item-7"&gt; con selettore: 
["#heading-rcaposteguidaresicurilinear-item-7"]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50">
        <f>_xlfn.XLOOKUP(Tabella4[[#This Row],[ID Silk]],outTable[ID Silk],outTable[Numero ticket  ],,0,1)</f>
        <v>5975</v>
      </c>
    </row>
    <row r="51" spans="1:32">
      <c r="A51" s="34" t="str">
        <f>MID(Tabella4[[#This Row],[Servizio]],1,4)&amp;Tabella4[[#This Row],[UNI CEI EN 301549]]</f>
        <v>S0039.4.1.2</v>
      </c>
      <c r="B51" s="34" t="str">
        <f>Tabella4[[#This Row],[ID Silk]]&amp;"_1"</f>
        <v>S0039.4.1.2_1</v>
      </c>
      <c r="C51" s="34" t="s">
        <v>792</v>
      </c>
      <c r="D51" s="2" t="str">
        <f>"(#"&amp;Tabella4[[#This Row],['#ID]]&amp;")"</f>
        <v>(#TM0012)</v>
      </c>
      <c r="E51" s="34" t="str">
        <f>IF(MID(Tabella4[[#This Row],['#ID]],1,1)="M","Mobile",IF(MID(Tabella4[[#This Row],['#ID]],1,1)="D","Desktop",IF(MID(Tabella4[[#This Row],['#ID]],1,2)="TM","Manuale","Documenti")))</f>
        <v>Manuale</v>
      </c>
      <c r="F51" s="34" t="s">
        <v>1005</v>
      </c>
      <c r="G51" s="34" t="s">
        <v>368</v>
      </c>
      <c r="H51" s="34" t="str">
        <f>IF(Tabella4[[#This Row],[Componente]]="Documenti","10.","9.")&amp;Tabella4[[#This Row],[Criterio]]</f>
        <v>9.4.1.2</v>
      </c>
      <c r="I51" s="34" t="s">
        <v>1023</v>
      </c>
      <c r="J51" s="34" t="s">
        <v>1028</v>
      </c>
      <c r="K51" s="34" t="s">
        <v>1029</v>
      </c>
      <c r="L51" s="34" t="s">
        <v>1030</v>
      </c>
      <c r="M51" s="34" t="s">
        <v>1031</v>
      </c>
      <c r="N51" t="s">
        <v>508</v>
      </c>
      <c r="O51" t="s">
        <v>509</v>
      </c>
      <c r="P51" t="s">
        <v>383</v>
      </c>
      <c r="R51" s="34" t="str">
        <f>IF(Tabella4[[#This Row],[Componente]]="Documenti",_xlfn.XLOOKUP(Tabella4[[#This Row],[URL]],Tabella27[URL],Tabella27[PDF ID],,0),_xlfn.XLOOKUP(Tabella4[[#This Row],[URL]],Tabella1[URL],Tabella1[Page ID],,0))</f>
        <v>#2</v>
      </c>
      <c r="S51" s="34" t="s">
        <v>1004</v>
      </c>
      <c r="T51" s="34" t="s">
        <v>490</v>
      </c>
      <c r="V51" t="s">
        <v>492</v>
      </c>
      <c r="W51" s="34" t="s">
        <v>1067</v>
      </c>
      <c r="X51" s="34" t="str">
        <f>IFERROR(IF(Tabella4[[#This Row],[Tool]]="lighthouse",Tabella4[[#This Row],[Detail]],MID(Tabella4[[#This Row],[Detail]],1,FIND("&gt;",Tabella4[[#This Row],[Detail]]))),Tabella4[[#This Row],[Detail]])</f>
        <v>&lt;div class="panel-heading" role="tab" tabindex="0" id="heading-rcaposteguidaresicurilinear-item-8"&gt;</v>
      </c>
      <c r="Y51" s="34" t="str">
        <f>SUBSTITUTE(IF(Tabella4[[#This Row],[Tool]]="axe-core",MID(Tabella4[[#This Row],[Rejected Element]],3,LEN(Tabella4[[#This Row],[Rejected Element]])-4),Tabella4[[#This Row],[Rejected Element]]),"\","")</f>
        <v>#heading-rcaposteguidaresicurilinear-item-8</v>
      </c>
      <c r="Z51" s="34">
        <f>COUNTIFS(Tabella4[Detail univoco],Tabella4[[#This Row],[Detail univoco]],Tabella4[Rejected Element Univoco],Tabella4[[#This Row],[Rejected Element Univoco]],Tabella4[ItemsNodeLabel],Tabella4[[#This Row],[ItemsNodeLabel]])</f>
        <v>0</v>
      </c>
      <c r="AA51" s="34" t="str">
        <f>IF(Tabella4[[#This Row],[Componente]]="Documenti",VLOOKUP(Tabella4[[#This Row],[URL]],Tabella27[[URL]:[Servizio]],4,FALSE),VLOOKUP(Tabella4[[#This Row],[Page ID]],Tabella1[[Page ID]:[Servizio]],4,FALSE))</f>
        <v>S003 Assistenza</v>
      </c>
      <c r="AB51" s="34"/>
      <c r="AC51" s="34" t="str">
        <f>Tabella4[[#This Row],[User Impact]]</f>
        <v>2 - Serious</v>
      </c>
      <c r="AD51" s="34" t="str">
        <f>Copertina!C$2&amp;" - "&amp;Tabella4[[#This Row],[UNI CEI EN 301549]]&amp;" "&amp;VLOOKUP(Tabella4[[#This Row],[Criterio]],Tabella5[[ID]:[Criterio di successo]],2,FALSE)&amp;" - "&amp;Tabella4[[#This Row],[Servizio]]&amp;":"</f>
        <v>Insurance Brocker - 9.4.1.2 Nome, ruolo, valore - S003 Assistenza:</v>
      </c>
      <c r="AE5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(#TM0012)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id="heading-rcaposteguidaresicurilinear-item-8"&gt; con selettore: 
["#heading-rcaposteguidaresicurilinear-item-8"]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51">
        <f>_xlfn.XLOOKUP(Tabella4[[#This Row],[ID Silk]],outTable[ID Silk],outTable[Numero ticket  ],,0,1)</f>
        <v>5975</v>
      </c>
    </row>
    <row r="52" spans="1:32">
      <c r="A52" s="34" t="str">
        <f>MID(Tabella4[[#This Row],[Servizio]],1,4)&amp;Tabella4[[#This Row],[UNI CEI EN 301549]]</f>
        <v>S0039.4.1.2</v>
      </c>
      <c r="B52" s="34" t="str">
        <f>Tabella4[[#This Row],[ID Silk]]&amp;"_1"</f>
        <v>S0039.4.1.2_1</v>
      </c>
      <c r="C52" s="34" t="s">
        <v>793</v>
      </c>
      <c r="D52" s="2" t="str">
        <f>"(#"&amp;Tabella4[[#This Row],['#ID]]&amp;")"</f>
        <v>(#TM0013)</v>
      </c>
      <c r="E52" s="34" t="str">
        <f>IF(MID(Tabella4[[#This Row],['#ID]],1,1)="M","Mobile",IF(MID(Tabella4[[#This Row],['#ID]],1,1)="D","Desktop",IF(MID(Tabella4[[#This Row],['#ID]],1,2)="TM","Manuale","Documenti")))</f>
        <v>Manuale</v>
      </c>
      <c r="F52" s="34" t="s">
        <v>1005</v>
      </c>
      <c r="G52" s="34" t="s">
        <v>368</v>
      </c>
      <c r="H52" s="34" t="str">
        <f>IF(Tabella4[[#This Row],[Componente]]="Documenti","10.","9.")&amp;Tabella4[[#This Row],[Criterio]]</f>
        <v>9.4.1.2</v>
      </c>
      <c r="I52" s="34" t="s">
        <v>1023</v>
      </c>
      <c r="J52" s="34" t="s">
        <v>1028</v>
      </c>
      <c r="K52" s="34" t="s">
        <v>1029</v>
      </c>
      <c r="L52" s="34" t="s">
        <v>1030</v>
      </c>
      <c r="M52" s="34" t="s">
        <v>1031</v>
      </c>
      <c r="N52" t="s">
        <v>510</v>
      </c>
      <c r="O52" t="s">
        <v>511</v>
      </c>
      <c r="P52" t="s">
        <v>383</v>
      </c>
      <c r="R52" s="34" t="str">
        <f>IF(Tabella4[[#This Row],[Componente]]="Documenti",_xlfn.XLOOKUP(Tabella4[[#This Row],[URL]],Tabella27[URL],Tabella27[PDF ID],,0),_xlfn.XLOOKUP(Tabella4[[#This Row],[URL]],Tabella1[URL],Tabella1[Page ID],,0))</f>
        <v>#2</v>
      </c>
      <c r="S52" s="34" t="s">
        <v>1004</v>
      </c>
      <c r="T52" s="34" t="s">
        <v>490</v>
      </c>
      <c r="V52" t="s">
        <v>492</v>
      </c>
      <c r="W52" s="34" t="s">
        <v>1067</v>
      </c>
      <c r="X52" s="34" t="str">
        <f>IFERROR(IF(Tabella4[[#This Row],[Tool]]="lighthouse",Tabella4[[#This Row],[Detail]],MID(Tabella4[[#This Row],[Detail]],1,FIND("&gt;",Tabella4[[#This Row],[Detail]]))),Tabella4[[#This Row],[Detail]])</f>
        <v>&lt;div class="panel-heading" role="tab" tabindex="0" id="heading-rcaposteguidaresicurilinear-item-9"&gt;</v>
      </c>
      <c r="Y52" s="34" t="str">
        <f>SUBSTITUTE(IF(Tabella4[[#This Row],[Tool]]="axe-core",MID(Tabella4[[#This Row],[Rejected Element]],3,LEN(Tabella4[[#This Row],[Rejected Element]])-4),Tabella4[[#This Row],[Rejected Element]]),"\","")</f>
        <v>#heading-rcaposteguidaresicurilinear-item-9</v>
      </c>
      <c r="Z52" s="34">
        <f>COUNTIFS(Tabella4[Detail univoco],Tabella4[[#This Row],[Detail univoco]],Tabella4[Rejected Element Univoco],Tabella4[[#This Row],[Rejected Element Univoco]],Tabella4[ItemsNodeLabel],Tabella4[[#This Row],[ItemsNodeLabel]])</f>
        <v>0</v>
      </c>
      <c r="AA52" s="34" t="str">
        <f>IF(Tabella4[[#This Row],[Componente]]="Documenti",VLOOKUP(Tabella4[[#This Row],[URL]],Tabella27[[URL]:[Servizio]],4,FALSE),VLOOKUP(Tabella4[[#This Row],[Page ID]],Tabella1[[Page ID]:[Servizio]],4,FALSE))</f>
        <v>S003 Assistenza</v>
      </c>
      <c r="AB52" s="34"/>
      <c r="AC52" s="34" t="str">
        <f>Tabella4[[#This Row],[User Impact]]</f>
        <v>2 - Serious</v>
      </c>
      <c r="AD52" s="34" t="str">
        <f>Copertina!C$2&amp;" - "&amp;Tabella4[[#This Row],[UNI CEI EN 301549]]&amp;" "&amp;VLOOKUP(Tabella4[[#This Row],[Criterio]],Tabella5[[ID]:[Criterio di successo]],2,FALSE)&amp;" - "&amp;Tabella4[[#This Row],[Servizio]]&amp;":"</f>
        <v>Insurance Brocker - 9.4.1.2 Nome, ruolo, valore - S003 Assistenza:</v>
      </c>
      <c r="AE5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(#TM0013)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id="heading-rcaposteguidaresicurilinear-item-9"&gt; con selettore: 
["#heading-rcaposteguidaresicurilinear-item-9"]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52">
        <f>_xlfn.XLOOKUP(Tabella4[[#This Row],[ID Silk]],outTable[ID Silk],outTable[Numero ticket  ],,0,1)</f>
        <v>5975</v>
      </c>
    </row>
    <row r="53" spans="1:32">
      <c r="A53" s="34" t="str">
        <f>MID(Tabella4[[#This Row],[Servizio]],1,4)&amp;Tabella4[[#This Row],[UNI CEI EN 301549]]</f>
        <v>S0039.4.1.2</v>
      </c>
      <c r="B53" s="34" t="str">
        <f>Tabella4[[#This Row],[ID Silk]]&amp;"_1"</f>
        <v>S0039.4.1.2_1</v>
      </c>
      <c r="C53" s="34" t="s">
        <v>794</v>
      </c>
      <c r="D53" s="2" t="str">
        <f>"(#"&amp;Tabella4[[#This Row],['#ID]]&amp;")"</f>
        <v>(#TM0014)</v>
      </c>
      <c r="E53" s="34" t="str">
        <f>IF(MID(Tabella4[[#This Row],['#ID]],1,1)="M","Mobile",IF(MID(Tabella4[[#This Row],['#ID]],1,1)="D","Desktop",IF(MID(Tabella4[[#This Row],['#ID]],1,2)="TM","Manuale","Documenti")))</f>
        <v>Manuale</v>
      </c>
      <c r="F53" s="34" t="s">
        <v>1005</v>
      </c>
      <c r="G53" s="34" t="s">
        <v>368</v>
      </c>
      <c r="H53" s="34" t="str">
        <f>IF(Tabella4[[#This Row],[Componente]]="Documenti","10.","9.")&amp;Tabella4[[#This Row],[Criterio]]</f>
        <v>9.4.1.2</v>
      </c>
      <c r="I53" s="34" t="s">
        <v>1023</v>
      </c>
      <c r="J53" s="34" t="s">
        <v>1028</v>
      </c>
      <c r="K53" s="34" t="s">
        <v>1029</v>
      </c>
      <c r="L53" s="34" t="s">
        <v>1030</v>
      </c>
      <c r="M53" s="34" t="s">
        <v>1031</v>
      </c>
      <c r="N53" t="s">
        <v>512</v>
      </c>
      <c r="O53" t="s">
        <v>513</v>
      </c>
      <c r="P53" t="s">
        <v>383</v>
      </c>
      <c r="R53" s="34" t="str">
        <f>IF(Tabella4[[#This Row],[Componente]]="Documenti",_xlfn.XLOOKUP(Tabella4[[#This Row],[URL]],Tabella27[URL],Tabella27[PDF ID],,0),_xlfn.XLOOKUP(Tabella4[[#This Row],[URL]],Tabella1[URL],Tabella1[Page ID],,0))</f>
        <v>#2</v>
      </c>
      <c r="S53" s="34" t="s">
        <v>1004</v>
      </c>
      <c r="T53" s="34" t="s">
        <v>490</v>
      </c>
      <c r="V53" t="s">
        <v>492</v>
      </c>
      <c r="W53" s="34" t="s">
        <v>1067</v>
      </c>
      <c r="X53" s="34" t="str">
        <f>IFERROR(IF(Tabella4[[#This Row],[Tool]]="lighthouse",Tabella4[[#This Row],[Detail]],MID(Tabella4[[#This Row],[Detail]],1,FIND("&gt;",Tabella4[[#This Row],[Detail]]))),Tabella4[[#This Row],[Detail]])</f>
        <v>&lt;div class="panel-heading" role="tab" tabindex="0" id="heading-rcaposteguidaresicurilinear-item-10"&gt;</v>
      </c>
      <c r="Y53" s="34" t="str">
        <f>SUBSTITUTE(IF(Tabella4[[#This Row],[Tool]]="axe-core",MID(Tabella4[[#This Row],[Rejected Element]],3,LEN(Tabella4[[#This Row],[Rejected Element]])-4),Tabella4[[#This Row],[Rejected Element]]),"\","")</f>
        <v>#heading-rcaposteguidaresicurilinear-item-10</v>
      </c>
      <c r="Z53" s="34">
        <f>COUNTIFS(Tabella4[Detail univoco],Tabella4[[#This Row],[Detail univoco]],Tabella4[Rejected Element Univoco],Tabella4[[#This Row],[Rejected Element Univoco]],Tabella4[ItemsNodeLabel],Tabella4[[#This Row],[ItemsNodeLabel]])</f>
        <v>0</v>
      </c>
      <c r="AA53" s="34" t="str">
        <f>IF(Tabella4[[#This Row],[Componente]]="Documenti",VLOOKUP(Tabella4[[#This Row],[URL]],Tabella27[[URL]:[Servizio]],4,FALSE),VLOOKUP(Tabella4[[#This Row],[Page ID]],Tabella1[[Page ID]:[Servizio]],4,FALSE))</f>
        <v>S003 Assistenza</v>
      </c>
      <c r="AB53" s="34"/>
      <c r="AC53" s="34" t="str">
        <f>Tabella4[[#This Row],[User Impact]]</f>
        <v>2 - Serious</v>
      </c>
      <c r="AD53" s="34" t="str">
        <f>Copertina!C$2&amp;" - "&amp;Tabella4[[#This Row],[UNI CEI EN 301549]]&amp;" "&amp;VLOOKUP(Tabella4[[#This Row],[Criterio]],Tabella5[[ID]:[Criterio di successo]],2,FALSE)&amp;" - "&amp;Tabella4[[#This Row],[Servizio]]&amp;":"</f>
        <v>Insurance Brocker - 9.4.1.2 Nome, ruolo, valore - S003 Assistenza:</v>
      </c>
      <c r="AE5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(#TM0014)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id="heading-rcaposteguidaresicurilinear-item-10"&gt; con selettore: 
["#heading-rcaposteguidaresicurilinear-item-10"]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53">
        <f>_xlfn.XLOOKUP(Tabella4[[#This Row],[ID Silk]],outTable[ID Silk],outTable[Numero ticket  ],,0,1)</f>
        <v>5975</v>
      </c>
    </row>
    <row r="54" spans="1:32">
      <c r="A54" s="34" t="str">
        <f>MID(Tabella4[[#This Row],[Servizio]],1,4)&amp;Tabella4[[#This Row],[UNI CEI EN 301549]]</f>
        <v>S0039.4.1.2</v>
      </c>
      <c r="B54" s="34" t="str">
        <f>Tabella4[[#This Row],[ID Silk]]&amp;"_1"</f>
        <v>S0039.4.1.2_1</v>
      </c>
      <c r="C54" s="34" t="s">
        <v>795</v>
      </c>
      <c r="D54" s="2" t="str">
        <f>"(#"&amp;Tabella4[[#This Row],['#ID]]&amp;")"</f>
        <v>(#TM0015)</v>
      </c>
      <c r="E54" s="34" t="str">
        <f>IF(MID(Tabella4[[#This Row],['#ID]],1,1)="M","Mobile",IF(MID(Tabella4[[#This Row],['#ID]],1,1)="D","Desktop",IF(MID(Tabella4[[#This Row],['#ID]],1,2)="TM","Manuale","Documenti")))</f>
        <v>Manuale</v>
      </c>
      <c r="F54" s="34" t="s">
        <v>1005</v>
      </c>
      <c r="G54" s="34" t="s">
        <v>368</v>
      </c>
      <c r="H54" s="34" t="str">
        <f>IF(Tabella4[[#This Row],[Componente]]="Documenti","10.","9.")&amp;Tabella4[[#This Row],[Criterio]]</f>
        <v>9.4.1.2</v>
      </c>
      <c r="I54" s="34" t="s">
        <v>1023</v>
      </c>
      <c r="J54" s="34" t="s">
        <v>1028</v>
      </c>
      <c r="K54" s="34" t="s">
        <v>1029</v>
      </c>
      <c r="L54" s="34" t="s">
        <v>1030</v>
      </c>
      <c r="M54" s="34" t="s">
        <v>1031</v>
      </c>
      <c r="N54" t="s">
        <v>514</v>
      </c>
      <c r="O54" t="s">
        <v>515</v>
      </c>
      <c r="P54" t="s">
        <v>383</v>
      </c>
      <c r="R54" s="34" t="str">
        <f>IF(Tabella4[[#This Row],[Componente]]="Documenti",_xlfn.XLOOKUP(Tabella4[[#This Row],[URL]],Tabella27[URL],Tabella27[PDF ID],,0),_xlfn.XLOOKUP(Tabella4[[#This Row],[URL]],Tabella1[URL],Tabella1[Page ID],,0))</f>
        <v>#2</v>
      </c>
      <c r="S54" s="34" t="s">
        <v>1004</v>
      </c>
      <c r="T54" s="34" t="s">
        <v>490</v>
      </c>
      <c r="V54" t="s">
        <v>492</v>
      </c>
      <c r="W54" s="34" t="s">
        <v>1067</v>
      </c>
      <c r="X54" s="34" t="str">
        <f>IFERROR(IF(Tabella4[[#This Row],[Tool]]="lighthouse",Tabella4[[#This Row],[Detail]],MID(Tabella4[[#This Row],[Detail]],1,FIND("&gt;",Tabella4[[#This Row],[Detail]]))),Tabella4[[#This Row],[Detail]])</f>
        <v>&lt;div class="panel-heading" role="tab" tabindex="0" id="heading-rcaposteguidaresicurilinear-item-11"&gt;</v>
      </c>
      <c r="Y54" s="34" t="str">
        <f>SUBSTITUTE(IF(Tabella4[[#This Row],[Tool]]="axe-core",MID(Tabella4[[#This Row],[Rejected Element]],3,LEN(Tabella4[[#This Row],[Rejected Element]])-4),Tabella4[[#This Row],[Rejected Element]]),"\","")</f>
        <v>#heading-rcaposteguidaresicurilinear-item-11</v>
      </c>
      <c r="Z54" s="34">
        <f>COUNTIFS(Tabella4[Detail univoco],Tabella4[[#This Row],[Detail univoco]],Tabella4[Rejected Element Univoco],Tabella4[[#This Row],[Rejected Element Univoco]],Tabella4[ItemsNodeLabel],Tabella4[[#This Row],[ItemsNodeLabel]])</f>
        <v>0</v>
      </c>
      <c r="AA54" s="34" t="str">
        <f>IF(Tabella4[[#This Row],[Componente]]="Documenti",VLOOKUP(Tabella4[[#This Row],[URL]],Tabella27[[URL]:[Servizio]],4,FALSE),VLOOKUP(Tabella4[[#This Row],[Page ID]],Tabella1[[Page ID]:[Servizio]],4,FALSE))</f>
        <v>S003 Assistenza</v>
      </c>
      <c r="AB54" s="34"/>
      <c r="AC54" s="34" t="str">
        <f>Tabella4[[#This Row],[User Impact]]</f>
        <v>2 - Serious</v>
      </c>
      <c r="AD54" s="34" t="str">
        <f>Copertina!C$2&amp;" - "&amp;Tabella4[[#This Row],[UNI CEI EN 301549]]&amp;" "&amp;VLOOKUP(Tabella4[[#This Row],[Criterio]],Tabella5[[ID]:[Criterio di successo]],2,FALSE)&amp;" - "&amp;Tabella4[[#This Row],[Servizio]]&amp;":"</f>
        <v>Insurance Brocker - 9.4.1.2 Nome, ruolo, valore - S003 Assistenza:</v>
      </c>
      <c r="AE5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(#TM0015)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id="heading-rcaposteguidaresicurilinear-item-11"&gt; con selettore: 
["#heading-rcaposteguidaresicurilinear-item-11"]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54">
        <f>_xlfn.XLOOKUP(Tabella4[[#This Row],[ID Silk]],outTable[ID Silk],outTable[Numero ticket  ],,0,1)</f>
        <v>5975</v>
      </c>
    </row>
    <row r="55" spans="1:32">
      <c r="A55" s="34" t="str">
        <f>MID(Tabella4[[#This Row],[Servizio]],1,4)&amp;Tabella4[[#This Row],[UNI CEI EN 301549]]</f>
        <v>S0039.4.1.2</v>
      </c>
      <c r="B55" s="34" t="str">
        <f>Tabella4[[#This Row],[ID Silk]]&amp;"_1"</f>
        <v>S0039.4.1.2_1</v>
      </c>
      <c r="C55" s="34" t="s">
        <v>796</v>
      </c>
      <c r="D55" s="2" t="str">
        <f>"(#"&amp;Tabella4[[#This Row],['#ID]]&amp;")"</f>
        <v>(#TM0016)</v>
      </c>
      <c r="E55" s="34" t="str">
        <f>IF(MID(Tabella4[[#This Row],['#ID]],1,1)="M","Mobile",IF(MID(Tabella4[[#This Row],['#ID]],1,1)="D","Desktop",IF(MID(Tabella4[[#This Row],['#ID]],1,2)="TM","Manuale","Documenti")))</f>
        <v>Manuale</v>
      </c>
      <c r="F55" s="34" t="s">
        <v>1005</v>
      </c>
      <c r="G55" s="34" t="s">
        <v>368</v>
      </c>
      <c r="H55" s="34" t="str">
        <f>IF(Tabella4[[#This Row],[Componente]]="Documenti","10.","9.")&amp;Tabella4[[#This Row],[Criterio]]</f>
        <v>9.4.1.2</v>
      </c>
      <c r="I55" s="34" t="s">
        <v>1023</v>
      </c>
      <c r="J55" s="34" t="s">
        <v>1028</v>
      </c>
      <c r="K55" s="34" t="s">
        <v>1029</v>
      </c>
      <c r="L55" s="34" t="s">
        <v>1030</v>
      </c>
      <c r="M55" s="34" t="s">
        <v>1031</v>
      </c>
      <c r="N55" t="s">
        <v>516</v>
      </c>
      <c r="O55" t="s">
        <v>517</v>
      </c>
      <c r="P55" t="s">
        <v>383</v>
      </c>
      <c r="R55" s="34" t="str">
        <f>IF(Tabella4[[#This Row],[Componente]]="Documenti",_xlfn.XLOOKUP(Tabella4[[#This Row],[URL]],Tabella27[URL],Tabella27[PDF ID],,0),_xlfn.XLOOKUP(Tabella4[[#This Row],[URL]],Tabella1[URL],Tabella1[Page ID],,0))</f>
        <v>#2</v>
      </c>
      <c r="S55" s="34" t="s">
        <v>1004</v>
      </c>
      <c r="T55" s="34" t="s">
        <v>490</v>
      </c>
      <c r="V55" t="s">
        <v>492</v>
      </c>
      <c r="W55" s="34" t="s">
        <v>1067</v>
      </c>
      <c r="X55" s="34" t="str">
        <f>IFERROR(IF(Tabella4[[#This Row],[Tool]]="lighthouse",Tabella4[[#This Row],[Detail]],MID(Tabella4[[#This Row],[Detail]],1,FIND("&gt;",Tabella4[[#This Row],[Detail]]))),Tabella4[[#This Row],[Detail]])</f>
        <v>&lt;div class="panel-heading" role="tab" tabindex="0" id="heading-rcaposteguidaresicurilinear-item-12"&gt;</v>
      </c>
      <c r="Y55" s="34" t="str">
        <f>SUBSTITUTE(IF(Tabella4[[#This Row],[Tool]]="axe-core",MID(Tabella4[[#This Row],[Rejected Element]],3,LEN(Tabella4[[#This Row],[Rejected Element]])-4),Tabella4[[#This Row],[Rejected Element]]),"\","")</f>
        <v>#heading-rcaposteguidaresicurilinear-item-12</v>
      </c>
      <c r="Z55" s="34">
        <f>COUNTIFS(Tabella4[Detail univoco],Tabella4[[#This Row],[Detail univoco]],Tabella4[Rejected Element Univoco],Tabella4[[#This Row],[Rejected Element Univoco]],Tabella4[ItemsNodeLabel],Tabella4[[#This Row],[ItemsNodeLabel]])</f>
        <v>0</v>
      </c>
      <c r="AA55" s="34" t="str">
        <f>IF(Tabella4[[#This Row],[Componente]]="Documenti",VLOOKUP(Tabella4[[#This Row],[URL]],Tabella27[[URL]:[Servizio]],4,FALSE),VLOOKUP(Tabella4[[#This Row],[Page ID]],Tabella1[[Page ID]:[Servizio]],4,FALSE))</f>
        <v>S003 Assistenza</v>
      </c>
      <c r="AB55" s="34"/>
      <c r="AC55" s="34" t="str">
        <f>Tabella4[[#This Row],[User Impact]]</f>
        <v>2 - Serious</v>
      </c>
      <c r="AD55" s="34" t="str">
        <f>Copertina!C$2&amp;" - "&amp;Tabella4[[#This Row],[UNI CEI EN 301549]]&amp;" "&amp;VLOOKUP(Tabella4[[#This Row],[Criterio]],Tabella5[[ID]:[Criterio di successo]],2,FALSE)&amp;" - "&amp;Tabella4[[#This Row],[Servizio]]&amp;":"</f>
        <v>Insurance Brocker - 9.4.1.2 Nome, ruolo, valore - S003 Assistenza:</v>
      </c>
      <c r="AE5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S003 Assistenza: (#TM0016)
S003 Assistenza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https://posteinsurancebroker.poste.it/archivio/ - &lt;div class="panel-heading" role="tab" tabindex="0" id="heading-rcaposteguidaresicurilinear-item-12"&gt; con selettore: 
["#heading-rcaposteguidaresicurilinear-item-12"]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55">
        <f>_xlfn.XLOOKUP(Tabella4[[#This Row],[ID Silk]],outTable[ID Silk],outTable[Numero ticket  ],,0,1)</f>
        <v>5975</v>
      </c>
    </row>
    <row r="56" spans="1:32">
      <c r="A56" s="34" t="str">
        <f>MID(Tabella4[[#This Row],[Servizio]],1,4)&amp;Tabella4[[#This Row],[UNI CEI EN 301549]]</f>
        <v>S0039.2.5.8</v>
      </c>
      <c r="B56" s="34" t="str">
        <f>Tabella4[[#This Row],[ID Silk]]&amp;"_1"</f>
        <v>S0039.2.5.8_1</v>
      </c>
      <c r="C56" s="34" t="s">
        <v>797</v>
      </c>
      <c r="D56" s="2" t="str">
        <f>"(#"&amp;Tabella4[[#This Row],['#ID]]&amp;")"</f>
        <v>(#TM0017)</v>
      </c>
      <c r="E56" s="34" t="str">
        <f>IF(MID(Tabella4[[#This Row],['#ID]],1,1)="M","Mobile",IF(MID(Tabella4[[#This Row],['#ID]],1,1)="D","Desktop",IF(MID(Tabella4[[#This Row],['#ID]],1,2)="TM","Manuale","Documenti")))</f>
        <v>Manuale</v>
      </c>
      <c r="F56" s="34" t="s">
        <v>1006</v>
      </c>
      <c r="G56" s="34" t="s">
        <v>372</v>
      </c>
      <c r="H56" s="34" t="str">
        <f>IF(Tabella4[[#This Row],[Componente]]="Documenti","10.","9.")&amp;Tabella4[[#This Row],[Criterio]]</f>
        <v>9.2.5.8</v>
      </c>
      <c r="I56" s="34" t="s">
        <v>1023</v>
      </c>
      <c r="J56" s="34" t="s">
        <v>1032</v>
      </c>
      <c r="K56" s="34" t="s">
        <v>1033</v>
      </c>
      <c r="L56" s="34" t="s">
        <v>1034</v>
      </c>
      <c r="M56" s="34" t="s">
        <v>1035</v>
      </c>
      <c r="N56" t="s">
        <v>491</v>
      </c>
      <c r="O56" t="s">
        <v>493</v>
      </c>
      <c r="P56" t="s">
        <v>383</v>
      </c>
      <c r="R56" s="34" t="str">
        <f>IF(Tabella4[[#This Row],[Componente]]="Documenti",_xlfn.XLOOKUP(Tabella4[[#This Row],[URL]],Tabella27[URL],Tabella27[PDF ID],,0),_xlfn.XLOOKUP(Tabella4[[#This Row],[URL]],Tabella1[URL],Tabella1[Page ID],,0))</f>
        <v>#2</v>
      </c>
      <c r="S56" s="34" t="s">
        <v>1004</v>
      </c>
      <c r="T56" s="34" t="s">
        <v>518</v>
      </c>
      <c r="V56" t="s">
        <v>519</v>
      </c>
      <c r="W56" s="34" t="s">
        <v>1068</v>
      </c>
      <c r="X56" s="34" t="str">
        <f>IFERROR(IF(Tabella4[[#This Row],[Tool]]="lighthouse",Tabella4[[#This Row],[Detail]],MID(Tabella4[[#This Row],[Detail]],1,FIND("&gt;",Tabella4[[#This Row],[Detail]]))),Tabella4[[#This Row],[Detail]])</f>
        <v>&lt;div class="panel-heading" role="tab" tabindex="0" id="heading-rcaposteguidaresicurilinear-item-0"&gt;</v>
      </c>
      <c r="Y56" s="34" t="str">
        <f>SUBSTITUTE(IF(Tabella4[[#This Row],[Tool]]="axe-core",MID(Tabella4[[#This Row],[Rejected Element]],3,LEN(Tabella4[[#This Row],[Rejected Element]])-4),Tabella4[[#This Row],[Rejected Element]]),"\","")</f>
        <v>#heading-rcaposteguidaresicurilinear-item-0</v>
      </c>
      <c r="Z56" s="34">
        <f>COUNTIFS(Tabella4[Detail univoco],Tabella4[[#This Row],[Detail univoco]],Tabella4[Rejected Element Univoco],Tabella4[[#This Row],[Rejected Element Univoco]],Tabella4[ItemsNodeLabel],Tabella4[[#This Row],[ItemsNodeLabel]])</f>
        <v>0</v>
      </c>
      <c r="AA56" s="34" t="str">
        <f>IF(Tabella4[[#This Row],[Componente]]="Documenti",VLOOKUP(Tabella4[[#This Row],[URL]],Tabella27[[URL]:[Servizio]],4,FALSE),VLOOKUP(Tabella4[[#This Row],[Page ID]],Tabella1[[Page ID]:[Servizio]],4,FALSE))</f>
        <v>S003 Assistenza</v>
      </c>
      <c r="AB56" s="34"/>
      <c r="AC56" s="34" t="str">
        <f>Tabella4[[#This Row],[User Impact]]</f>
        <v>2 - Serious</v>
      </c>
      <c r="AD56" s="34" t="str">
        <f>Copertina!C$2&amp;" - "&amp;Tabella4[[#This Row],[UNI CEI EN 301549]]&amp;" "&amp;VLOOKUP(Tabella4[[#This Row],[Criterio]],Tabella5[[ID]:[Criterio di successo]],2,FALSE)&amp;" - "&amp;Tabella4[[#This Row],[Servizio]]&amp;":"</f>
        <v>Insurance Brocker - 9.2.5.8 Dimensione dell'obiettivo (minimo) - S003 Assistenza:</v>
      </c>
      <c r="AE5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(#TM0017)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id="heading-rcaposteguidaresicurilinear-item-0"&gt; con selettore: 
["#heading-rcaposteguidaresicurilinear-item-0"]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56" t="e">
        <f>_xlfn.XLOOKUP(Tabella4[[#This Row],[ID Silk]],outTable[ID Silk],outTable[Numero ticket  ],,0,1)</f>
        <v>#N/A</v>
      </c>
    </row>
    <row r="57" spans="1:32">
      <c r="A57" s="34" t="str">
        <f>MID(Tabella4[[#This Row],[Servizio]],1,4)&amp;Tabella4[[#This Row],[UNI CEI EN 301549]]</f>
        <v>S0039.2.5.8</v>
      </c>
      <c r="B57" s="34" t="str">
        <f>Tabella4[[#This Row],[ID Silk]]&amp;"_1"</f>
        <v>S0039.2.5.8_1</v>
      </c>
      <c r="C57" s="34" t="s">
        <v>798</v>
      </c>
      <c r="D57" s="2" t="str">
        <f>"(#"&amp;Tabella4[[#This Row],['#ID]]&amp;")"</f>
        <v>(#TM0018)</v>
      </c>
      <c r="E57" s="34" t="str">
        <f>IF(MID(Tabella4[[#This Row],['#ID]],1,1)="M","Mobile",IF(MID(Tabella4[[#This Row],['#ID]],1,1)="D","Desktop",IF(MID(Tabella4[[#This Row],['#ID]],1,2)="TM","Manuale","Documenti")))</f>
        <v>Manuale</v>
      </c>
      <c r="F57" s="34" t="s">
        <v>1006</v>
      </c>
      <c r="G57" s="34" t="s">
        <v>372</v>
      </c>
      <c r="H57" s="34" t="str">
        <f>IF(Tabella4[[#This Row],[Componente]]="Documenti","10.","9.")&amp;Tabella4[[#This Row],[Criterio]]</f>
        <v>9.2.5.8</v>
      </c>
      <c r="I57" s="34" t="s">
        <v>1023</v>
      </c>
      <c r="J57" s="34" t="s">
        <v>1032</v>
      </c>
      <c r="K57" s="34" t="s">
        <v>1033</v>
      </c>
      <c r="L57" s="34" t="s">
        <v>1034</v>
      </c>
      <c r="M57" s="34" t="s">
        <v>1035</v>
      </c>
      <c r="N57" t="s">
        <v>520</v>
      </c>
      <c r="O57" t="s">
        <v>522</v>
      </c>
      <c r="P57" t="s">
        <v>383</v>
      </c>
      <c r="R57" s="34" t="str">
        <f>IF(Tabella4[[#This Row],[Componente]]="Documenti",_xlfn.XLOOKUP(Tabella4[[#This Row],[URL]],Tabella27[URL],Tabella27[PDF ID],,0),_xlfn.XLOOKUP(Tabella4[[#This Row],[URL]],Tabella1[URL],Tabella1[Page ID],,0))</f>
        <v>#2</v>
      </c>
      <c r="S57" s="34" t="s">
        <v>1004</v>
      </c>
      <c r="T57" s="34" t="s">
        <v>518</v>
      </c>
      <c r="V57" t="s">
        <v>521</v>
      </c>
      <c r="W57" s="34" t="s">
        <v>1068</v>
      </c>
      <c r="X57"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href="#rcaposteguidaresicurilinear-item-0" aria-expanded="false" aria-controls="rcaposteguidaresicurilinear-item-0" title="Dal 02/07/2025"&gt;</v>
      </c>
      <c r="Y57" s="34" t="str">
        <f>SUBSTITUTE(IF(Tabella4[[#This Row],[Tool]]="axe-core",MID(Tabella4[[#This Row],[Rejected Element]],3,LEN(Tabella4[[#This Row],[Rejected Element]])-4),Tabella4[[#This Row],[Rejected Element]]),"\","")</f>
        <v>#heading-rcaposteguidaresicurilinear-item-0 &gt; .panel-title &gt; .accordion-toggle[title="Dal 02/07/2025"][role="button"]</v>
      </c>
      <c r="Z57" s="34">
        <f>COUNTIFS(Tabella4[Detail univoco],Tabella4[[#This Row],[Detail univoco]],Tabella4[Rejected Element Univoco],Tabella4[[#This Row],[Rejected Element Univoco]],Tabella4[ItemsNodeLabel],Tabella4[[#This Row],[ItemsNodeLabel]])</f>
        <v>0</v>
      </c>
      <c r="AA57" s="34" t="str">
        <f>IF(Tabella4[[#This Row],[Componente]]="Documenti",VLOOKUP(Tabella4[[#This Row],[URL]],Tabella27[[URL]:[Servizio]],4,FALSE),VLOOKUP(Tabella4[[#This Row],[Page ID]],Tabella1[[Page ID]:[Servizio]],4,FALSE))</f>
        <v>S003 Assistenza</v>
      </c>
      <c r="AB57" s="34"/>
      <c r="AC57" s="34" t="str">
        <f>Tabella4[[#This Row],[User Impact]]</f>
        <v>2 - Serious</v>
      </c>
      <c r="AD57" s="34" t="str">
        <f>Copertina!C$2&amp;" - "&amp;Tabella4[[#This Row],[UNI CEI EN 301549]]&amp;" "&amp;VLOOKUP(Tabella4[[#This Row],[Criterio]],Tabella5[[ID]:[Criterio di successo]],2,FALSE)&amp;" - "&amp;Tabella4[[#This Row],[Servizio]]&amp;":"</f>
        <v>Insurance Brocker - 9.2.5.8 Dimensione dell'obiettivo (minimo) - S003 Assistenza:</v>
      </c>
      <c r="AE5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(#TM0018)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href="#rcaposteguidaresicurilinear-item-0" aria-expanded="false" aria-controls="rcaposteguidaresicurilinear-item-0" title="Dal 02/07/2025"&gt;Dal 02/07/2025&lt;/a&gt; con selettore: 
["#heading-rcaposteguidaresicurilinear-item-0 &gt; .panel-title &gt; .accordion-toggle[title=\"Dal 02/07/2025\"][role=\"button\"]"]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57" t="e">
        <f>_xlfn.XLOOKUP(Tabella4[[#This Row],[ID Silk]],outTable[ID Silk],outTable[Numero ticket  ],,0,1)</f>
        <v>#N/A</v>
      </c>
    </row>
    <row r="58" spans="1:32">
      <c r="A58" s="34" t="str">
        <f>MID(Tabella4[[#This Row],[Servizio]],1,4)&amp;Tabella4[[#This Row],[UNI CEI EN 301549]]</f>
        <v>S0039.2.5.8</v>
      </c>
      <c r="B58" s="34" t="str">
        <f>Tabella4[[#This Row],[ID Silk]]&amp;"_1"</f>
        <v>S0039.2.5.8_1</v>
      </c>
      <c r="C58" s="34" t="s">
        <v>799</v>
      </c>
      <c r="D58" s="2" t="str">
        <f>"(#"&amp;Tabella4[[#This Row],['#ID]]&amp;")"</f>
        <v>(#TM0019)</v>
      </c>
      <c r="E58" s="34" t="str">
        <f>IF(MID(Tabella4[[#This Row],['#ID]],1,1)="M","Mobile",IF(MID(Tabella4[[#This Row],['#ID]],1,1)="D","Desktop",IF(MID(Tabella4[[#This Row],['#ID]],1,2)="TM","Manuale","Documenti")))</f>
        <v>Manuale</v>
      </c>
      <c r="F58" s="34" t="s">
        <v>1006</v>
      </c>
      <c r="G58" s="34" t="s">
        <v>372</v>
      </c>
      <c r="H58" s="34" t="str">
        <f>IF(Tabella4[[#This Row],[Componente]]="Documenti","10.","9.")&amp;Tabella4[[#This Row],[Criterio]]</f>
        <v>9.2.5.8</v>
      </c>
      <c r="I58" s="34" t="s">
        <v>1023</v>
      </c>
      <c r="J58" s="34" t="s">
        <v>1032</v>
      </c>
      <c r="K58" s="34" t="s">
        <v>1033</v>
      </c>
      <c r="L58" s="34" t="s">
        <v>1034</v>
      </c>
      <c r="M58" s="34" t="s">
        <v>1035</v>
      </c>
      <c r="N58" t="s">
        <v>494</v>
      </c>
      <c r="O58" t="s">
        <v>495</v>
      </c>
      <c r="P58" t="s">
        <v>383</v>
      </c>
      <c r="R58" s="34" t="str">
        <f>IF(Tabella4[[#This Row],[Componente]]="Documenti",_xlfn.XLOOKUP(Tabella4[[#This Row],[URL]],Tabella27[URL],Tabella27[PDF ID],,0),_xlfn.XLOOKUP(Tabella4[[#This Row],[URL]],Tabella1[URL],Tabella1[Page ID],,0))</f>
        <v>#2</v>
      </c>
      <c r="S58" s="34" t="s">
        <v>1004</v>
      </c>
      <c r="T58" s="34" t="s">
        <v>518</v>
      </c>
      <c r="V58" t="s">
        <v>519</v>
      </c>
      <c r="W58" s="34" t="s">
        <v>1068</v>
      </c>
      <c r="X58" s="34" t="str">
        <f>IFERROR(IF(Tabella4[[#This Row],[Tool]]="lighthouse",Tabella4[[#This Row],[Detail]],MID(Tabella4[[#This Row],[Detail]],1,FIND("&gt;",Tabella4[[#This Row],[Detail]]))),Tabella4[[#This Row],[Detail]])</f>
        <v>&lt;div class="panel-heading" role="tab" tabindex="0" id="heading-rcaposteguidaresicurilinear-item-1"&gt;</v>
      </c>
      <c r="Y58" s="34" t="str">
        <f>SUBSTITUTE(IF(Tabella4[[#This Row],[Tool]]="axe-core",MID(Tabella4[[#This Row],[Rejected Element]],3,LEN(Tabella4[[#This Row],[Rejected Element]])-4),Tabella4[[#This Row],[Rejected Element]]),"\","")</f>
        <v>#heading-rcaposteguidaresicurilinear-item-1</v>
      </c>
      <c r="Z58" s="34">
        <f>COUNTIFS(Tabella4[Detail univoco],Tabella4[[#This Row],[Detail univoco]],Tabella4[Rejected Element Univoco],Tabella4[[#This Row],[Rejected Element Univoco]],Tabella4[ItemsNodeLabel],Tabella4[[#This Row],[ItemsNodeLabel]])</f>
        <v>0</v>
      </c>
      <c r="AA58" s="34" t="str">
        <f>IF(Tabella4[[#This Row],[Componente]]="Documenti",VLOOKUP(Tabella4[[#This Row],[URL]],Tabella27[[URL]:[Servizio]],4,FALSE),VLOOKUP(Tabella4[[#This Row],[Page ID]],Tabella1[[Page ID]:[Servizio]],4,FALSE))</f>
        <v>S003 Assistenza</v>
      </c>
      <c r="AB58" s="34"/>
      <c r="AC58" s="34" t="str">
        <f>Tabella4[[#This Row],[User Impact]]</f>
        <v>2 - Serious</v>
      </c>
      <c r="AD58" s="34" t="str">
        <f>Copertina!C$2&amp;" - "&amp;Tabella4[[#This Row],[UNI CEI EN 301549]]&amp;" "&amp;VLOOKUP(Tabella4[[#This Row],[Criterio]],Tabella5[[ID]:[Criterio di successo]],2,FALSE)&amp;" - "&amp;Tabella4[[#This Row],[Servizio]]&amp;":"</f>
        <v>Insurance Brocker - 9.2.5.8 Dimensione dell'obiettivo (minimo) - S003 Assistenza:</v>
      </c>
      <c r="AE5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(#TM0019)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id="heading-rcaposteguidaresicurilinear-item-1"&gt; con selettore: 
["#heading-rcaposteguidaresicurilinear-item-1"]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58" t="e">
        <f>_xlfn.XLOOKUP(Tabella4[[#This Row],[ID Silk]],outTable[ID Silk],outTable[Numero ticket  ],,0,1)</f>
        <v>#N/A</v>
      </c>
    </row>
    <row r="59" spans="1:32">
      <c r="A59" s="34" t="str">
        <f>MID(Tabella4[[#This Row],[Servizio]],1,4)&amp;Tabella4[[#This Row],[UNI CEI EN 301549]]</f>
        <v>S0039.2.5.8</v>
      </c>
      <c r="B59" s="34" t="str">
        <f>Tabella4[[#This Row],[ID Silk]]&amp;"_1"</f>
        <v>S0039.2.5.8_1</v>
      </c>
      <c r="C59" s="34" t="s">
        <v>800</v>
      </c>
      <c r="D59" s="2" t="str">
        <f>"(#"&amp;Tabella4[[#This Row],['#ID]]&amp;")"</f>
        <v>(#TM0020)</v>
      </c>
      <c r="E59" s="34" t="str">
        <f>IF(MID(Tabella4[[#This Row],['#ID]],1,1)="M","Mobile",IF(MID(Tabella4[[#This Row],['#ID]],1,1)="D","Desktop",IF(MID(Tabella4[[#This Row],['#ID]],1,2)="TM","Manuale","Documenti")))</f>
        <v>Manuale</v>
      </c>
      <c r="F59" s="34" t="s">
        <v>1006</v>
      </c>
      <c r="G59" s="34" t="s">
        <v>372</v>
      </c>
      <c r="H59" s="34" t="str">
        <f>IF(Tabella4[[#This Row],[Componente]]="Documenti","10.","9.")&amp;Tabella4[[#This Row],[Criterio]]</f>
        <v>9.2.5.8</v>
      </c>
      <c r="I59" s="34" t="s">
        <v>1023</v>
      </c>
      <c r="J59" s="34" t="s">
        <v>1032</v>
      </c>
      <c r="K59" s="34" t="s">
        <v>1033</v>
      </c>
      <c r="L59" s="34" t="s">
        <v>1034</v>
      </c>
      <c r="M59" s="34" t="s">
        <v>1035</v>
      </c>
      <c r="N59" t="s">
        <v>523</v>
      </c>
      <c r="O59" t="s">
        <v>524</v>
      </c>
      <c r="P59" t="s">
        <v>383</v>
      </c>
      <c r="R59" s="34" t="str">
        <f>IF(Tabella4[[#This Row],[Componente]]="Documenti",_xlfn.XLOOKUP(Tabella4[[#This Row],[URL]],Tabella27[URL],Tabella27[PDF ID],,0),_xlfn.XLOOKUP(Tabella4[[#This Row],[URL]],Tabella1[URL],Tabella1[Page ID],,0))</f>
        <v>#2</v>
      </c>
      <c r="S59" s="34" t="s">
        <v>1004</v>
      </c>
      <c r="T59" s="34" t="s">
        <v>518</v>
      </c>
      <c r="V59" t="s">
        <v>521</v>
      </c>
      <c r="W59" s="34" t="s">
        <v>1068</v>
      </c>
      <c r="X59"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href="#rcaposteguidaresicurilinear-item-1" aria-expanded="false" aria-controls="rcaposteguidaresicurilinear-item-1" title="Dal 23/10/2024 al 01/07/2025"&gt;</v>
      </c>
      <c r="Y59" s="34" t="str">
        <f>SUBSTITUTE(IF(Tabella4[[#This Row],[Tool]]="axe-core",MID(Tabella4[[#This Row],[Rejected Element]],3,LEN(Tabella4[[#This Row],[Rejected Element]])-4),Tabella4[[#This Row],[Rejected Element]]),"\","")</f>
        <v>#heading-rcaposteguidaresicurilinear-item-1 &gt; .panel-title &gt; .accordion-toggle[title="Dal 23/10/2024 al 01/07/2025"][role="button"]</v>
      </c>
      <c r="Z59" s="34">
        <f>COUNTIFS(Tabella4[Detail univoco],Tabella4[[#This Row],[Detail univoco]],Tabella4[Rejected Element Univoco],Tabella4[[#This Row],[Rejected Element Univoco]],Tabella4[ItemsNodeLabel],Tabella4[[#This Row],[ItemsNodeLabel]])</f>
        <v>0</v>
      </c>
      <c r="AA59" s="34" t="str">
        <f>IF(Tabella4[[#This Row],[Componente]]="Documenti",VLOOKUP(Tabella4[[#This Row],[URL]],Tabella27[[URL]:[Servizio]],4,FALSE),VLOOKUP(Tabella4[[#This Row],[Page ID]],Tabella1[[Page ID]:[Servizio]],4,FALSE))</f>
        <v>S003 Assistenza</v>
      </c>
      <c r="AB59" s="34"/>
      <c r="AC59" s="34" t="str">
        <f>Tabella4[[#This Row],[User Impact]]</f>
        <v>2 - Serious</v>
      </c>
      <c r="AD59" s="34" t="str">
        <f>Copertina!C$2&amp;" - "&amp;Tabella4[[#This Row],[UNI CEI EN 301549]]&amp;" "&amp;VLOOKUP(Tabella4[[#This Row],[Criterio]],Tabella5[[ID]:[Criterio di successo]],2,FALSE)&amp;" - "&amp;Tabella4[[#This Row],[Servizio]]&amp;":"</f>
        <v>Insurance Brocker - 9.2.5.8 Dimensione dell'obiettivo (minimo) - S003 Assistenza:</v>
      </c>
      <c r="AE5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(#TM0020)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href="#rcaposteguidaresicurilinear-item-1" aria-expanded="false" aria-controls="rcaposteguidaresicurilinear-item-1" title="Dal 23/10/2024 al 01/07/2025"&gt; con selettore: 
["#heading-rcaposteguidaresicurilinear-item-1 &gt; .panel-title &gt; .accordion-toggle[title=\"Dal 23/10/2024 al 01/07/2025\"][role=\"button\"]"]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59" t="e">
        <f>_xlfn.XLOOKUP(Tabella4[[#This Row],[ID Silk]],outTable[ID Silk],outTable[Numero ticket  ],,0,1)</f>
        <v>#N/A</v>
      </c>
    </row>
    <row r="60" spans="1:32">
      <c r="A60" s="34" t="str">
        <f>MID(Tabella4[[#This Row],[Servizio]],1,4)&amp;Tabella4[[#This Row],[UNI CEI EN 301549]]</f>
        <v>S0039.2.5.8</v>
      </c>
      <c r="B60" s="34" t="str">
        <f>Tabella4[[#This Row],[ID Silk]]&amp;"_1"</f>
        <v>S0039.2.5.8_1</v>
      </c>
      <c r="C60" s="34" t="s">
        <v>801</v>
      </c>
      <c r="D60" s="2" t="str">
        <f>"(#"&amp;Tabella4[[#This Row],['#ID]]&amp;")"</f>
        <v>(#TM0021)</v>
      </c>
      <c r="E60" s="34" t="str">
        <f>IF(MID(Tabella4[[#This Row],['#ID]],1,1)="M","Mobile",IF(MID(Tabella4[[#This Row],['#ID]],1,1)="D","Desktop",IF(MID(Tabella4[[#This Row],['#ID]],1,2)="TM","Manuale","Documenti")))</f>
        <v>Manuale</v>
      </c>
      <c r="F60" s="34" t="s">
        <v>1006</v>
      </c>
      <c r="G60" s="34" t="s">
        <v>372</v>
      </c>
      <c r="H60" s="34" t="str">
        <f>IF(Tabella4[[#This Row],[Componente]]="Documenti","10.","9.")&amp;Tabella4[[#This Row],[Criterio]]</f>
        <v>9.2.5.8</v>
      </c>
      <c r="I60" s="34" t="s">
        <v>1023</v>
      </c>
      <c r="J60" s="34" t="s">
        <v>1032</v>
      </c>
      <c r="K60" s="34" t="s">
        <v>1033</v>
      </c>
      <c r="L60" s="34" t="s">
        <v>1034</v>
      </c>
      <c r="M60" s="34" t="s">
        <v>1035</v>
      </c>
      <c r="N60" t="s">
        <v>496</v>
      </c>
      <c r="O60" t="s">
        <v>497</v>
      </c>
      <c r="P60" t="s">
        <v>383</v>
      </c>
      <c r="R60" s="34" t="str">
        <f>IF(Tabella4[[#This Row],[Componente]]="Documenti",_xlfn.XLOOKUP(Tabella4[[#This Row],[URL]],Tabella27[URL],Tabella27[PDF ID],,0),_xlfn.XLOOKUP(Tabella4[[#This Row],[URL]],Tabella1[URL],Tabella1[Page ID],,0))</f>
        <v>#2</v>
      </c>
      <c r="S60" s="34" t="s">
        <v>1004</v>
      </c>
      <c r="T60" s="34" t="s">
        <v>518</v>
      </c>
      <c r="V60" t="s">
        <v>519</v>
      </c>
      <c r="W60" s="34" t="s">
        <v>1068</v>
      </c>
      <c r="X60" s="34" t="str">
        <f>IFERROR(IF(Tabella4[[#This Row],[Tool]]="lighthouse",Tabella4[[#This Row],[Detail]],MID(Tabella4[[#This Row],[Detail]],1,FIND("&gt;",Tabella4[[#This Row],[Detail]]))),Tabella4[[#This Row],[Detail]])</f>
        <v>&lt;div class="panel-heading" role="tab" tabindex="0" id="heading-rcaposteguidaresicurilinear-item-2"&gt;</v>
      </c>
      <c r="Y60" s="34" t="str">
        <f>SUBSTITUTE(IF(Tabella4[[#This Row],[Tool]]="axe-core",MID(Tabella4[[#This Row],[Rejected Element]],3,LEN(Tabella4[[#This Row],[Rejected Element]])-4),Tabella4[[#This Row],[Rejected Element]]),"\","")</f>
        <v>#heading-rcaposteguidaresicurilinear-item-2</v>
      </c>
      <c r="Z60" s="34">
        <f>COUNTIFS(Tabella4[Detail univoco],Tabella4[[#This Row],[Detail univoco]],Tabella4[Rejected Element Univoco],Tabella4[[#This Row],[Rejected Element Univoco]],Tabella4[ItemsNodeLabel],Tabella4[[#This Row],[ItemsNodeLabel]])</f>
        <v>0</v>
      </c>
      <c r="AA60" s="34" t="str">
        <f>IF(Tabella4[[#This Row],[Componente]]="Documenti",VLOOKUP(Tabella4[[#This Row],[URL]],Tabella27[[URL]:[Servizio]],4,FALSE),VLOOKUP(Tabella4[[#This Row],[Page ID]],Tabella1[[Page ID]:[Servizio]],4,FALSE))</f>
        <v>S003 Assistenza</v>
      </c>
      <c r="AB60" s="34"/>
      <c r="AC60" s="34" t="str">
        <f>Tabella4[[#This Row],[User Impact]]</f>
        <v>2 - Serious</v>
      </c>
      <c r="AD60" s="34" t="str">
        <f>Copertina!C$2&amp;" - "&amp;Tabella4[[#This Row],[UNI CEI EN 301549]]&amp;" "&amp;VLOOKUP(Tabella4[[#This Row],[Criterio]],Tabella5[[ID]:[Criterio di successo]],2,FALSE)&amp;" - "&amp;Tabella4[[#This Row],[Servizio]]&amp;":"</f>
        <v>Insurance Brocker - 9.2.5.8 Dimensione dell'obiettivo (minimo) - S003 Assistenza:</v>
      </c>
      <c r="AE6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(#TM0021)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id="heading-rcaposteguidaresicurilinear-item-2"&gt; con selettore: 
["#heading-rcaposteguidaresicurilinear-item-2"]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60" t="e">
        <f>_xlfn.XLOOKUP(Tabella4[[#This Row],[ID Silk]],outTable[ID Silk],outTable[Numero ticket  ],,0,1)</f>
        <v>#N/A</v>
      </c>
    </row>
    <row r="61" spans="1:32">
      <c r="A61" s="34" t="str">
        <f>MID(Tabella4[[#This Row],[Servizio]],1,4)&amp;Tabella4[[#This Row],[UNI CEI EN 301549]]</f>
        <v>S0039.2.5.8</v>
      </c>
      <c r="B61" s="34" t="str">
        <f>Tabella4[[#This Row],[ID Silk]]&amp;"_1"</f>
        <v>S0039.2.5.8_1</v>
      </c>
      <c r="C61" s="34" t="s">
        <v>802</v>
      </c>
      <c r="D61" s="2" t="str">
        <f>"(#"&amp;Tabella4[[#This Row],['#ID]]&amp;")"</f>
        <v>(#TM0022)</v>
      </c>
      <c r="E61" s="34" t="str">
        <f>IF(MID(Tabella4[[#This Row],['#ID]],1,1)="M","Mobile",IF(MID(Tabella4[[#This Row],['#ID]],1,1)="D","Desktop",IF(MID(Tabella4[[#This Row],['#ID]],1,2)="TM","Manuale","Documenti")))</f>
        <v>Manuale</v>
      </c>
      <c r="F61" s="34" t="s">
        <v>1006</v>
      </c>
      <c r="G61" s="34" t="s">
        <v>372</v>
      </c>
      <c r="H61" s="34" t="str">
        <f>IF(Tabella4[[#This Row],[Componente]]="Documenti","10.","9.")&amp;Tabella4[[#This Row],[Criterio]]</f>
        <v>9.2.5.8</v>
      </c>
      <c r="I61" s="34" t="s">
        <v>1023</v>
      </c>
      <c r="J61" s="34" t="s">
        <v>1032</v>
      </c>
      <c r="K61" s="34" t="s">
        <v>1033</v>
      </c>
      <c r="L61" s="34" t="s">
        <v>1034</v>
      </c>
      <c r="M61" s="34" t="s">
        <v>1035</v>
      </c>
      <c r="N61" t="s">
        <v>525</v>
      </c>
      <c r="O61" t="s">
        <v>526</v>
      </c>
      <c r="P61" t="s">
        <v>383</v>
      </c>
      <c r="R61" s="34" t="str">
        <f>IF(Tabella4[[#This Row],[Componente]]="Documenti",_xlfn.XLOOKUP(Tabella4[[#This Row],[URL]],Tabella27[URL],Tabella27[PDF ID],,0),_xlfn.XLOOKUP(Tabella4[[#This Row],[URL]],Tabella1[URL],Tabella1[Page ID],,0))</f>
        <v>#2</v>
      </c>
      <c r="S61" s="34" t="s">
        <v>1004</v>
      </c>
      <c r="T61" s="34" t="s">
        <v>518</v>
      </c>
      <c r="V61" t="s">
        <v>521</v>
      </c>
      <c r="W61" s="34" t="s">
        <v>1068</v>
      </c>
      <c r="X61"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href="#rcaposteguidaresicurilinear-item-2" aria-expanded="false" aria-controls="rcaposteguidaresicurilinear-item-2" title="Dal 23/10/2024 al 03/02/2025"&gt;</v>
      </c>
      <c r="Y61" s="34" t="str">
        <f>SUBSTITUTE(IF(Tabella4[[#This Row],[Tool]]="axe-core",MID(Tabella4[[#This Row],[Rejected Element]],3,LEN(Tabella4[[#This Row],[Rejected Element]])-4),Tabella4[[#This Row],[Rejected Element]]),"\","")</f>
        <v>#heading-rcaposteguidaresicurilinear-item-2 &gt; .panel-title &gt; .accordion-toggle[title="Dal 23/10/2024 al 03/02/2025"][role="button"]</v>
      </c>
      <c r="Z61" s="34">
        <f>COUNTIFS(Tabella4[Detail univoco],Tabella4[[#This Row],[Detail univoco]],Tabella4[Rejected Element Univoco],Tabella4[[#This Row],[Rejected Element Univoco]],Tabella4[ItemsNodeLabel],Tabella4[[#This Row],[ItemsNodeLabel]])</f>
        <v>0</v>
      </c>
      <c r="AA61" s="34" t="str">
        <f>IF(Tabella4[[#This Row],[Componente]]="Documenti",VLOOKUP(Tabella4[[#This Row],[URL]],Tabella27[[URL]:[Servizio]],4,FALSE),VLOOKUP(Tabella4[[#This Row],[Page ID]],Tabella1[[Page ID]:[Servizio]],4,FALSE))</f>
        <v>S003 Assistenza</v>
      </c>
      <c r="AB61" s="34"/>
      <c r="AC61" s="34" t="str">
        <f>Tabella4[[#This Row],[User Impact]]</f>
        <v>2 - Serious</v>
      </c>
      <c r="AD61" s="34" t="str">
        <f>Copertina!C$2&amp;" - "&amp;Tabella4[[#This Row],[UNI CEI EN 301549]]&amp;" "&amp;VLOOKUP(Tabella4[[#This Row],[Criterio]],Tabella5[[ID]:[Criterio di successo]],2,FALSE)&amp;" - "&amp;Tabella4[[#This Row],[Servizio]]&amp;":"</f>
        <v>Insurance Brocker - 9.2.5.8 Dimensione dell'obiettivo (minimo) - S003 Assistenza:</v>
      </c>
      <c r="AE6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(#TM0022)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href="#rcaposteguidaresicurilinear-item-2" aria-expanded="false" aria-controls="rcaposteguidaresicurilinear-item-2" title="Dal 23/10/2024 al 03/02/2025"&gt; con selettore: 
["#heading-rcaposteguidaresicurilinear-item-2 &gt; .panel-title &gt; .accordion-toggle[title=\"Dal 23/10/2024 al 03/02/2025\"][role=\"button\"]"]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61" t="e">
        <f>_xlfn.XLOOKUP(Tabella4[[#This Row],[ID Silk]],outTable[ID Silk],outTable[Numero ticket  ],,0,1)</f>
        <v>#N/A</v>
      </c>
    </row>
    <row r="62" spans="1:32">
      <c r="A62" s="34" t="str">
        <f>MID(Tabella4[[#This Row],[Servizio]],1,4)&amp;Tabella4[[#This Row],[UNI CEI EN 301549]]</f>
        <v>S0039.2.5.8</v>
      </c>
      <c r="B62" s="34" t="str">
        <f>Tabella4[[#This Row],[ID Silk]]&amp;"_1"</f>
        <v>S0039.2.5.8_1</v>
      </c>
      <c r="C62" s="34" t="s">
        <v>803</v>
      </c>
      <c r="D62" s="2" t="str">
        <f>"(#"&amp;Tabella4[[#This Row],['#ID]]&amp;")"</f>
        <v>(#TM0023)</v>
      </c>
      <c r="E62" s="34" t="str">
        <f>IF(MID(Tabella4[[#This Row],['#ID]],1,1)="M","Mobile",IF(MID(Tabella4[[#This Row],['#ID]],1,1)="D","Desktop",IF(MID(Tabella4[[#This Row],['#ID]],1,2)="TM","Manuale","Documenti")))</f>
        <v>Manuale</v>
      </c>
      <c r="F62" s="34" t="s">
        <v>1006</v>
      </c>
      <c r="G62" s="34" t="s">
        <v>372</v>
      </c>
      <c r="H62" s="34" t="str">
        <f>IF(Tabella4[[#This Row],[Componente]]="Documenti","10.","9.")&amp;Tabella4[[#This Row],[Criterio]]</f>
        <v>9.2.5.8</v>
      </c>
      <c r="I62" s="34" t="s">
        <v>1023</v>
      </c>
      <c r="J62" s="34" t="s">
        <v>1032</v>
      </c>
      <c r="K62" s="34" t="s">
        <v>1033</v>
      </c>
      <c r="L62" s="34" t="s">
        <v>1034</v>
      </c>
      <c r="M62" s="34" t="s">
        <v>1035</v>
      </c>
      <c r="N62" t="s">
        <v>498</v>
      </c>
      <c r="O62" t="s">
        <v>499</v>
      </c>
      <c r="P62" t="s">
        <v>383</v>
      </c>
      <c r="R62" s="34" t="str">
        <f>IF(Tabella4[[#This Row],[Componente]]="Documenti",_xlfn.XLOOKUP(Tabella4[[#This Row],[URL]],Tabella27[URL],Tabella27[PDF ID],,0),_xlfn.XLOOKUP(Tabella4[[#This Row],[URL]],Tabella1[URL],Tabella1[Page ID],,0))</f>
        <v>#2</v>
      </c>
      <c r="S62" s="34" t="s">
        <v>1004</v>
      </c>
      <c r="T62" s="34" t="s">
        <v>518</v>
      </c>
      <c r="V62" t="s">
        <v>519</v>
      </c>
      <c r="W62" s="34" t="s">
        <v>1068</v>
      </c>
      <c r="X62" s="34" t="str">
        <f>IFERROR(IF(Tabella4[[#This Row],[Tool]]="lighthouse",Tabella4[[#This Row],[Detail]],MID(Tabella4[[#This Row],[Detail]],1,FIND("&gt;",Tabella4[[#This Row],[Detail]]))),Tabella4[[#This Row],[Detail]])</f>
        <v>&lt;div class="panel-heading" role="tab" tabindex="0" id="heading-rcaposteguidaresicurilinear-item-3"&gt;</v>
      </c>
      <c r="Y62" s="34" t="str">
        <f>SUBSTITUTE(IF(Tabella4[[#This Row],[Tool]]="axe-core",MID(Tabella4[[#This Row],[Rejected Element]],3,LEN(Tabella4[[#This Row],[Rejected Element]])-4),Tabella4[[#This Row],[Rejected Element]]),"\","")</f>
        <v>#heading-rcaposteguidaresicurilinear-item-3</v>
      </c>
      <c r="Z62" s="34">
        <f>COUNTIFS(Tabella4[Detail univoco],Tabella4[[#This Row],[Detail univoco]],Tabella4[Rejected Element Univoco],Tabella4[[#This Row],[Rejected Element Univoco]],Tabella4[ItemsNodeLabel],Tabella4[[#This Row],[ItemsNodeLabel]])</f>
        <v>0</v>
      </c>
      <c r="AA62" s="34" t="str">
        <f>IF(Tabella4[[#This Row],[Componente]]="Documenti",VLOOKUP(Tabella4[[#This Row],[URL]],Tabella27[[URL]:[Servizio]],4,FALSE),VLOOKUP(Tabella4[[#This Row],[Page ID]],Tabella1[[Page ID]:[Servizio]],4,FALSE))</f>
        <v>S003 Assistenza</v>
      </c>
      <c r="AB62" s="34"/>
      <c r="AC62" s="34" t="str">
        <f>Tabella4[[#This Row],[User Impact]]</f>
        <v>2 - Serious</v>
      </c>
      <c r="AD62" s="34" t="str">
        <f>Copertina!C$2&amp;" - "&amp;Tabella4[[#This Row],[UNI CEI EN 301549]]&amp;" "&amp;VLOOKUP(Tabella4[[#This Row],[Criterio]],Tabella5[[ID]:[Criterio di successo]],2,FALSE)&amp;" - "&amp;Tabella4[[#This Row],[Servizio]]&amp;":"</f>
        <v>Insurance Brocker - 9.2.5.8 Dimensione dell'obiettivo (minimo) - S003 Assistenza:</v>
      </c>
      <c r="AE6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(#TM0023)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id="heading-rcaposteguidaresicurilinear-item-3"&gt; con selettore: 
["#heading-rcaposteguidaresicurilinear-item-3"]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62" t="e">
        <f>_xlfn.XLOOKUP(Tabella4[[#This Row],[ID Silk]],outTable[ID Silk],outTable[Numero ticket  ],,0,1)</f>
        <v>#N/A</v>
      </c>
    </row>
    <row r="63" spans="1:32">
      <c r="A63" s="34" t="str">
        <f>MID(Tabella4[[#This Row],[Servizio]],1,4)&amp;Tabella4[[#This Row],[UNI CEI EN 301549]]</f>
        <v>S0039.2.5.8</v>
      </c>
      <c r="B63" s="34" t="str">
        <f>Tabella4[[#This Row],[ID Silk]]&amp;"_1"</f>
        <v>S0039.2.5.8_1</v>
      </c>
      <c r="C63" s="34" t="s">
        <v>804</v>
      </c>
      <c r="D63" s="2" t="str">
        <f>"(#"&amp;Tabella4[[#This Row],['#ID]]&amp;")"</f>
        <v>(#TM0024)</v>
      </c>
      <c r="E63" s="34" t="str">
        <f>IF(MID(Tabella4[[#This Row],['#ID]],1,1)="M","Mobile",IF(MID(Tabella4[[#This Row],['#ID]],1,1)="D","Desktop",IF(MID(Tabella4[[#This Row],['#ID]],1,2)="TM","Manuale","Documenti")))</f>
        <v>Manuale</v>
      </c>
      <c r="F63" s="34" t="s">
        <v>1006</v>
      </c>
      <c r="G63" s="34" t="s">
        <v>372</v>
      </c>
      <c r="H63" s="34" t="str">
        <f>IF(Tabella4[[#This Row],[Componente]]="Documenti","10.","9.")&amp;Tabella4[[#This Row],[Criterio]]</f>
        <v>9.2.5.8</v>
      </c>
      <c r="I63" s="34" t="s">
        <v>1023</v>
      </c>
      <c r="J63" s="34" t="s">
        <v>1032</v>
      </c>
      <c r="K63" s="34" t="s">
        <v>1033</v>
      </c>
      <c r="L63" s="34" t="s">
        <v>1034</v>
      </c>
      <c r="M63" s="34" t="s">
        <v>1035</v>
      </c>
      <c r="N63" t="s">
        <v>527</v>
      </c>
      <c r="O63" t="s">
        <v>528</v>
      </c>
      <c r="P63" t="s">
        <v>383</v>
      </c>
      <c r="R63" s="34" t="str">
        <f>IF(Tabella4[[#This Row],[Componente]]="Documenti",_xlfn.XLOOKUP(Tabella4[[#This Row],[URL]],Tabella27[URL],Tabella27[PDF ID],,0),_xlfn.XLOOKUP(Tabella4[[#This Row],[URL]],Tabella1[URL],Tabella1[Page ID],,0))</f>
        <v>#2</v>
      </c>
      <c r="S63" s="34" t="s">
        <v>1004</v>
      </c>
      <c r="T63" s="34" t="s">
        <v>518</v>
      </c>
      <c r="V63" t="s">
        <v>521</v>
      </c>
      <c r="W63" s="34" t="s">
        <v>1068</v>
      </c>
      <c r="X63"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href="#rcaposteguidaresicurilinear-item-3" aria-expanded="false" aria-controls="rcaposteguidaresicurilinear-item-3" title="Dal 15/11/2023 al 22/10/2024"&gt;</v>
      </c>
      <c r="Y63" s="34" t="str">
        <f>SUBSTITUTE(IF(Tabella4[[#This Row],[Tool]]="axe-core",MID(Tabella4[[#This Row],[Rejected Element]],3,LEN(Tabella4[[#This Row],[Rejected Element]])-4),Tabella4[[#This Row],[Rejected Element]]),"\","")</f>
        <v>#heading-rcaposteguidaresicurilinear-item-3 &gt; .panel-title &gt; .accordion-toggle[title="Dal 15/11/2023 al 22/10/2024"][role="button"]</v>
      </c>
      <c r="Z63" s="34">
        <f>COUNTIFS(Tabella4[Detail univoco],Tabella4[[#This Row],[Detail univoco]],Tabella4[Rejected Element Univoco],Tabella4[[#This Row],[Rejected Element Univoco]],Tabella4[ItemsNodeLabel],Tabella4[[#This Row],[ItemsNodeLabel]])</f>
        <v>0</v>
      </c>
      <c r="AA63" s="34" t="str">
        <f>IF(Tabella4[[#This Row],[Componente]]="Documenti",VLOOKUP(Tabella4[[#This Row],[URL]],Tabella27[[URL]:[Servizio]],4,FALSE),VLOOKUP(Tabella4[[#This Row],[Page ID]],Tabella1[[Page ID]:[Servizio]],4,FALSE))</f>
        <v>S003 Assistenza</v>
      </c>
      <c r="AB63" s="34"/>
      <c r="AC63" s="34" t="str">
        <f>Tabella4[[#This Row],[User Impact]]</f>
        <v>2 - Serious</v>
      </c>
      <c r="AD63" s="34" t="str">
        <f>Copertina!C$2&amp;" - "&amp;Tabella4[[#This Row],[UNI CEI EN 301549]]&amp;" "&amp;VLOOKUP(Tabella4[[#This Row],[Criterio]],Tabella5[[ID]:[Criterio di successo]],2,FALSE)&amp;" - "&amp;Tabella4[[#This Row],[Servizio]]&amp;":"</f>
        <v>Insurance Brocker - 9.2.5.8 Dimensione dell'obiettivo (minimo) - S003 Assistenza:</v>
      </c>
      <c r="AE6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(#TM0024)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href="#rcaposteguidaresicurilinear-item-3" aria-expanded="false" aria-controls="rcaposteguidaresicurilinear-item-3" title="Dal 15/11/2023 al 22/10/2024"&gt; con selettore: 
["#heading-rcaposteguidaresicurilinear-item-3 &gt; .panel-title &gt; .accordion-toggle[title=\"Dal 15/11/2023 al 22/10/2024\"][role=\"button\"]"]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63" t="e">
        <f>_xlfn.XLOOKUP(Tabella4[[#This Row],[ID Silk]],outTable[ID Silk],outTable[Numero ticket  ],,0,1)</f>
        <v>#N/A</v>
      </c>
    </row>
    <row r="64" spans="1:32">
      <c r="A64" s="34" t="str">
        <f>MID(Tabella4[[#This Row],[Servizio]],1,4)&amp;Tabella4[[#This Row],[UNI CEI EN 301549]]</f>
        <v>S0039.2.5.8</v>
      </c>
      <c r="B64" s="34" t="str">
        <f>Tabella4[[#This Row],[ID Silk]]&amp;"_1"</f>
        <v>S0039.2.5.8_1</v>
      </c>
      <c r="C64" s="34" t="s">
        <v>805</v>
      </c>
      <c r="D64" s="2" t="str">
        <f>"(#"&amp;Tabella4[[#This Row],['#ID]]&amp;")"</f>
        <v>(#TM0025)</v>
      </c>
      <c r="E64" s="34" t="str">
        <f>IF(MID(Tabella4[[#This Row],['#ID]],1,1)="M","Mobile",IF(MID(Tabella4[[#This Row],['#ID]],1,1)="D","Desktop",IF(MID(Tabella4[[#This Row],['#ID]],1,2)="TM","Manuale","Documenti")))</f>
        <v>Manuale</v>
      </c>
      <c r="F64" s="34" t="s">
        <v>1006</v>
      </c>
      <c r="G64" s="34" t="s">
        <v>372</v>
      </c>
      <c r="H64" s="34" t="str">
        <f>IF(Tabella4[[#This Row],[Componente]]="Documenti","10.","9.")&amp;Tabella4[[#This Row],[Criterio]]</f>
        <v>9.2.5.8</v>
      </c>
      <c r="I64" s="34" t="s">
        <v>1023</v>
      </c>
      <c r="J64" s="34" t="s">
        <v>1032</v>
      </c>
      <c r="K64" s="34" t="s">
        <v>1033</v>
      </c>
      <c r="L64" s="34" t="s">
        <v>1034</v>
      </c>
      <c r="M64" s="34" t="s">
        <v>1035</v>
      </c>
      <c r="N64" t="s">
        <v>500</v>
      </c>
      <c r="O64" t="s">
        <v>501</v>
      </c>
      <c r="P64" t="s">
        <v>383</v>
      </c>
      <c r="R64" s="34" t="str">
        <f>IF(Tabella4[[#This Row],[Componente]]="Documenti",_xlfn.XLOOKUP(Tabella4[[#This Row],[URL]],Tabella27[URL],Tabella27[PDF ID],,0),_xlfn.XLOOKUP(Tabella4[[#This Row],[URL]],Tabella1[URL],Tabella1[Page ID],,0))</f>
        <v>#2</v>
      </c>
      <c r="S64" s="34" t="s">
        <v>1004</v>
      </c>
      <c r="T64" s="34" t="s">
        <v>518</v>
      </c>
      <c r="V64" t="s">
        <v>519</v>
      </c>
      <c r="W64" s="34" t="s">
        <v>1068</v>
      </c>
      <c r="X64" s="34" t="str">
        <f>IFERROR(IF(Tabella4[[#This Row],[Tool]]="lighthouse",Tabella4[[#This Row],[Detail]],MID(Tabella4[[#This Row],[Detail]],1,FIND("&gt;",Tabella4[[#This Row],[Detail]]))),Tabella4[[#This Row],[Detail]])</f>
        <v>&lt;div class="panel-heading" role="tab" tabindex="0" id="heading-rcaposteguidaresicurilinear-item-4"&gt;</v>
      </c>
      <c r="Y64" s="34" t="str">
        <f>SUBSTITUTE(IF(Tabella4[[#This Row],[Tool]]="axe-core",MID(Tabella4[[#This Row],[Rejected Element]],3,LEN(Tabella4[[#This Row],[Rejected Element]])-4),Tabella4[[#This Row],[Rejected Element]]),"\","")</f>
        <v>#heading-rcaposteguidaresicurilinear-item-4</v>
      </c>
      <c r="Z64" s="34">
        <f>COUNTIFS(Tabella4[Detail univoco],Tabella4[[#This Row],[Detail univoco]],Tabella4[Rejected Element Univoco],Tabella4[[#This Row],[Rejected Element Univoco]],Tabella4[ItemsNodeLabel],Tabella4[[#This Row],[ItemsNodeLabel]])</f>
        <v>0</v>
      </c>
      <c r="AA64" s="34" t="str">
        <f>IF(Tabella4[[#This Row],[Componente]]="Documenti",VLOOKUP(Tabella4[[#This Row],[URL]],Tabella27[[URL]:[Servizio]],4,FALSE),VLOOKUP(Tabella4[[#This Row],[Page ID]],Tabella1[[Page ID]:[Servizio]],4,FALSE))</f>
        <v>S003 Assistenza</v>
      </c>
      <c r="AB64" s="34"/>
      <c r="AC64" s="34" t="str">
        <f>Tabella4[[#This Row],[User Impact]]</f>
        <v>2 - Serious</v>
      </c>
      <c r="AD64" s="34" t="str">
        <f>Copertina!C$2&amp;" - "&amp;Tabella4[[#This Row],[UNI CEI EN 301549]]&amp;" "&amp;VLOOKUP(Tabella4[[#This Row],[Criterio]],Tabella5[[ID]:[Criterio di successo]],2,FALSE)&amp;" - "&amp;Tabella4[[#This Row],[Servizio]]&amp;":"</f>
        <v>Insurance Brocker - 9.2.5.8 Dimensione dell'obiettivo (minimo) - S003 Assistenza:</v>
      </c>
      <c r="AE6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(#TM0025)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id="heading-rcaposteguidaresicurilinear-item-4"&gt; con selettore: 
["#heading-rcaposteguidaresicurilinear-item-4"]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64" t="e">
        <f>_xlfn.XLOOKUP(Tabella4[[#This Row],[ID Silk]],outTable[ID Silk],outTable[Numero ticket  ],,0,1)</f>
        <v>#N/A</v>
      </c>
    </row>
    <row r="65" spans="1:32">
      <c r="A65" s="34" t="str">
        <f>MID(Tabella4[[#This Row],[Servizio]],1,4)&amp;Tabella4[[#This Row],[UNI CEI EN 301549]]</f>
        <v>S0039.2.5.8</v>
      </c>
      <c r="B65" s="34" t="str">
        <f>Tabella4[[#This Row],[ID Silk]]&amp;"_1"</f>
        <v>S0039.2.5.8_1</v>
      </c>
      <c r="C65" s="34" t="s">
        <v>806</v>
      </c>
      <c r="D65" s="2" t="str">
        <f>"(#"&amp;Tabella4[[#This Row],['#ID]]&amp;")"</f>
        <v>(#TM0026)</v>
      </c>
      <c r="E65" s="34" t="str">
        <f>IF(MID(Tabella4[[#This Row],['#ID]],1,1)="M","Mobile",IF(MID(Tabella4[[#This Row],['#ID]],1,1)="D","Desktop",IF(MID(Tabella4[[#This Row],['#ID]],1,2)="TM","Manuale","Documenti")))</f>
        <v>Manuale</v>
      </c>
      <c r="F65" s="34" t="s">
        <v>1006</v>
      </c>
      <c r="G65" s="34" t="s">
        <v>372</v>
      </c>
      <c r="H65" s="34" t="str">
        <f>IF(Tabella4[[#This Row],[Componente]]="Documenti","10.","9.")&amp;Tabella4[[#This Row],[Criterio]]</f>
        <v>9.2.5.8</v>
      </c>
      <c r="I65" s="34" t="s">
        <v>1023</v>
      </c>
      <c r="J65" s="34" t="s">
        <v>1032</v>
      </c>
      <c r="K65" s="34" t="s">
        <v>1033</v>
      </c>
      <c r="L65" s="34" t="s">
        <v>1034</v>
      </c>
      <c r="M65" s="34" t="s">
        <v>1035</v>
      </c>
      <c r="N65" t="s">
        <v>529</v>
      </c>
      <c r="O65" t="s">
        <v>530</v>
      </c>
      <c r="P65" t="s">
        <v>383</v>
      </c>
      <c r="R65" s="34" t="str">
        <f>IF(Tabella4[[#This Row],[Componente]]="Documenti",_xlfn.XLOOKUP(Tabella4[[#This Row],[URL]],Tabella27[URL],Tabella27[PDF ID],,0),_xlfn.XLOOKUP(Tabella4[[#This Row],[URL]],Tabella1[URL],Tabella1[Page ID],,0))</f>
        <v>#2</v>
      </c>
      <c r="S65" s="34" t="s">
        <v>1004</v>
      </c>
      <c r="T65" s="34" t="s">
        <v>518</v>
      </c>
      <c r="V65" t="s">
        <v>521</v>
      </c>
      <c r="W65" s="34" t="s">
        <v>1068</v>
      </c>
      <c r="X65"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href="#rcaposteguidaresicurilinear-item-4" aria-expanded="false" aria-controls="rcaposteguidaresicurilinear-item-4" title="Dal 27/09/2023 al 14/11/2023"&gt;</v>
      </c>
      <c r="Y65" s="34" t="str">
        <f>SUBSTITUTE(IF(Tabella4[[#This Row],[Tool]]="axe-core",MID(Tabella4[[#This Row],[Rejected Element]],3,LEN(Tabella4[[#This Row],[Rejected Element]])-4),Tabella4[[#This Row],[Rejected Element]]),"\","")</f>
        <v>#heading-rcaposteguidaresicurilinear-item-4 &gt; .panel-title &gt; .accordion-toggle[title="Dal 27/09/2023 al 14/11/2023"][role="button"]</v>
      </c>
      <c r="Z65" s="34">
        <f>COUNTIFS(Tabella4[Detail univoco],Tabella4[[#This Row],[Detail univoco]],Tabella4[Rejected Element Univoco],Tabella4[[#This Row],[Rejected Element Univoco]],Tabella4[ItemsNodeLabel],Tabella4[[#This Row],[ItemsNodeLabel]])</f>
        <v>0</v>
      </c>
      <c r="AA65" s="34" t="str">
        <f>IF(Tabella4[[#This Row],[Componente]]="Documenti",VLOOKUP(Tabella4[[#This Row],[URL]],Tabella27[[URL]:[Servizio]],4,FALSE),VLOOKUP(Tabella4[[#This Row],[Page ID]],Tabella1[[Page ID]:[Servizio]],4,FALSE))</f>
        <v>S003 Assistenza</v>
      </c>
      <c r="AB65" s="34"/>
      <c r="AC65" s="34" t="str">
        <f>Tabella4[[#This Row],[User Impact]]</f>
        <v>2 - Serious</v>
      </c>
      <c r="AD65" s="34" t="str">
        <f>Copertina!C$2&amp;" - "&amp;Tabella4[[#This Row],[UNI CEI EN 301549]]&amp;" "&amp;VLOOKUP(Tabella4[[#This Row],[Criterio]],Tabella5[[ID]:[Criterio di successo]],2,FALSE)&amp;" - "&amp;Tabella4[[#This Row],[Servizio]]&amp;":"</f>
        <v>Insurance Brocker - 9.2.5.8 Dimensione dell'obiettivo (minimo) - S003 Assistenza:</v>
      </c>
      <c r="AE6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(#TM0026)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href="#rcaposteguidaresicurilinear-item-4" aria-expanded="false" aria-controls="rcaposteguidaresicurilinear-item-4" title="Dal 27/09/2023 al 14/11/2023"&gt; con selettore: 
["#heading-rcaposteguidaresicurilinear-item-4 &gt; .panel-title &gt; .accordion-toggle[title=\"Dal 27/09/2023 al 14/11/2023\"][role=\"button\"]"]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65" t="e">
        <f>_xlfn.XLOOKUP(Tabella4[[#This Row],[ID Silk]],outTable[ID Silk],outTable[Numero ticket  ],,0,1)</f>
        <v>#N/A</v>
      </c>
    </row>
    <row r="66" spans="1:32">
      <c r="A66" s="34" t="str">
        <f>MID(Tabella4[[#This Row],[Servizio]],1,4)&amp;Tabella4[[#This Row],[UNI CEI EN 301549]]</f>
        <v>S0039.2.5.8</v>
      </c>
      <c r="B66" s="34" t="str">
        <f>Tabella4[[#This Row],[ID Silk]]&amp;"_1"</f>
        <v>S0039.2.5.8_1</v>
      </c>
      <c r="C66" s="34" t="s">
        <v>807</v>
      </c>
      <c r="D66" s="2" t="str">
        <f>"(#"&amp;Tabella4[[#This Row],['#ID]]&amp;")"</f>
        <v>(#TM0027)</v>
      </c>
      <c r="E66" s="34" t="str">
        <f>IF(MID(Tabella4[[#This Row],['#ID]],1,1)="M","Mobile",IF(MID(Tabella4[[#This Row],['#ID]],1,1)="D","Desktop",IF(MID(Tabella4[[#This Row],['#ID]],1,2)="TM","Manuale","Documenti")))</f>
        <v>Manuale</v>
      </c>
      <c r="F66" s="34" t="s">
        <v>1006</v>
      </c>
      <c r="G66" s="34" t="s">
        <v>372</v>
      </c>
      <c r="H66" s="34" t="str">
        <f>IF(Tabella4[[#This Row],[Componente]]="Documenti","10.","9.")&amp;Tabella4[[#This Row],[Criterio]]</f>
        <v>9.2.5.8</v>
      </c>
      <c r="I66" s="34" t="s">
        <v>1023</v>
      </c>
      <c r="J66" s="34" t="s">
        <v>1032</v>
      </c>
      <c r="K66" s="34" t="s">
        <v>1033</v>
      </c>
      <c r="L66" s="34" t="s">
        <v>1034</v>
      </c>
      <c r="M66" s="34" t="s">
        <v>1035</v>
      </c>
      <c r="N66" t="s">
        <v>502</v>
      </c>
      <c r="O66" t="s">
        <v>503</v>
      </c>
      <c r="P66" t="s">
        <v>383</v>
      </c>
      <c r="R66" s="34" t="str">
        <f>IF(Tabella4[[#This Row],[Componente]]="Documenti",_xlfn.XLOOKUP(Tabella4[[#This Row],[URL]],Tabella27[URL],Tabella27[PDF ID],,0),_xlfn.XLOOKUP(Tabella4[[#This Row],[URL]],Tabella1[URL],Tabella1[Page ID],,0))</f>
        <v>#2</v>
      </c>
      <c r="S66" s="34" t="s">
        <v>1004</v>
      </c>
      <c r="T66" s="34" t="s">
        <v>518</v>
      </c>
      <c r="V66" t="s">
        <v>519</v>
      </c>
      <c r="W66" s="34" t="s">
        <v>1068</v>
      </c>
      <c r="X66" s="34" t="str">
        <f>IFERROR(IF(Tabella4[[#This Row],[Tool]]="lighthouse",Tabella4[[#This Row],[Detail]],MID(Tabella4[[#This Row],[Detail]],1,FIND("&gt;",Tabella4[[#This Row],[Detail]]))),Tabella4[[#This Row],[Detail]])</f>
        <v>&lt;div class="panel-heading" role="tab" tabindex="0" id="heading-rcaposteguidaresicurilinear-item-5"&gt;</v>
      </c>
      <c r="Y66" s="34" t="str">
        <f>SUBSTITUTE(IF(Tabella4[[#This Row],[Tool]]="axe-core",MID(Tabella4[[#This Row],[Rejected Element]],3,LEN(Tabella4[[#This Row],[Rejected Element]])-4),Tabella4[[#This Row],[Rejected Element]]),"\","")</f>
        <v>#heading-rcaposteguidaresicurilinear-item-5</v>
      </c>
      <c r="Z66" s="34">
        <f>COUNTIFS(Tabella4[Detail univoco],Tabella4[[#This Row],[Detail univoco]],Tabella4[Rejected Element Univoco],Tabella4[[#This Row],[Rejected Element Univoco]],Tabella4[ItemsNodeLabel],Tabella4[[#This Row],[ItemsNodeLabel]])</f>
        <v>0</v>
      </c>
      <c r="AA66" s="34" t="str">
        <f>IF(Tabella4[[#This Row],[Componente]]="Documenti",VLOOKUP(Tabella4[[#This Row],[URL]],Tabella27[[URL]:[Servizio]],4,FALSE),VLOOKUP(Tabella4[[#This Row],[Page ID]],Tabella1[[Page ID]:[Servizio]],4,FALSE))</f>
        <v>S003 Assistenza</v>
      </c>
      <c r="AB66" s="34"/>
      <c r="AC66" s="34" t="str">
        <f>Tabella4[[#This Row],[User Impact]]</f>
        <v>2 - Serious</v>
      </c>
      <c r="AD66" s="34" t="str">
        <f>Copertina!C$2&amp;" - "&amp;Tabella4[[#This Row],[UNI CEI EN 301549]]&amp;" "&amp;VLOOKUP(Tabella4[[#This Row],[Criterio]],Tabella5[[ID]:[Criterio di successo]],2,FALSE)&amp;" - "&amp;Tabella4[[#This Row],[Servizio]]&amp;":"</f>
        <v>Insurance Brocker - 9.2.5.8 Dimensione dell'obiettivo (minimo) - S003 Assistenza:</v>
      </c>
      <c r="AE6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(#TM0027)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id="heading-rcaposteguidaresicurilinear-item-5"&gt; con selettore: 
["#heading-rcaposteguidaresicurilinear-item-5"]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66" t="e">
        <f>_xlfn.XLOOKUP(Tabella4[[#This Row],[ID Silk]],outTable[ID Silk],outTable[Numero ticket  ],,0,1)</f>
        <v>#N/A</v>
      </c>
    </row>
    <row r="67" spans="1:32">
      <c r="A67" s="34" t="str">
        <f>MID(Tabella4[[#This Row],[Servizio]],1,4)&amp;Tabella4[[#This Row],[UNI CEI EN 301549]]</f>
        <v>S0039.2.5.8</v>
      </c>
      <c r="B67" s="34" t="str">
        <f>Tabella4[[#This Row],[ID Silk]]&amp;"_1"</f>
        <v>S0039.2.5.8_1</v>
      </c>
      <c r="C67" s="34" t="s">
        <v>808</v>
      </c>
      <c r="D67" s="2" t="str">
        <f>"(#"&amp;Tabella4[[#This Row],['#ID]]&amp;")"</f>
        <v>(#TM0028)</v>
      </c>
      <c r="E67" s="34" t="str">
        <f>IF(MID(Tabella4[[#This Row],['#ID]],1,1)="M","Mobile",IF(MID(Tabella4[[#This Row],['#ID]],1,1)="D","Desktop",IF(MID(Tabella4[[#This Row],['#ID]],1,2)="TM","Manuale","Documenti")))</f>
        <v>Manuale</v>
      </c>
      <c r="F67" s="34" t="s">
        <v>1006</v>
      </c>
      <c r="G67" s="34" t="s">
        <v>372</v>
      </c>
      <c r="H67" s="34" t="str">
        <f>IF(Tabella4[[#This Row],[Componente]]="Documenti","10.","9.")&amp;Tabella4[[#This Row],[Criterio]]</f>
        <v>9.2.5.8</v>
      </c>
      <c r="I67" s="34" t="s">
        <v>1023</v>
      </c>
      <c r="J67" s="34" t="s">
        <v>1032</v>
      </c>
      <c r="K67" s="34" t="s">
        <v>1033</v>
      </c>
      <c r="L67" s="34" t="s">
        <v>1034</v>
      </c>
      <c r="M67" s="34" t="s">
        <v>1035</v>
      </c>
      <c r="N67" t="s">
        <v>531</v>
      </c>
      <c r="O67" t="s">
        <v>532</v>
      </c>
      <c r="P67" t="s">
        <v>383</v>
      </c>
      <c r="R67" s="34" t="str">
        <f>IF(Tabella4[[#This Row],[Componente]]="Documenti",_xlfn.XLOOKUP(Tabella4[[#This Row],[URL]],Tabella27[URL],Tabella27[PDF ID],,0),_xlfn.XLOOKUP(Tabella4[[#This Row],[URL]],Tabella1[URL],Tabella1[Page ID],,0))</f>
        <v>#2</v>
      </c>
      <c r="S67" s="34" t="s">
        <v>1004</v>
      </c>
      <c r="T67" s="34" t="s">
        <v>518</v>
      </c>
      <c r="V67" t="s">
        <v>521</v>
      </c>
      <c r="W67" s="34" t="s">
        <v>1068</v>
      </c>
      <c r="X67"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href="#rcaposteguidaresicurilinear-item-5" aria-expanded="false" aria-controls="rcaposteguidaresicurilinear-item-5" title="Dal 01/07/2023 al 26/09/2023"&gt;</v>
      </c>
      <c r="Y67" s="34" t="str">
        <f>SUBSTITUTE(IF(Tabella4[[#This Row],[Tool]]="axe-core",MID(Tabella4[[#This Row],[Rejected Element]],3,LEN(Tabella4[[#This Row],[Rejected Element]])-4),Tabella4[[#This Row],[Rejected Element]]),"\","")</f>
        <v>#heading-rcaposteguidaresicurilinear-item-5 &gt; .panel-title &gt; .accordion-toggle[title="Dal 01/07/2023 al 26/09/2023"][role="button"]</v>
      </c>
      <c r="Z67" s="34">
        <f>COUNTIFS(Tabella4[Detail univoco],Tabella4[[#This Row],[Detail univoco]],Tabella4[Rejected Element Univoco],Tabella4[[#This Row],[Rejected Element Univoco]],Tabella4[ItemsNodeLabel],Tabella4[[#This Row],[ItemsNodeLabel]])</f>
        <v>0</v>
      </c>
      <c r="AA67" s="34" t="str">
        <f>IF(Tabella4[[#This Row],[Componente]]="Documenti",VLOOKUP(Tabella4[[#This Row],[URL]],Tabella27[[URL]:[Servizio]],4,FALSE),VLOOKUP(Tabella4[[#This Row],[Page ID]],Tabella1[[Page ID]:[Servizio]],4,FALSE))</f>
        <v>S003 Assistenza</v>
      </c>
      <c r="AB67" s="34"/>
      <c r="AC67" s="34" t="str">
        <f>Tabella4[[#This Row],[User Impact]]</f>
        <v>2 - Serious</v>
      </c>
      <c r="AD67" s="34" t="str">
        <f>Copertina!C$2&amp;" - "&amp;Tabella4[[#This Row],[UNI CEI EN 301549]]&amp;" "&amp;VLOOKUP(Tabella4[[#This Row],[Criterio]],Tabella5[[ID]:[Criterio di successo]],2,FALSE)&amp;" - "&amp;Tabella4[[#This Row],[Servizio]]&amp;":"</f>
        <v>Insurance Brocker - 9.2.5.8 Dimensione dell'obiettivo (minimo) - S003 Assistenza:</v>
      </c>
      <c r="AE6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(#TM0028)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href="#rcaposteguidaresicurilinear-item-5" aria-expanded="false" aria-controls="rcaposteguidaresicurilinear-item-5" title="Dal 01/07/2023 al 26/09/2023"&gt; con selettore: 
["#heading-rcaposteguidaresicurilinear-item-5 &gt; .panel-title &gt; .accordion-toggle[title=\"Dal 01/07/2023 al 26/09/2023\"][role=\"button\"]"]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67" t="e">
        <f>_xlfn.XLOOKUP(Tabella4[[#This Row],[ID Silk]],outTable[ID Silk],outTable[Numero ticket  ],,0,1)</f>
        <v>#N/A</v>
      </c>
    </row>
    <row r="68" spans="1:32">
      <c r="A68" s="34" t="str">
        <f>MID(Tabella4[[#This Row],[Servizio]],1,4)&amp;Tabella4[[#This Row],[UNI CEI EN 301549]]</f>
        <v>S0039.2.5.8</v>
      </c>
      <c r="B68" s="34" t="str">
        <f>Tabella4[[#This Row],[ID Silk]]&amp;"_1"</f>
        <v>S0039.2.5.8_1</v>
      </c>
      <c r="C68" s="34" t="s">
        <v>809</v>
      </c>
      <c r="D68" s="2" t="str">
        <f>"(#"&amp;Tabella4[[#This Row],['#ID]]&amp;")"</f>
        <v>(#TM0029)</v>
      </c>
      <c r="E68" s="34" t="str">
        <f>IF(MID(Tabella4[[#This Row],['#ID]],1,1)="M","Mobile",IF(MID(Tabella4[[#This Row],['#ID]],1,1)="D","Desktop",IF(MID(Tabella4[[#This Row],['#ID]],1,2)="TM","Manuale","Documenti")))</f>
        <v>Manuale</v>
      </c>
      <c r="F68" s="34" t="s">
        <v>1006</v>
      </c>
      <c r="G68" s="34" t="s">
        <v>372</v>
      </c>
      <c r="H68" s="34" t="str">
        <f>IF(Tabella4[[#This Row],[Componente]]="Documenti","10.","9.")&amp;Tabella4[[#This Row],[Criterio]]</f>
        <v>9.2.5.8</v>
      </c>
      <c r="I68" s="34" t="s">
        <v>1023</v>
      </c>
      <c r="J68" s="34" t="s">
        <v>1032</v>
      </c>
      <c r="K68" s="34" t="s">
        <v>1033</v>
      </c>
      <c r="L68" s="34" t="s">
        <v>1034</v>
      </c>
      <c r="M68" s="34" t="s">
        <v>1035</v>
      </c>
      <c r="N68" t="s">
        <v>504</v>
      </c>
      <c r="O68" t="s">
        <v>505</v>
      </c>
      <c r="P68" t="s">
        <v>383</v>
      </c>
      <c r="R68" s="34" t="str">
        <f>IF(Tabella4[[#This Row],[Componente]]="Documenti",_xlfn.XLOOKUP(Tabella4[[#This Row],[URL]],Tabella27[URL],Tabella27[PDF ID],,0),_xlfn.XLOOKUP(Tabella4[[#This Row],[URL]],Tabella1[URL],Tabella1[Page ID],,0))</f>
        <v>#2</v>
      </c>
      <c r="S68" s="34" t="s">
        <v>1004</v>
      </c>
      <c r="T68" s="34" t="s">
        <v>518</v>
      </c>
      <c r="V68" t="s">
        <v>519</v>
      </c>
      <c r="W68" s="34" t="s">
        <v>1068</v>
      </c>
      <c r="X68" s="34" t="str">
        <f>IFERROR(IF(Tabella4[[#This Row],[Tool]]="lighthouse",Tabella4[[#This Row],[Detail]],MID(Tabella4[[#This Row],[Detail]],1,FIND("&gt;",Tabella4[[#This Row],[Detail]]))),Tabella4[[#This Row],[Detail]])</f>
        <v>&lt;div class="panel-heading" role="tab" tabindex="0" id="heading-rcaposteguidaresicurilinear-item-6"&gt;</v>
      </c>
      <c r="Y68" s="34" t="str">
        <f>SUBSTITUTE(IF(Tabella4[[#This Row],[Tool]]="axe-core",MID(Tabella4[[#This Row],[Rejected Element]],3,LEN(Tabella4[[#This Row],[Rejected Element]])-4),Tabella4[[#This Row],[Rejected Element]]),"\","")</f>
        <v>#heading-rcaposteguidaresicurilinear-item-6</v>
      </c>
      <c r="Z68" s="34">
        <f>COUNTIFS(Tabella4[Detail univoco],Tabella4[[#This Row],[Detail univoco]],Tabella4[Rejected Element Univoco],Tabella4[[#This Row],[Rejected Element Univoco]],Tabella4[ItemsNodeLabel],Tabella4[[#This Row],[ItemsNodeLabel]])</f>
        <v>0</v>
      </c>
      <c r="AA68" s="34" t="str">
        <f>IF(Tabella4[[#This Row],[Componente]]="Documenti",VLOOKUP(Tabella4[[#This Row],[URL]],Tabella27[[URL]:[Servizio]],4,FALSE),VLOOKUP(Tabella4[[#This Row],[Page ID]],Tabella1[[Page ID]:[Servizio]],4,FALSE))</f>
        <v>S003 Assistenza</v>
      </c>
      <c r="AB68" s="34"/>
      <c r="AC68" s="34" t="str">
        <f>Tabella4[[#This Row],[User Impact]]</f>
        <v>2 - Serious</v>
      </c>
      <c r="AD68" s="34" t="str">
        <f>Copertina!C$2&amp;" - "&amp;Tabella4[[#This Row],[UNI CEI EN 301549]]&amp;" "&amp;VLOOKUP(Tabella4[[#This Row],[Criterio]],Tabella5[[ID]:[Criterio di successo]],2,FALSE)&amp;" - "&amp;Tabella4[[#This Row],[Servizio]]&amp;":"</f>
        <v>Insurance Brocker - 9.2.5.8 Dimensione dell'obiettivo (minimo) - S003 Assistenza:</v>
      </c>
      <c r="AE6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(#TM0029)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id="heading-rcaposteguidaresicurilinear-item-6"&gt; con selettore: 
["#heading-rcaposteguidaresicurilinear-item-6"]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68" t="e">
        <f>_xlfn.XLOOKUP(Tabella4[[#This Row],[ID Silk]],outTable[ID Silk],outTable[Numero ticket  ],,0,1)</f>
        <v>#N/A</v>
      </c>
    </row>
    <row r="69" spans="1:32">
      <c r="A69" s="34" t="str">
        <f>MID(Tabella4[[#This Row],[Servizio]],1,4)&amp;Tabella4[[#This Row],[UNI CEI EN 301549]]</f>
        <v>S0039.2.5.8</v>
      </c>
      <c r="B69" s="34" t="str">
        <f>Tabella4[[#This Row],[ID Silk]]&amp;"_1"</f>
        <v>S0039.2.5.8_1</v>
      </c>
      <c r="C69" s="34" t="s">
        <v>810</v>
      </c>
      <c r="D69" s="2" t="str">
        <f>"(#"&amp;Tabella4[[#This Row],['#ID]]&amp;")"</f>
        <v>(#TM0030)</v>
      </c>
      <c r="E69" s="34" t="str">
        <f>IF(MID(Tabella4[[#This Row],['#ID]],1,1)="M","Mobile",IF(MID(Tabella4[[#This Row],['#ID]],1,1)="D","Desktop",IF(MID(Tabella4[[#This Row],['#ID]],1,2)="TM","Manuale","Documenti")))</f>
        <v>Manuale</v>
      </c>
      <c r="F69" s="34" t="s">
        <v>1006</v>
      </c>
      <c r="G69" s="34" t="s">
        <v>372</v>
      </c>
      <c r="H69" s="34" t="str">
        <f>IF(Tabella4[[#This Row],[Componente]]="Documenti","10.","9.")&amp;Tabella4[[#This Row],[Criterio]]</f>
        <v>9.2.5.8</v>
      </c>
      <c r="I69" s="34" t="s">
        <v>1023</v>
      </c>
      <c r="J69" s="34" t="s">
        <v>1032</v>
      </c>
      <c r="K69" s="34" t="s">
        <v>1033</v>
      </c>
      <c r="L69" s="34" t="s">
        <v>1034</v>
      </c>
      <c r="M69" s="34" t="s">
        <v>1035</v>
      </c>
      <c r="N69" t="s">
        <v>533</v>
      </c>
      <c r="O69" t="s">
        <v>534</v>
      </c>
      <c r="P69" t="s">
        <v>383</v>
      </c>
      <c r="R69" s="34" t="str">
        <f>IF(Tabella4[[#This Row],[Componente]]="Documenti",_xlfn.XLOOKUP(Tabella4[[#This Row],[URL]],Tabella27[URL],Tabella27[PDF ID],,0),_xlfn.XLOOKUP(Tabella4[[#This Row],[URL]],Tabella1[URL],Tabella1[Page ID],,0))</f>
        <v>#2</v>
      </c>
      <c r="S69" s="34" t="s">
        <v>1004</v>
      </c>
      <c r="T69" s="34" t="s">
        <v>518</v>
      </c>
      <c r="V69" t="s">
        <v>521</v>
      </c>
      <c r="W69" s="34" t="s">
        <v>1068</v>
      </c>
      <c r="X69"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href="#rcaposteguidaresicurilinear-item-6" aria-expanded="false" aria-controls="rcaposteguidaresicurilinear-item-6" title="Dal 16/04/2023 al 30/06/2023"&gt;</v>
      </c>
      <c r="Y69" s="34" t="str">
        <f>SUBSTITUTE(IF(Tabella4[[#This Row],[Tool]]="axe-core",MID(Tabella4[[#This Row],[Rejected Element]],3,LEN(Tabella4[[#This Row],[Rejected Element]])-4),Tabella4[[#This Row],[Rejected Element]]),"\","")</f>
        <v>#heading-rcaposteguidaresicurilinear-item-6 &gt; .panel-title &gt; .accordion-toggle[title="Dal 16/04/2023 al 30/06/2023"][role="button"]</v>
      </c>
      <c r="Z69" s="34">
        <f>COUNTIFS(Tabella4[Detail univoco],Tabella4[[#This Row],[Detail univoco]],Tabella4[Rejected Element Univoco],Tabella4[[#This Row],[Rejected Element Univoco]],Tabella4[ItemsNodeLabel],Tabella4[[#This Row],[ItemsNodeLabel]])</f>
        <v>0</v>
      </c>
      <c r="AA69" s="34" t="str">
        <f>IF(Tabella4[[#This Row],[Componente]]="Documenti",VLOOKUP(Tabella4[[#This Row],[URL]],Tabella27[[URL]:[Servizio]],4,FALSE),VLOOKUP(Tabella4[[#This Row],[Page ID]],Tabella1[[Page ID]:[Servizio]],4,FALSE))</f>
        <v>S003 Assistenza</v>
      </c>
      <c r="AB69" s="34"/>
      <c r="AC69" s="34" t="str">
        <f>Tabella4[[#This Row],[User Impact]]</f>
        <v>2 - Serious</v>
      </c>
      <c r="AD69" s="34" t="str">
        <f>Copertina!C$2&amp;" - "&amp;Tabella4[[#This Row],[UNI CEI EN 301549]]&amp;" "&amp;VLOOKUP(Tabella4[[#This Row],[Criterio]],Tabella5[[ID]:[Criterio di successo]],2,FALSE)&amp;" - "&amp;Tabella4[[#This Row],[Servizio]]&amp;":"</f>
        <v>Insurance Brocker - 9.2.5.8 Dimensione dell'obiettivo (minimo) - S003 Assistenza:</v>
      </c>
      <c r="AE6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(#TM0030)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href="#rcaposteguidaresicurilinear-item-6" aria-expanded="false" aria-controls="rcaposteguidaresicurilinear-item-6" title="Dal 16/04/2023 al 30/06/2023"&gt; con selettore: 
["#heading-rcaposteguidaresicurilinear-item-6 &gt; .panel-title &gt; .accordion-toggle[title=\"Dal 16/04/2023 al 30/06/2023\"][role=\"button\"]"]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69" t="e">
        <f>_xlfn.XLOOKUP(Tabella4[[#This Row],[ID Silk]],outTable[ID Silk],outTable[Numero ticket  ],,0,1)</f>
        <v>#N/A</v>
      </c>
    </row>
    <row r="70" spans="1:32">
      <c r="A70" s="34" t="str">
        <f>MID(Tabella4[[#This Row],[Servizio]],1,4)&amp;Tabella4[[#This Row],[UNI CEI EN 301549]]</f>
        <v>S0039.2.5.8</v>
      </c>
      <c r="B70" s="34" t="str">
        <f>Tabella4[[#This Row],[ID Silk]]&amp;"_1"</f>
        <v>S0039.2.5.8_1</v>
      </c>
      <c r="C70" s="34" t="s">
        <v>811</v>
      </c>
      <c r="D70" s="2" t="str">
        <f>"(#"&amp;Tabella4[[#This Row],['#ID]]&amp;")"</f>
        <v>(#TM0031)</v>
      </c>
      <c r="E70" s="34" t="str">
        <f>IF(MID(Tabella4[[#This Row],['#ID]],1,1)="M","Mobile",IF(MID(Tabella4[[#This Row],['#ID]],1,1)="D","Desktop",IF(MID(Tabella4[[#This Row],['#ID]],1,2)="TM","Manuale","Documenti")))</f>
        <v>Manuale</v>
      </c>
      <c r="F70" s="34" t="s">
        <v>1006</v>
      </c>
      <c r="G70" s="34" t="s">
        <v>372</v>
      </c>
      <c r="H70" s="34" t="str">
        <f>IF(Tabella4[[#This Row],[Componente]]="Documenti","10.","9.")&amp;Tabella4[[#This Row],[Criterio]]</f>
        <v>9.2.5.8</v>
      </c>
      <c r="I70" s="34" t="s">
        <v>1023</v>
      </c>
      <c r="J70" s="34" t="s">
        <v>1032</v>
      </c>
      <c r="K70" s="34" t="s">
        <v>1033</v>
      </c>
      <c r="L70" s="34" t="s">
        <v>1034</v>
      </c>
      <c r="M70" s="34" t="s">
        <v>1035</v>
      </c>
      <c r="N70" t="s">
        <v>506</v>
      </c>
      <c r="O70" t="s">
        <v>507</v>
      </c>
      <c r="P70" t="s">
        <v>383</v>
      </c>
      <c r="R70" s="34" t="str">
        <f>IF(Tabella4[[#This Row],[Componente]]="Documenti",_xlfn.XLOOKUP(Tabella4[[#This Row],[URL]],Tabella27[URL],Tabella27[PDF ID],,0),_xlfn.XLOOKUP(Tabella4[[#This Row],[URL]],Tabella1[URL],Tabella1[Page ID],,0))</f>
        <v>#2</v>
      </c>
      <c r="S70" s="34" t="s">
        <v>1004</v>
      </c>
      <c r="T70" s="34" t="s">
        <v>518</v>
      </c>
      <c r="V70" t="s">
        <v>519</v>
      </c>
      <c r="W70" s="34" t="s">
        <v>1068</v>
      </c>
      <c r="X70" s="34" t="str">
        <f>IFERROR(IF(Tabella4[[#This Row],[Tool]]="lighthouse",Tabella4[[#This Row],[Detail]],MID(Tabella4[[#This Row],[Detail]],1,FIND("&gt;",Tabella4[[#This Row],[Detail]]))),Tabella4[[#This Row],[Detail]])</f>
        <v>&lt;div class="panel-heading" role="tab" tabindex="0" id="heading-rcaposteguidaresicurilinear-item-7"&gt;</v>
      </c>
      <c r="Y70" s="34" t="str">
        <f>SUBSTITUTE(IF(Tabella4[[#This Row],[Tool]]="axe-core",MID(Tabella4[[#This Row],[Rejected Element]],3,LEN(Tabella4[[#This Row],[Rejected Element]])-4),Tabella4[[#This Row],[Rejected Element]]),"\","")</f>
        <v>#heading-rcaposteguidaresicurilinear-item-7</v>
      </c>
      <c r="Z70" s="34">
        <f>COUNTIFS(Tabella4[Detail univoco],Tabella4[[#This Row],[Detail univoco]],Tabella4[Rejected Element Univoco],Tabella4[[#This Row],[Rejected Element Univoco]],Tabella4[ItemsNodeLabel],Tabella4[[#This Row],[ItemsNodeLabel]])</f>
        <v>0</v>
      </c>
      <c r="AA70" s="34" t="str">
        <f>IF(Tabella4[[#This Row],[Componente]]="Documenti",VLOOKUP(Tabella4[[#This Row],[URL]],Tabella27[[URL]:[Servizio]],4,FALSE),VLOOKUP(Tabella4[[#This Row],[Page ID]],Tabella1[[Page ID]:[Servizio]],4,FALSE))</f>
        <v>S003 Assistenza</v>
      </c>
      <c r="AB70" s="34"/>
      <c r="AC70" s="34" t="str">
        <f>Tabella4[[#This Row],[User Impact]]</f>
        <v>2 - Serious</v>
      </c>
      <c r="AD70" s="34" t="str">
        <f>Copertina!C$2&amp;" - "&amp;Tabella4[[#This Row],[UNI CEI EN 301549]]&amp;" "&amp;VLOOKUP(Tabella4[[#This Row],[Criterio]],Tabella5[[ID]:[Criterio di successo]],2,FALSE)&amp;" - "&amp;Tabella4[[#This Row],[Servizio]]&amp;":"</f>
        <v>Insurance Brocker - 9.2.5.8 Dimensione dell'obiettivo (minimo) - S003 Assistenza:</v>
      </c>
      <c r="AE7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(#TM0031)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id="heading-rcaposteguidaresicurilinear-item-7"&gt; con selettore: 
["#heading-rcaposteguidaresicurilinear-item-7"]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70" t="e">
        <f>_xlfn.XLOOKUP(Tabella4[[#This Row],[ID Silk]],outTable[ID Silk],outTable[Numero ticket  ],,0,1)</f>
        <v>#N/A</v>
      </c>
    </row>
    <row r="71" spans="1:32">
      <c r="A71" s="34" t="str">
        <f>MID(Tabella4[[#This Row],[Servizio]],1,4)&amp;Tabella4[[#This Row],[UNI CEI EN 301549]]</f>
        <v>S0039.2.5.8</v>
      </c>
      <c r="B71" s="34" t="str">
        <f>Tabella4[[#This Row],[ID Silk]]&amp;"_1"</f>
        <v>S0039.2.5.8_1</v>
      </c>
      <c r="C71" s="34" t="s">
        <v>812</v>
      </c>
      <c r="D71" s="2" t="str">
        <f>"(#"&amp;Tabella4[[#This Row],['#ID]]&amp;")"</f>
        <v>(#TM0032)</v>
      </c>
      <c r="E71" s="34" t="str">
        <f>IF(MID(Tabella4[[#This Row],['#ID]],1,1)="M","Mobile",IF(MID(Tabella4[[#This Row],['#ID]],1,1)="D","Desktop",IF(MID(Tabella4[[#This Row],['#ID]],1,2)="TM","Manuale","Documenti")))</f>
        <v>Manuale</v>
      </c>
      <c r="F71" s="34" t="s">
        <v>1006</v>
      </c>
      <c r="G71" s="34" t="s">
        <v>372</v>
      </c>
      <c r="H71" s="34" t="str">
        <f>IF(Tabella4[[#This Row],[Componente]]="Documenti","10.","9.")&amp;Tabella4[[#This Row],[Criterio]]</f>
        <v>9.2.5.8</v>
      </c>
      <c r="I71" s="34" t="s">
        <v>1023</v>
      </c>
      <c r="J71" s="34" t="s">
        <v>1032</v>
      </c>
      <c r="K71" s="34" t="s">
        <v>1033</v>
      </c>
      <c r="L71" s="34" t="s">
        <v>1034</v>
      </c>
      <c r="M71" s="34" t="s">
        <v>1035</v>
      </c>
      <c r="N71" t="s">
        <v>535</v>
      </c>
      <c r="O71" t="s">
        <v>536</v>
      </c>
      <c r="P71" t="s">
        <v>383</v>
      </c>
      <c r="R71" s="34" t="str">
        <f>IF(Tabella4[[#This Row],[Componente]]="Documenti",_xlfn.XLOOKUP(Tabella4[[#This Row],[URL]],Tabella27[URL],Tabella27[PDF ID],,0),_xlfn.XLOOKUP(Tabella4[[#This Row],[URL]],Tabella1[URL],Tabella1[Page ID],,0))</f>
        <v>#2</v>
      </c>
      <c r="S71" s="34" t="s">
        <v>1004</v>
      </c>
      <c r="T71" s="34" t="s">
        <v>518</v>
      </c>
      <c r="V71" t="s">
        <v>521</v>
      </c>
      <c r="W71" s="34" t="s">
        <v>1068</v>
      </c>
      <c r="X71"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href="#rcaposteguidaresicurilinear-item-7" aria-expanded="false" aria-controls="rcaposteguidaresicurilinear-item-7" title="Dal 05/07/2022 al 15/04/2023"&gt;</v>
      </c>
      <c r="Y71" s="34" t="str">
        <f>SUBSTITUTE(IF(Tabella4[[#This Row],[Tool]]="axe-core",MID(Tabella4[[#This Row],[Rejected Element]],3,LEN(Tabella4[[#This Row],[Rejected Element]])-4),Tabella4[[#This Row],[Rejected Element]]),"\","")</f>
        <v>#heading-rcaposteguidaresicurilinear-item-7 &gt; .panel-title &gt; .accordion-toggle[title="Dal 05/07/2022 al 15/04/2023"][role="button"]</v>
      </c>
      <c r="Z71" s="34">
        <f>COUNTIFS(Tabella4[Detail univoco],Tabella4[[#This Row],[Detail univoco]],Tabella4[Rejected Element Univoco],Tabella4[[#This Row],[Rejected Element Univoco]],Tabella4[ItemsNodeLabel],Tabella4[[#This Row],[ItemsNodeLabel]])</f>
        <v>0</v>
      </c>
      <c r="AA71" s="34" t="str">
        <f>IF(Tabella4[[#This Row],[Componente]]="Documenti",VLOOKUP(Tabella4[[#This Row],[URL]],Tabella27[[URL]:[Servizio]],4,FALSE),VLOOKUP(Tabella4[[#This Row],[Page ID]],Tabella1[[Page ID]:[Servizio]],4,FALSE))</f>
        <v>S003 Assistenza</v>
      </c>
      <c r="AB71" s="34"/>
      <c r="AC71" s="34" t="str">
        <f>Tabella4[[#This Row],[User Impact]]</f>
        <v>2 - Serious</v>
      </c>
      <c r="AD71" s="34" t="str">
        <f>Copertina!C$2&amp;" - "&amp;Tabella4[[#This Row],[UNI CEI EN 301549]]&amp;" "&amp;VLOOKUP(Tabella4[[#This Row],[Criterio]],Tabella5[[ID]:[Criterio di successo]],2,FALSE)&amp;" - "&amp;Tabella4[[#This Row],[Servizio]]&amp;":"</f>
        <v>Insurance Brocker - 9.2.5.8 Dimensione dell'obiettivo (minimo) - S003 Assistenza:</v>
      </c>
      <c r="AE7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(#TM0032)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href="#rcaposteguidaresicurilinear-item-7" aria-expanded="false" aria-controls="rcaposteguidaresicurilinear-item-7" title="Dal 05/07/2022 al 15/04/2023"&gt; con selettore: 
["#heading-rcaposteguidaresicurilinear-item-7 &gt; .panel-title &gt; .accordion-toggle[title=\"Dal 05/07/2022 al 15/04/2023\"][role=\"button\"]"]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71" t="e">
        <f>_xlfn.XLOOKUP(Tabella4[[#This Row],[ID Silk]],outTable[ID Silk],outTable[Numero ticket  ],,0,1)</f>
        <v>#N/A</v>
      </c>
    </row>
    <row r="72" spans="1:32">
      <c r="A72" s="34" t="str">
        <f>MID(Tabella4[[#This Row],[Servizio]],1,4)&amp;Tabella4[[#This Row],[UNI CEI EN 301549]]</f>
        <v>S0039.2.5.8</v>
      </c>
      <c r="B72" s="34" t="str">
        <f>Tabella4[[#This Row],[ID Silk]]&amp;"_1"</f>
        <v>S0039.2.5.8_1</v>
      </c>
      <c r="C72" s="34" t="s">
        <v>813</v>
      </c>
      <c r="D72" s="2" t="str">
        <f>"(#"&amp;Tabella4[[#This Row],['#ID]]&amp;")"</f>
        <v>(#TM0033)</v>
      </c>
      <c r="E72" s="34" t="str">
        <f>IF(MID(Tabella4[[#This Row],['#ID]],1,1)="M","Mobile",IF(MID(Tabella4[[#This Row],['#ID]],1,1)="D","Desktop",IF(MID(Tabella4[[#This Row],['#ID]],1,2)="TM","Manuale","Documenti")))</f>
        <v>Manuale</v>
      </c>
      <c r="F72" s="34" t="s">
        <v>1006</v>
      </c>
      <c r="G72" s="34" t="s">
        <v>372</v>
      </c>
      <c r="H72" s="34" t="str">
        <f>IF(Tabella4[[#This Row],[Componente]]="Documenti","10.","9.")&amp;Tabella4[[#This Row],[Criterio]]</f>
        <v>9.2.5.8</v>
      </c>
      <c r="I72" s="34" t="s">
        <v>1023</v>
      </c>
      <c r="J72" s="34" t="s">
        <v>1032</v>
      </c>
      <c r="K72" s="34" t="s">
        <v>1033</v>
      </c>
      <c r="L72" s="34" t="s">
        <v>1034</v>
      </c>
      <c r="M72" s="34" t="s">
        <v>1035</v>
      </c>
      <c r="N72" t="s">
        <v>508</v>
      </c>
      <c r="O72" t="s">
        <v>509</v>
      </c>
      <c r="P72" t="s">
        <v>383</v>
      </c>
      <c r="R72" s="34" t="str">
        <f>IF(Tabella4[[#This Row],[Componente]]="Documenti",_xlfn.XLOOKUP(Tabella4[[#This Row],[URL]],Tabella27[URL],Tabella27[PDF ID],,0),_xlfn.XLOOKUP(Tabella4[[#This Row],[URL]],Tabella1[URL],Tabella1[Page ID],,0))</f>
        <v>#2</v>
      </c>
      <c r="S72" s="34" t="s">
        <v>1004</v>
      </c>
      <c r="T72" s="34" t="s">
        <v>518</v>
      </c>
      <c r="V72" t="s">
        <v>519</v>
      </c>
      <c r="W72" s="34" t="s">
        <v>1068</v>
      </c>
      <c r="X72" s="34" t="str">
        <f>IFERROR(IF(Tabella4[[#This Row],[Tool]]="lighthouse",Tabella4[[#This Row],[Detail]],MID(Tabella4[[#This Row],[Detail]],1,FIND("&gt;",Tabella4[[#This Row],[Detail]]))),Tabella4[[#This Row],[Detail]])</f>
        <v>&lt;div class="panel-heading" role="tab" tabindex="0" id="heading-rcaposteguidaresicurilinear-item-8"&gt;</v>
      </c>
      <c r="Y72" s="34" t="str">
        <f>SUBSTITUTE(IF(Tabella4[[#This Row],[Tool]]="axe-core",MID(Tabella4[[#This Row],[Rejected Element]],3,LEN(Tabella4[[#This Row],[Rejected Element]])-4),Tabella4[[#This Row],[Rejected Element]]),"\","")</f>
        <v>#heading-rcaposteguidaresicurilinear-item-8</v>
      </c>
      <c r="Z72" s="34">
        <f>COUNTIFS(Tabella4[Detail univoco],Tabella4[[#This Row],[Detail univoco]],Tabella4[Rejected Element Univoco],Tabella4[[#This Row],[Rejected Element Univoco]],Tabella4[ItemsNodeLabel],Tabella4[[#This Row],[ItemsNodeLabel]])</f>
        <v>0</v>
      </c>
      <c r="AA72" s="34" t="str">
        <f>IF(Tabella4[[#This Row],[Componente]]="Documenti",VLOOKUP(Tabella4[[#This Row],[URL]],Tabella27[[URL]:[Servizio]],4,FALSE),VLOOKUP(Tabella4[[#This Row],[Page ID]],Tabella1[[Page ID]:[Servizio]],4,FALSE))</f>
        <v>S003 Assistenza</v>
      </c>
      <c r="AB72" s="34"/>
      <c r="AC72" s="34" t="str">
        <f>Tabella4[[#This Row],[User Impact]]</f>
        <v>2 - Serious</v>
      </c>
      <c r="AD72" s="34" t="str">
        <f>Copertina!C$2&amp;" - "&amp;Tabella4[[#This Row],[UNI CEI EN 301549]]&amp;" "&amp;VLOOKUP(Tabella4[[#This Row],[Criterio]],Tabella5[[ID]:[Criterio di successo]],2,FALSE)&amp;" - "&amp;Tabella4[[#This Row],[Servizio]]&amp;":"</f>
        <v>Insurance Brocker - 9.2.5.8 Dimensione dell'obiettivo (minimo) - S003 Assistenza:</v>
      </c>
      <c r="AE7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(#TM0033)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id="heading-rcaposteguidaresicurilinear-item-8"&gt; con selettore: 
["#heading-rcaposteguidaresicurilinear-item-8"]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72" t="e">
        <f>_xlfn.XLOOKUP(Tabella4[[#This Row],[ID Silk]],outTable[ID Silk],outTable[Numero ticket  ],,0,1)</f>
        <v>#N/A</v>
      </c>
    </row>
    <row r="73" spans="1:32">
      <c r="A73" s="34" t="str">
        <f>MID(Tabella4[[#This Row],[Servizio]],1,4)&amp;Tabella4[[#This Row],[UNI CEI EN 301549]]</f>
        <v>S0039.2.5.8</v>
      </c>
      <c r="B73" s="34" t="str">
        <f>Tabella4[[#This Row],[ID Silk]]&amp;"_1"</f>
        <v>S0039.2.5.8_1</v>
      </c>
      <c r="C73" s="34" t="s">
        <v>814</v>
      </c>
      <c r="D73" s="2" t="str">
        <f>"(#"&amp;Tabella4[[#This Row],['#ID]]&amp;")"</f>
        <v>(#TM0034)</v>
      </c>
      <c r="E73" s="34" t="str">
        <f>IF(MID(Tabella4[[#This Row],['#ID]],1,1)="M","Mobile",IF(MID(Tabella4[[#This Row],['#ID]],1,1)="D","Desktop",IF(MID(Tabella4[[#This Row],['#ID]],1,2)="TM","Manuale","Documenti")))</f>
        <v>Manuale</v>
      </c>
      <c r="F73" s="34" t="s">
        <v>1006</v>
      </c>
      <c r="G73" s="34" t="s">
        <v>372</v>
      </c>
      <c r="H73" s="34" t="str">
        <f>IF(Tabella4[[#This Row],[Componente]]="Documenti","10.","9.")&amp;Tabella4[[#This Row],[Criterio]]</f>
        <v>9.2.5.8</v>
      </c>
      <c r="I73" s="34" t="s">
        <v>1023</v>
      </c>
      <c r="J73" s="34" t="s">
        <v>1032</v>
      </c>
      <c r="K73" s="34" t="s">
        <v>1033</v>
      </c>
      <c r="L73" s="34" t="s">
        <v>1034</v>
      </c>
      <c r="M73" s="34" t="s">
        <v>1035</v>
      </c>
      <c r="N73" t="s">
        <v>537</v>
      </c>
      <c r="O73" t="s">
        <v>538</v>
      </c>
      <c r="P73" t="s">
        <v>383</v>
      </c>
      <c r="R73" s="34" t="str">
        <f>IF(Tabella4[[#This Row],[Componente]]="Documenti",_xlfn.XLOOKUP(Tabella4[[#This Row],[URL]],Tabella27[URL],Tabella27[PDF ID],,0),_xlfn.XLOOKUP(Tabella4[[#This Row],[URL]],Tabella1[URL],Tabella1[Page ID],,0))</f>
        <v>#2</v>
      </c>
      <c r="S73" s="34" t="s">
        <v>1004</v>
      </c>
      <c r="T73" s="34" t="s">
        <v>518</v>
      </c>
      <c r="V73" t="s">
        <v>521</v>
      </c>
      <c r="W73" s="34" t="s">
        <v>1068</v>
      </c>
      <c r="X73"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href="#rcaposteguidaresicurilinear-item-8" aria-expanded="false" aria-controls="rcaposteguidaresicurilinear-item-8" title="Dal 01/07/2021 al 04/07/2022"&gt;</v>
      </c>
      <c r="Y73" s="34" t="str">
        <f>SUBSTITUTE(IF(Tabella4[[#This Row],[Tool]]="axe-core",MID(Tabella4[[#This Row],[Rejected Element]],3,LEN(Tabella4[[#This Row],[Rejected Element]])-4),Tabella4[[#This Row],[Rejected Element]]),"\","")</f>
        <v>#heading-rcaposteguidaresicurilinear-item-8 &gt; .panel-title &gt; .accordion-toggle[title="Dal 01/07/2021 al 04/07/2022"][role="button"]</v>
      </c>
      <c r="Z73" s="34">
        <f>COUNTIFS(Tabella4[Detail univoco],Tabella4[[#This Row],[Detail univoco]],Tabella4[Rejected Element Univoco],Tabella4[[#This Row],[Rejected Element Univoco]],Tabella4[ItemsNodeLabel],Tabella4[[#This Row],[ItemsNodeLabel]])</f>
        <v>0</v>
      </c>
      <c r="AA73" s="34" t="str">
        <f>IF(Tabella4[[#This Row],[Componente]]="Documenti",VLOOKUP(Tabella4[[#This Row],[URL]],Tabella27[[URL]:[Servizio]],4,FALSE),VLOOKUP(Tabella4[[#This Row],[Page ID]],Tabella1[[Page ID]:[Servizio]],4,FALSE))</f>
        <v>S003 Assistenza</v>
      </c>
      <c r="AB73" s="34"/>
      <c r="AC73" s="34" t="str">
        <f>Tabella4[[#This Row],[User Impact]]</f>
        <v>2 - Serious</v>
      </c>
      <c r="AD73" s="34" t="str">
        <f>Copertina!C$2&amp;" - "&amp;Tabella4[[#This Row],[UNI CEI EN 301549]]&amp;" "&amp;VLOOKUP(Tabella4[[#This Row],[Criterio]],Tabella5[[ID]:[Criterio di successo]],2,FALSE)&amp;" - "&amp;Tabella4[[#This Row],[Servizio]]&amp;":"</f>
        <v>Insurance Brocker - 9.2.5.8 Dimensione dell'obiettivo (minimo) - S003 Assistenza:</v>
      </c>
      <c r="AE7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(#TM0034)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href="#rcaposteguidaresicurilinear-item-8" aria-expanded="false" aria-controls="rcaposteguidaresicurilinear-item-8" title="Dal 01/07/2021 al 04/07/2022"&gt; con selettore: 
["#heading-rcaposteguidaresicurilinear-item-8 &gt; .panel-title &gt; .accordion-toggle[title=\"Dal 01/07/2021 al 04/07/2022\"][role=\"button\"]"]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73" t="e">
        <f>_xlfn.XLOOKUP(Tabella4[[#This Row],[ID Silk]],outTable[ID Silk],outTable[Numero ticket  ],,0,1)</f>
        <v>#N/A</v>
      </c>
    </row>
    <row r="74" spans="1:32">
      <c r="A74" s="34" t="str">
        <f>MID(Tabella4[[#This Row],[Servizio]],1,4)&amp;Tabella4[[#This Row],[UNI CEI EN 301549]]</f>
        <v>S0039.2.5.8</v>
      </c>
      <c r="B74" s="34" t="str">
        <f>Tabella4[[#This Row],[ID Silk]]&amp;"_1"</f>
        <v>S0039.2.5.8_1</v>
      </c>
      <c r="C74" s="34" t="s">
        <v>815</v>
      </c>
      <c r="D74" s="2" t="str">
        <f>"(#"&amp;Tabella4[[#This Row],['#ID]]&amp;")"</f>
        <v>(#TM0035)</v>
      </c>
      <c r="E74" s="34" t="str">
        <f>IF(MID(Tabella4[[#This Row],['#ID]],1,1)="M","Mobile",IF(MID(Tabella4[[#This Row],['#ID]],1,1)="D","Desktop",IF(MID(Tabella4[[#This Row],['#ID]],1,2)="TM","Manuale","Documenti")))</f>
        <v>Manuale</v>
      </c>
      <c r="F74" s="34" t="s">
        <v>1006</v>
      </c>
      <c r="G74" s="34" t="s">
        <v>372</v>
      </c>
      <c r="H74" s="34" t="str">
        <f>IF(Tabella4[[#This Row],[Componente]]="Documenti","10.","9.")&amp;Tabella4[[#This Row],[Criterio]]</f>
        <v>9.2.5.8</v>
      </c>
      <c r="I74" s="34" t="s">
        <v>1023</v>
      </c>
      <c r="J74" s="34" t="s">
        <v>1032</v>
      </c>
      <c r="K74" s="34" t="s">
        <v>1033</v>
      </c>
      <c r="L74" s="34" t="s">
        <v>1034</v>
      </c>
      <c r="M74" s="34" t="s">
        <v>1035</v>
      </c>
      <c r="N74" t="s">
        <v>510</v>
      </c>
      <c r="O74" t="s">
        <v>511</v>
      </c>
      <c r="P74" t="s">
        <v>383</v>
      </c>
      <c r="R74" s="34" t="str">
        <f>IF(Tabella4[[#This Row],[Componente]]="Documenti",_xlfn.XLOOKUP(Tabella4[[#This Row],[URL]],Tabella27[URL],Tabella27[PDF ID],,0),_xlfn.XLOOKUP(Tabella4[[#This Row],[URL]],Tabella1[URL],Tabella1[Page ID],,0))</f>
        <v>#2</v>
      </c>
      <c r="S74" s="34" t="s">
        <v>1004</v>
      </c>
      <c r="T74" s="34" t="s">
        <v>518</v>
      </c>
      <c r="V74" t="s">
        <v>519</v>
      </c>
      <c r="W74" s="34" t="s">
        <v>1068</v>
      </c>
      <c r="X74" s="34" t="str">
        <f>IFERROR(IF(Tabella4[[#This Row],[Tool]]="lighthouse",Tabella4[[#This Row],[Detail]],MID(Tabella4[[#This Row],[Detail]],1,FIND("&gt;",Tabella4[[#This Row],[Detail]]))),Tabella4[[#This Row],[Detail]])</f>
        <v>&lt;div class="panel-heading" role="tab" tabindex="0" id="heading-rcaposteguidaresicurilinear-item-9"&gt;</v>
      </c>
      <c r="Y74" s="34" t="str">
        <f>SUBSTITUTE(IF(Tabella4[[#This Row],[Tool]]="axe-core",MID(Tabella4[[#This Row],[Rejected Element]],3,LEN(Tabella4[[#This Row],[Rejected Element]])-4),Tabella4[[#This Row],[Rejected Element]]),"\","")</f>
        <v>#heading-rcaposteguidaresicurilinear-item-9</v>
      </c>
      <c r="Z74" s="34">
        <f>COUNTIFS(Tabella4[Detail univoco],Tabella4[[#This Row],[Detail univoco]],Tabella4[Rejected Element Univoco],Tabella4[[#This Row],[Rejected Element Univoco]],Tabella4[ItemsNodeLabel],Tabella4[[#This Row],[ItemsNodeLabel]])</f>
        <v>0</v>
      </c>
      <c r="AA74" s="34" t="str">
        <f>IF(Tabella4[[#This Row],[Componente]]="Documenti",VLOOKUP(Tabella4[[#This Row],[URL]],Tabella27[[URL]:[Servizio]],4,FALSE),VLOOKUP(Tabella4[[#This Row],[Page ID]],Tabella1[[Page ID]:[Servizio]],4,FALSE))</f>
        <v>S003 Assistenza</v>
      </c>
      <c r="AB74" s="34"/>
      <c r="AC74" s="34" t="str">
        <f>Tabella4[[#This Row],[User Impact]]</f>
        <v>2 - Serious</v>
      </c>
      <c r="AD74" s="34" t="str">
        <f>Copertina!C$2&amp;" - "&amp;Tabella4[[#This Row],[UNI CEI EN 301549]]&amp;" "&amp;VLOOKUP(Tabella4[[#This Row],[Criterio]],Tabella5[[ID]:[Criterio di successo]],2,FALSE)&amp;" - "&amp;Tabella4[[#This Row],[Servizio]]&amp;":"</f>
        <v>Insurance Brocker - 9.2.5.8 Dimensione dell'obiettivo (minimo) - S003 Assistenza:</v>
      </c>
      <c r="AE7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(#TM0035)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id="heading-rcaposteguidaresicurilinear-item-9"&gt; con selettore: 
["#heading-rcaposteguidaresicurilinear-item-9"]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74" t="e">
        <f>_xlfn.XLOOKUP(Tabella4[[#This Row],[ID Silk]],outTable[ID Silk],outTable[Numero ticket  ],,0,1)</f>
        <v>#N/A</v>
      </c>
    </row>
    <row r="75" spans="1:32">
      <c r="A75" s="34" t="str">
        <f>MID(Tabella4[[#This Row],[Servizio]],1,4)&amp;Tabella4[[#This Row],[UNI CEI EN 301549]]</f>
        <v>S0039.2.5.8</v>
      </c>
      <c r="B75" s="34" t="str">
        <f>Tabella4[[#This Row],[ID Silk]]&amp;"_1"</f>
        <v>S0039.2.5.8_1</v>
      </c>
      <c r="C75" s="34" t="s">
        <v>816</v>
      </c>
      <c r="D75" s="2" t="str">
        <f>"(#"&amp;Tabella4[[#This Row],['#ID]]&amp;")"</f>
        <v>(#TM0036)</v>
      </c>
      <c r="E75" s="34" t="str">
        <f>IF(MID(Tabella4[[#This Row],['#ID]],1,1)="M","Mobile",IF(MID(Tabella4[[#This Row],['#ID]],1,1)="D","Desktop",IF(MID(Tabella4[[#This Row],['#ID]],1,2)="TM","Manuale","Documenti")))</f>
        <v>Manuale</v>
      </c>
      <c r="F75" s="34" t="s">
        <v>1006</v>
      </c>
      <c r="G75" s="34" t="s">
        <v>372</v>
      </c>
      <c r="H75" s="34" t="str">
        <f>IF(Tabella4[[#This Row],[Componente]]="Documenti","10.","9.")&amp;Tabella4[[#This Row],[Criterio]]</f>
        <v>9.2.5.8</v>
      </c>
      <c r="I75" s="34" t="s">
        <v>1023</v>
      </c>
      <c r="J75" s="34" t="s">
        <v>1032</v>
      </c>
      <c r="K75" s="34" t="s">
        <v>1033</v>
      </c>
      <c r="L75" s="34" t="s">
        <v>1034</v>
      </c>
      <c r="M75" s="34" t="s">
        <v>1035</v>
      </c>
      <c r="N75" t="s">
        <v>539</v>
      </c>
      <c r="O75" t="s">
        <v>540</v>
      </c>
      <c r="P75" t="s">
        <v>383</v>
      </c>
      <c r="R75" s="34" t="str">
        <f>IF(Tabella4[[#This Row],[Componente]]="Documenti",_xlfn.XLOOKUP(Tabella4[[#This Row],[URL]],Tabella27[URL],Tabella27[PDF ID],,0),_xlfn.XLOOKUP(Tabella4[[#This Row],[URL]],Tabella1[URL],Tabella1[Page ID],,0))</f>
        <v>#2</v>
      </c>
      <c r="S75" s="34" t="s">
        <v>1004</v>
      </c>
      <c r="T75" s="34" t="s">
        <v>518</v>
      </c>
      <c r="V75" t="s">
        <v>521</v>
      </c>
      <c r="W75" s="34" t="s">
        <v>1068</v>
      </c>
      <c r="X75"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href="#rcaposteguidaresicurilinear-item-9" aria-expanded="false" aria-controls="rcaposteguidaresicurilinear-item-9" title="Dal 22/02/2021 al 30/06/2021"&gt;</v>
      </c>
      <c r="Y75" s="34" t="str">
        <f>SUBSTITUTE(IF(Tabella4[[#This Row],[Tool]]="axe-core",MID(Tabella4[[#This Row],[Rejected Element]],3,LEN(Tabella4[[#This Row],[Rejected Element]])-4),Tabella4[[#This Row],[Rejected Element]]),"\","")</f>
        <v>#heading-rcaposteguidaresicurilinear-item-9 &gt; .panel-title &gt; .accordion-toggle[title="Dal 22/02/2021 al 30/06/2021"][role="button"]</v>
      </c>
      <c r="Z75" s="34">
        <f>COUNTIFS(Tabella4[Detail univoco],Tabella4[[#This Row],[Detail univoco]],Tabella4[Rejected Element Univoco],Tabella4[[#This Row],[Rejected Element Univoco]],Tabella4[ItemsNodeLabel],Tabella4[[#This Row],[ItemsNodeLabel]])</f>
        <v>0</v>
      </c>
      <c r="AA75" s="34" t="str">
        <f>IF(Tabella4[[#This Row],[Componente]]="Documenti",VLOOKUP(Tabella4[[#This Row],[URL]],Tabella27[[URL]:[Servizio]],4,FALSE),VLOOKUP(Tabella4[[#This Row],[Page ID]],Tabella1[[Page ID]:[Servizio]],4,FALSE))</f>
        <v>S003 Assistenza</v>
      </c>
      <c r="AB75" s="34"/>
      <c r="AC75" s="34" t="str">
        <f>Tabella4[[#This Row],[User Impact]]</f>
        <v>2 - Serious</v>
      </c>
      <c r="AD75" s="34" t="str">
        <f>Copertina!C$2&amp;" - "&amp;Tabella4[[#This Row],[UNI CEI EN 301549]]&amp;" "&amp;VLOOKUP(Tabella4[[#This Row],[Criterio]],Tabella5[[ID]:[Criterio di successo]],2,FALSE)&amp;" - "&amp;Tabella4[[#This Row],[Servizio]]&amp;":"</f>
        <v>Insurance Brocker - 9.2.5.8 Dimensione dell'obiettivo (minimo) - S003 Assistenza:</v>
      </c>
      <c r="AE7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(#TM0036)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href="#rcaposteguidaresicurilinear-item-9" aria-expanded="false" aria-controls="rcaposteguidaresicurilinear-item-9" title="Dal 22/02/2021 al 30/06/2021"&gt; con selettore: 
["#heading-rcaposteguidaresicurilinear-item-9 &gt; .panel-title &gt; .accordion-toggle[title=\"Dal 22/02/2021 al 30/06/2021\"][role=\"button\"]"]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75" t="e">
        <f>_xlfn.XLOOKUP(Tabella4[[#This Row],[ID Silk]],outTable[ID Silk],outTable[Numero ticket  ],,0,1)</f>
        <v>#N/A</v>
      </c>
    </row>
    <row r="76" spans="1:32">
      <c r="A76" s="34" t="str">
        <f>MID(Tabella4[[#This Row],[Servizio]],1,4)&amp;Tabella4[[#This Row],[UNI CEI EN 301549]]</f>
        <v>S0039.2.5.8</v>
      </c>
      <c r="B76" s="34" t="str">
        <f>Tabella4[[#This Row],[ID Silk]]&amp;"_1"</f>
        <v>S0039.2.5.8_1</v>
      </c>
      <c r="C76" s="34" t="s">
        <v>817</v>
      </c>
      <c r="D76" s="2" t="str">
        <f>"(#"&amp;Tabella4[[#This Row],['#ID]]&amp;")"</f>
        <v>(#TM0037)</v>
      </c>
      <c r="E76" s="34" t="str">
        <f>IF(MID(Tabella4[[#This Row],['#ID]],1,1)="M","Mobile",IF(MID(Tabella4[[#This Row],['#ID]],1,1)="D","Desktop",IF(MID(Tabella4[[#This Row],['#ID]],1,2)="TM","Manuale","Documenti")))</f>
        <v>Manuale</v>
      </c>
      <c r="F76" s="34" t="s">
        <v>1006</v>
      </c>
      <c r="G76" s="34" t="s">
        <v>372</v>
      </c>
      <c r="H76" s="34" t="str">
        <f>IF(Tabella4[[#This Row],[Componente]]="Documenti","10.","9.")&amp;Tabella4[[#This Row],[Criterio]]</f>
        <v>9.2.5.8</v>
      </c>
      <c r="I76" s="34" t="s">
        <v>1023</v>
      </c>
      <c r="J76" s="34" t="s">
        <v>1032</v>
      </c>
      <c r="K76" s="34" t="s">
        <v>1033</v>
      </c>
      <c r="L76" s="34" t="s">
        <v>1034</v>
      </c>
      <c r="M76" s="34" t="s">
        <v>1035</v>
      </c>
      <c r="N76" t="s">
        <v>512</v>
      </c>
      <c r="O76" t="s">
        <v>513</v>
      </c>
      <c r="P76" t="s">
        <v>383</v>
      </c>
      <c r="R76" s="34" t="str">
        <f>IF(Tabella4[[#This Row],[Componente]]="Documenti",_xlfn.XLOOKUP(Tabella4[[#This Row],[URL]],Tabella27[URL],Tabella27[PDF ID],,0),_xlfn.XLOOKUP(Tabella4[[#This Row],[URL]],Tabella1[URL],Tabella1[Page ID],,0))</f>
        <v>#2</v>
      </c>
      <c r="S76" s="34" t="s">
        <v>1004</v>
      </c>
      <c r="T76" s="34" t="s">
        <v>518</v>
      </c>
      <c r="V76" t="s">
        <v>519</v>
      </c>
      <c r="W76" s="34" t="s">
        <v>1068</v>
      </c>
      <c r="X76" s="34" t="str">
        <f>IFERROR(IF(Tabella4[[#This Row],[Tool]]="lighthouse",Tabella4[[#This Row],[Detail]],MID(Tabella4[[#This Row],[Detail]],1,FIND("&gt;",Tabella4[[#This Row],[Detail]]))),Tabella4[[#This Row],[Detail]])</f>
        <v>&lt;div class="panel-heading" role="tab" tabindex="0" id="heading-rcaposteguidaresicurilinear-item-10"&gt;</v>
      </c>
      <c r="Y76" s="34" t="str">
        <f>SUBSTITUTE(IF(Tabella4[[#This Row],[Tool]]="axe-core",MID(Tabella4[[#This Row],[Rejected Element]],3,LEN(Tabella4[[#This Row],[Rejected Element]])-4),Tabella4[[#This Row],[Rejected Element]]),"\","")</f>
        <v>#heading-rcaposteguidaresicurilinear-item-10</v>
      </c>
      <c r="Z76" s="34">
        <f>COUNTIFS(Tabella4[Detail univoco],Tabella4[[#This Row],[Detail univoco]],Tabella4[Rejected Element Univoco],Tabella4[[#This Row],[Rejected Element Univoco]],Tabella4[ItemsNodeLabel],Tabella4[[#This Row],[ItemsNodeLabel]])</f>
        <v>0</v>
      </c>
      <c r="AA76" s="34" t="str">
        <f>IF(Tabella4[[#This Row],[Componente]]="Documenti",VLOOKUP(Tabella4[[#This Row],[URL]],Tabella27[[URL]:[Servizio]],4,FALSE),VLOOKUP(Tabella4[[#This Row],[Page ID]],Tabella1[[Page ID]:[Servizio]],4,FALSE))</f>
        <v>S003 Assistenza</v>
      </c>
      <c r="AB76" s="34"/>
      <c r="AC76" s="34" t="str">
        <f>Tabella4[[#This Row],[User Impact]]</f>
        <v>2 - Serious</v>
      </c>
      <c r="AD76" s="34" t="str">
        <f>Copertina!C$2&amp;" - "&amp;Tabella4[[#This Row],[UNI CEI EN 301549]]&amp;" "&amp;VLOOKUP(Tabella4[[#This Row],[Criterio]],Tabella5[[ID]:[Criterio di successo]],2,FALSE)&amp;" - "&amp;Tabella4[[#This Row],[Servizio]]&amp;":"</f>
        <v>Insurance Brocker - 9.2.5.8 Dimensione dell'obiettivo (minimo) - S003 Assistenza:</v>
      </c>
      <c r="AE7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(#TM0037)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id="heading-rcaposteguidaresicurilinear-item-10"&gt; con selettore: 
["#heading-rcaposteguidaresicurilinear-item-10"]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76" t="e">
        <f>_xlfn.XLOOKUP(Tabella4[[#This Row],[ID Silk]],outTable[ID Silk],outTable[Numero ticket  ],,0,1)</f>
        <v>#N/A</v>
      </c>
    </row>
    <row r="77" spans="1:32">
      <c r="A77" s="34" t="str">
        <f>MID(Tabella4[[#This Row],[Servizio]],1,4)&amp;Tabella4[[#This Row],[UNI CEI EN 301549]]</f>
        <v>S0039.2.5.8</v>
      </c>
      <c r="B77" s="34" t="str">
        <f>Tabella4[[#This Row],[ID Silk]]&amp;"_1"</f>
        <v>S0039.2.5.8_1</v>
      </c>
      <c r="C77" s="34" t="s">
        <v>818</v>
      </c>
      <c r="D77" s="2" t="str">
        <f>"(#"&amp;Tabella4[[#This Row],['#ID]]&amp;")"</f>
        <v>(#TM0038)</v>
      </c>
      <c r="E77" s="34" t="str">
        <f>IF(MID(Tabella4[[#This Row],['#ID]],1,1)="M","Mobile",IF(MID(Tabella4[[#This Row],['#ID]],1,1)="D","Desktop",IF(MID(Tabella4[[#This Row],['#ID]],1,2)="TM","Manuale","Documenti")))</f>
        <v>Manuale</v>
      </c>
      <c r="F77" s="34" t="s">
        <v>1006</v>
      </c>
      <c r="G77" s="34" t="s">
        <v>372</v>
      </c>
      <c r="H77" s="34" t="str">
        <f>IF(Tabella4[[#This Row],[Componente]]="Documenti","10.","9.")&amp;Tabella4[[#This Row],[Criterio]]</f>
        <v>9.2.5.8</v>
      </c>
      <c r="I77" s="34" t="s">
        <v>1023</v>
      </c>
      <c r="J77" s="34" t="s">
        <v>1032</v>
      </c>
      <c r="K77" s="34" t="s">
        <v>1033</v>
      </c>
      <c r="L77" s="34" t="s">
        <v>1034</v>
      </c>
      <c r="M77" s="34" t="s">
        <v>1035</v>
      </c>
      <c r="N77" t="s">
        <v>541</v>
      </c>
      <c r="O77" t="s">
        <v>542</v>
      </c>
      <c r="P77" t="s">
        <v>383</v>
      </c>
      <c r="R77" s="34" t="str">
        <f>IF(Tabella4[[#This Row],[Componente]]="Documenti",_xlfn.XLOOKUP(Tabella4[[#This Row],[URL]],Tabella27[URL],Tabella27[PDF ID],,0),_xlfn.XLOOKUP(Tabella4[[#This Row],[URL]],Tabella1[URL],Tabella1[Page ID],,0))</f>
        <v>#2</v>
      </c>
      <c r="S77" s="34" t="s">
        <v>1004</v>
      </c>
      <c r="T77" s="34" t="s">
        <v>518</v>
      </c>
      <c r="V77" t="s">
        <v>521</v>
      </c>
      <c r="W77" s="34" t="s">
        <v>1068</v>
      </c>
      <c r="X77"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href="#rcaposteguidaresicurilinear-item-10" aria-expanded="false" aria-controls="rcaposteguidaresicurilinear-item-10" title="Servizi Telematici"&gt;</v>
      </c>
      <c r="Y77" s="34" t="str">
        <f>SUBSTITUTE(IF(Tabella4[[#This Row],[Tool]]="axe-core",MID(Tabella4[[#This Row],[Rejected Element]],3,LEN(Tabella4[[#This Row],[Rejected Element]])-4),Tabella4[[#This Row],[Rejected Element]]),"\","")</f>
        <v>#heading-rcaposteguidaresicurilinear-item-10 &gt; .panel-title &gt; .accordion-toggle[title="Servizi Telematici"][role="button"]</v>
      </c>
      <c r="Z77" s="34">
        <f>COUNTIFS(Tabella4[Detail univoco],Tabella4[[#This Row],[Detail univoco]],Tabella4[Rejected Element Univoco],Tabella4[[#This Row],[Rejected Element Univoco]],Tabella4[ItemsNodeLabel],Tabella4[[#This Row],[ItemsNodeLabel]])</f>
        <v>0</v>
      </c>
      <c r="AA77" s="34" t="str">
        <f>IF(Tabella4[[#This Row],[Componente]]="Documenti",VLOOKUP(Tabella4[[#This Row],[URL]],Tabella27[[URL]:[Servizio]],4,FALSE),VLOOKUP(Tabella4[[#This Row],[Page ID]],Tabella1[[Page ID]:[Servizio]],4,FALSE))</f>
        <v>S003 Assistenza</v>
      </c>
      <c r="AB77" s="34"/>
      <c r="AC77" s="34" t="str">
        <f>Tabella4[[#This Row],[User Impact]]</f>
        <v>2 - Serious</v>
      </c>
      <c r="AD77" s="34" t="str">
        <f>Copertina!C$2&amp;" - "&amp;Tabella4[[#This Row],[UNI CEI EN 301549]]&amp;" "&amp;VLOOKUP(Tabella4[[#This Row],[Criterio]],Tabella5[[ID]:[Criterio di successo]],2,FALSE)&amp;" - "&amp;Tabella4[[#This Row],[Servizio]]&amp;":"</f>
        <v>Insurance Brocker - 9.2.5.8 Dimensione dell'obiettivo (minimo) - S003 Assistenza:</v>
      </c>
      <c r="AE7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(#TM0038)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href="#rcaposteguidaresicurilinear-item-10" aria-expanded="false" aria-controls="rcaposteguidaresicurilinear-item-10" title="Servizi Telematici"&gt;Servizi Telematici&lt;/a&gt; con selettore: 
["#heading-rcaposteguidaresicurilinear-item-10 &gt; .panel-title &gt; .accordion-toggle[title=\"Servizi Telematici\"][role=\"button\"]"]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77" t="e">
        <f>_xlfn.XLOOKUP(Tabella4[[#This Row],[ID Silk]],outTable[ID Silk],outTable[Numero ticket  ],,0,1)</f>
        <v>#N/A</v>
      </c>
    </row>
    <row r="78" spans="1:32">
      <c r="A78" s="34" t="str">
        <f>MID(Tabella4[[#This Row],[Servizio]],1,4)&amp;Tabella4[[#This Row],[UNI CEI EN 301549]]</f>
        <v>S0039.2.5.8</v>
      </c>
      <c r="B78" s="34" t="str">
        <f>Tabella4[[#This Row],[ID Silk]]&amp;"_1"</f>
        <v>S0039.2.5.8_1</v>
      </c>
      <c r="C78" s="34" t="s">
        <v>819</v>
      </c>
      <c r="D78" s="2" t="str">
        <f>"(#"&amp;Tabella4[[#This Row],['#ID]]&amp;")"</f>
        <v>(#TM0039)</v>
      </c>
      <c r="E78" s="34" t="str">
        <f>IF(MID(Tabella4[[#This Row],['#ID]],1,1)="M","Mobile",IF(MID(Tabella4[[#This Row],['#ID]],1,1)="D","Desktop",IF(MID(Tabella4[[#This Row],['#ID]],1,2)="TM","Manuale","Documenti")))</f>
        <v>Manuale</v>
      </c>
      <c r="F78" s="34" t="s">
        <v>1006</v>
      </c>
      <c r="G78" s="34" t="s">
        <v>372</v>
      </c>
      <c r="H78" s="34" t="str">
        <f>IF(Tabella4[[#This Row],[Componente]]="Documenti","10.","9.")&amp;Tabella4[[#This Row],[Criterio]]</f>
        <v>9.2.5.8</v>
      </c>
      <c r="I78" s="34" t="s">
        <v>1023</v>
      </c>
      <c r="J78" s="34" t="s">
        <v>1032</v>
      </c>
      <c r="K78" s="34" t="s">
        <v>1033</v>
      </c>
      <c r="L78" s="34" t="s">
        <v>1034</v>
      </c>
      <c r="M78" s="34" t="s">
        <v>1035</v>
      </c>
      <c r="N78" t="s">
        <v>514</v>
      </c>
      <c r="O78" t="s">
        <v>515</v>
      </c>
      <c r="P78" t="s">
        <v>383</v>
      </c>
      <c r="R78" s="34" t="str">
        <f>IF(Tabella4[[#This Row],[Componente]]="Documenti",_xlfn.XLOOKUP(Tabella4[[#This Row],[URL]],Tabella27[URL],Tabella27[PDF ID],,0),_xlfn.XLOOKUP(Tabella4[[#This Row],[URL]],Tabella1[URL],Tabella1[Page ID],,0))</f>
        <v>#2</v>
      </c>
      <c r="S78" s="34" t="s">
        <v>1004</v>
      </c>
      <c r="T78" s="34" t="s">
        <v>518</v>
      </c>
      <c r="V78" t="s">
        <v>519</v>
      </c>
      <c r="W78" s="34" t="s">
        <v>1068</v>
      </c>
      <c r="X78" s="34" t="str">
        <f>IFERROR(IF(Tabella4[[#This Row],[Tool]]="lighthouse",Tabella4[[#This Row],[Detail]],MID(Tabella4[[#This Row],[Detail]],1,FIND("&gt;",Tabella4[[#This Row],[Detail]]))),Tabella4[[#This Row],[Detail]])</f>
        <v>&lt;div class="panel-heading" role="tab" tabindex="0" id="heading-rcaposteguidaresicurilinear-item-11"&gt;</v>
      </c>
      <c r="Y78" s="34" t="str">
        <f>SUBSTITUTE(IF(Tabella4[[#This Row],[Tool]]="axe-core",MID(Tabella4[[#This Row],[Rejected Element]],3,LEN(Tabella4[[#This Row],[Rejected Element]])-4),Tabella4[[#This Row],[Rejected Element]]),"\","")</f>
        <v>#heading-rcaposteguidaresicurilinear-item-11</v>
      </c>
      <c r="Z78" s="34">
        <f>COUNTIFS(Tabella4[Detail univoco],Tabella4[[#This Row],[Detail univoco]],Tabella4[Rejected Element Univoco],Tabella4[[#This Row],[Rejected Element Univoco]],Tabella4[ItemsNodeLabel],Tabella4[[#This Row],[ItemsNodeLabel]])</f>
        <v>0</v>
      </c>
      <c r="AA78" s="34" t="str">
        <f>IF(Tabella4[[#This Row],[Componente]]="Documenti",VLOOKUP(Tabella4[[#This Row],[URL]],Tabella27[[URL]:[Servizio]],4,FALSE),VLOOKUP(Tabella4[[#This Row],[Page ID]],Tabella1[[Page ID]:[Servizio]],4,FALSE))</f>
        <v>S003 Assistenza</v>
      </c>
      <c r="AB78" s="34"/>
      <c r="AC78" s="34" t="str">
        <f>Tabella4[[#This Row],[User Impact]]</f>
        <v>2 - Serious</v>
      </c>
      <c r="AD78" s="34" t="str">
        <f>Copertina!C$2&amp;" - "&amp;Tabella4[[#This Row],[UNI CEI EN 301549]]&amp;" "&amp;VLOOKUP(Tabella4[[#This Row],[Criterio]],Tabella5[[ID]:[Criterio di successo]],2,FALSE)&amp;" - "&amp;Tabella4[[#This Row],[Servizio]]&amp;":"</f>
        <v>Insurance Brocker - 9.2.5.8 Dimensione dell'obiettivo (minimo) - S003 Assistenza:</v>
      </c>
      <c r="AE7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(#TM0039)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id="heading-rcaposteguidaresicurilinear-item-11"&gt; con selettore: 
["#heading-rcaposteguidaresicurilinear-item-11"]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78" t="e">
        <f>_xlfn.XLOOKUP(Tabella4[[#This Row],[ID Silk]],outTable[ID Silk],outTable[Numero ticket  ],,0,1)</f>
        <v>#N/A</v>
      </c>
    </row>
    <row r="79" spans="1:32">
      <c r="A79" s="34" t="str">
        <f>MID(Tabella4[[#This Row],[Servizio]],1,4)&amp;Tabella4[[#This Row],[UNI CEI EN 301549]]</f>
        <v>S0039.2.5.8</v>
      </c>
      <c r="B79" s="34" t="str">
        <f>Tabella4[[#This Row],[ID Silk]]&amp;"_1"</f>
        <v>S0039.2.5.8_1</v>
      </c>
      <c r="C79" s="34" t="s">
        <v>820</v>
      </c>
      <c r="D79" s="2" t="str">
        <f>"(#"&amp;Tabella4[[#This Row],['#ID]]&amp;")"</f>
        <v>(#TM0040)</v>
      </c>
      <c r="E79" s="34" t="str">
        <f>IF(MID(Tabella4[[#This Row],['#ID]],1,1)="M","Mobile",IF(MID(Tabella4[[#This Row],['#ID]],1,1)="D","Desktop",IF(MID(Tabella4[[#This Row],['#ID]],1,2)="TM","Manuale","Documenti")))</f>
        <v>Manuale</v>
      </c>
      <c r="F79" s="34" t="s">
        <v>1006</v>
      </c>
      <c r="G79" s="34" t="s">
        <v>372</v>
      </c>
      <c r="H79" s="34" t="str">
        <f>IF(Tabella4[[#This Row],[Componente]]="Documenti","10.","9.")&amp;Tabella4[[#This Row],[Criterio]]</f>
        <v>9.2.5.8</v>
      </c>
      <c r="I79" s="34" t="s">
        <v>1023</v>
      </c>
      <c r="J79" s="34" t="s">
        <v>1032</v>
      </c>
      <c r="K79" s="34" t="s">
        <v>1033</v>
      </c>
      <c r="L79" s="34" t="s">
        <v>1034</v>
      </c>
      <c r="M79" s="34" t="s">
        <v>1035</v>
      </c>
      <c r="N79" t="s">
        <v>543</v>
      </c>
      <c r="O79" t="s">
        <v>544</v>
      </c>
      <c r="P79" t="s">
        <v>383</v>
      </c>
      <c r="R79" s="34" t="str">
        <f>IF(Tabella4[[#This Row],[Componente]]="Documenti",_xlfn.XLOOKUP(Tabella4[[#This Row],[URL]],Tabella27[URL],Tabella27[PDF ID],,0),_xlfn.XLOOKUP(Tabella4[[#This Row],[URL]],Tabella1[URL],Tabella1[Page ID],,0))</f>
        <v>#2</v>
      </c>
      <c r="S79" s="34" t="s">
        <v>1004</v>
      </c>
      <c r="T79" s="34" t="s">
        <v>518</v>
      </c>
      <c r="V79" t="s">
        <v>521</v>
      </c>
      <c r="W79" s="34" t="s">
        <v>1068</v>
      </c>
      <c r="X79"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href="#rcaposteguidaresicurilinear-item-11" aria-expanded="false" aria-controls="rcaposteguidaresicurilinear-item-11" title="Dal 19/10/2020 al 21/02/2021"&gt;</v>
      </c>
      <c r="Y79" s="34" t="str">
        <f>SUBSTITUTE(IF(Tabella4[[#This Row],[Tool]]="axe-core",MID(Tabella4[[#This Row],[Rejected Element]],3,LEN(Tabella4[[#This Row],[Rejected Element]])-4),Tabella4[[#This Row],[Rejected Element]]),"\","")</f>
        <v>#heading-rcaposteguidaresicurilinear-item-11 &gt; .panel-title &gt; .accordion-toggle[title="Dal 19/10/2020 al 21/02/2021"][role="button"]</v>
      </c>
      <c r="Z79" s="34">
        <f>COUNTIFS(Tabella4[Detail univoco],Tabella4[[#This Row],[Detail univoco]],Tabella4[Rejected Element Univoco],Tabella4[[#This Row],[Rejected Element Univoco]],Tabella4[ItemsNodeLabel],Tabella4[[#This Row],[ItemsNodeLabel]])</f>
        <v>0</v>
      </c>
      <c r="AA79" s="34" t="str">
        <f>IF(Tabella4[[#This Row],[Componente]]="Documenti",VLOOKUP(Tabella4[[#This Row],[URL]],Tabella27[[URL]:[Servizio]],4,FALSE),VLOOKUP(Tabella4[[#This Row],[Page ID]],Tabella1[[Page ID]:[Servizio]],4,FALSE))</f>
        <v>S003 Assistenza</v>
      </c>
      <c r="AB79" s="34"/>
      <c r="AC79" s="34" t="str">
        <f>Tabella4[[#This Row],[User Impact]]</f>
        <v>2 - Serious</v>
      </c>
      <c r="AD79" s="34" t="str">
        <f>Copertina!C$2&amp;" - "&amp;Tabella4[[#This Row],[UNI CEI EN 301549]]&amp;" "&amp;VLOOKUP(Tabella4[[#This Row],[Criterio]],Tabella5[[ID]:[Criterio di successo]],2,FALSE)&amp;" - "&amp;Tabella4[[#This Row],[Servizio]]&amp;":"</f>
        <v>Insurance Brocker - 9.2.5.8 Dimensione dell'obiettivo (minimo) - S003 Assistenza:</v>
      </c>
      <c r="AE7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(#TM0040)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href="#rcaposteguidaresicurilinear-item-11" aria-expanded="false" aria-controls="rcaposteguidaresicurilinear-item-11" title="Dal 19/10/2020 al 21/02/2021"&gt; con selettore: 
["#heading-rcaposteguidaresicurilinear-item-11 &gt; .panel-title &gt; .accordion-toggle[title=\"Dal 19/10/2020 al 21/02/2021\"][role=\"button\"]"]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79" t="e">
        <f>_xlfn.XLOOKUP(Tabella4[[#This Row],[ID Silk]],outTable[ID Silk],outTable[Numero ticket  ],,0,1)</f>
        <v>#N/A</v>
      </c>
    </row>
    <row r="80" spans="1:32">
      <c r="A80" s="34" t="str">
        <f>MID(Tabella4[[#This Row],[Servizio]],1,4)&amp;Tabella4[[#This Row],[UNI CEI EN 301549]]</f>
        <v>S0039.2.5.8</v>
      </c>
      <c r="B80" s="34" t="str">
        <f>Tabella4[[#This Row],[ID Silk]]&amp;"_1"</f>
        <v>S0039.2.5.8_1</v>
      </c>
      <c r="C80" s="34" t="s">
        <v>821</v>
      </c>
      <c r="D80" s="2" t="str">
        <f>"(#"&amp;Tabella4[[#This Row],['#ID]]&amp;")"</f>
        <v>(#TM0041)</v>
      </c>
      <c r="E80" s="34" t="str">
        <f>IF(MID(Tabella4[[#This Row],['#ID]],1,1)="M","Mobile",IF(MID(Tabella4[[#This Row],['#ID]],1,1)="D","Desktop",IF(MID(Tabella4[[#This Row],['#ID]],1,2)="TM","Manuale","Documenti")))</f>
        <v>Manuale</v>
      </c>
      <c r="F80" s="34" t="s">
        <v>1006</v>
      </c>
      <c r="G80" s="34" t="s">
        <v>372</v>
      </c>
      <c r="H80" s="34" t="str">
        <f>IF(Tabella4[[#This Row],[Componente]]="Documenti","10.","9.")&amp;Tabella4[[#This Row],[Criterio]]</f>
        <v>9.2.5.8</v>
      </c>
      <c r="I80" s="34" t="s">
        <v>1023</v>
      </c>
      <c r="J80" s="34" t="s">
        <v>1032</v>
      </c>
      <c r="K80" s="34" t="s">
        <v>1033</v>
      </c>
      <c r="L80" s="34" t="s">
        <v>1034</v>
      </c>
      <c r="M80" s="34" t="s">
        <v>1035</v>
      </c>
      <c r="N80" t="s">
        <v>516</v>
      </c>
      <c r="O80" t="s">
        <v>517</v>
      </c>
      <c r="P80" t="s">
        <v>383</v>
      </c>
      <c r="R80" s="34" t="str">
        <f>IF(Tabella4[[#This Row],[Componente]]="Documenti",_xlfn.XLOOKUP(Tabella4[[#This Row],[URL]],Tabella27[URL],Tabella27[PDF ID],,0),_xlfn.XLOOKUP(Tabella4[[#This Row],[URL]],Tabella1[URL],Tabella1[Page ID],,0))</f>
        <v>#2</v>
      </c>
      <c r="S80" s="34" t="s">
        <v>1004</v>
      </c>
      <c r="T80" s="34" t="s">
        <v>518</v>
      </c>
      <c r="V80" t="s">
        <v>519</v>
      </c>
      <c r="W80" s="34" t="s">
        <v>1068</v>
      </c>
      <c r="X80" s="34" t="str">
        <f>IFERROR(IF(Tabella4[[#This Row],[Tool]]="lighthouse",Tabella4[[#This Row],[Detail]],MID(Tabella4[[#This Row],[Detail]],1,FIND("&gt;",Tabella4[[#This Row],[Detail]]))),Tabella4[[#This Row],[Detail]])</f>
        <v>&lt;div class="panel-heading" role="tab" tabindex="0" id="heading-rcaposteguidaresicurilinear-item-12"&gt;</v>
      </c>
      <c r="Y80" s="34" t="str">
        <f>SUBSTITUTE(IF(Tabella4[[#This Row],[Tool]]="axe-core",MID(Tabella4[[#This Row],[Rejected Element]],3,LEN(Tabella4[[#This Row],[Rejected Element]])-4),Tabella4[[#This Row],[Rejected Element]]),"\","")</f>
        <v>#heading-rcaposteguidaresicurilinear-item-12</v>
      </c>
      <c r="Z80" s="34">
        <f>COUNTIFS(Tabella4[Detail univoco],Tabella4[[#This Row],[Detail univoco]],Tabella4[Rejected Element Univoco],Tabella4[[#This Row],[Rejected Element Univoco]],Tabella4[ItemsNodeLabel],Tabella4[[#This Row],[ItemsNodeLabel]])</f>
        <v>0</v>
      </c>
      <c r="AA80" s="34" t="str">
        <f>IF(Tabella4[[#This Row],[Componente]]="Documenti",VLOOKUP(Tabella4[[#This Row],[URL]],Tabella27[[URL]:[Servizio]],4,FALSE),VLOOKUP(Tabella4[[#This Row],[Page ID]],Tabella1[[Page ID]:[Servizio]],4,FALSE))</f>
        <v>S003 Assistenza</v>
      </c>
      <c r="AB80" s="34"/>
      <c r="AC80" s="34" t="str">
        <f>Tabella4[[#This Row],[User Impact]]</f>
        <v>2 - Serious</v>
      </c>
      <c r="AD80" s="34" t="str">
        <f>Copertina!C$2&amp;" - "&amp;Tabella4[[#This Row],[UNI CEI EN 301549]]&amp;" "&amp;VLOOKUP(Tabella4[[#This Row],[Criterio]],Tabella5[[ID]:[Criterio di successo]],2,FALSE)&amp;" - "&amp;Tabella4[[#This Row],[Servizio]]&amp;":"</f>
        <v>Insurance Brocker - 9.2.5.8 Dimensione dell'obiettivo (minimo) - S003 Assistenza:</v>
      </c>
      <c r="AE8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(#TM0041)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&lt;div class="panel-heading" role="tab" tabindex="0" id="heading-rcaposteguidaresicurilinear-item-12"&gt; con selettore: 
["#heading-rcaposteguidaresicurilinear-item-12"]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80" t="e">
        <f>_xlfn.XLOOKUP(Tabella4[[#This Row],[ID Silk]],outTable[ID Silk],outTable[Numero ticket  ],,0,1)</f>
        <v>#N/A</v>
      </c>
    </row>
    <row r="81" spans="1:32">
      <c r="A81" s="34" t="str">
        <f>MID(Tabella4[[#This Row],[Servizio]],1,4)&amp;Tabella4[[#This Row],[UNI CEI EN 301549]]</f>
        <v>S0039.2.5.8</v>
      </c>
      <c r="B81" s="34" t="str">
        <f>Tabella4[[#This Row],[ID Silk]]&amp;"_1"</f>
        <v>S0039.2.5.8_1</v>
      </c>
      <c r="C81" s="34" t="s">
        <v>822</v>
      </c>
      <c r="D81" s="2" t="str">
        <f>"(#"&amp;Tabella4[[#This Row],['#ID]]&amp;")"</f>
        <v>(#TM0042)</v>
      </c>
      <c r="E81" s="34" t="str">
        <f>IF(MID(Tabella4[[#This Row],['#ID]],1,1)="M","Mobile",IF(MID(Tabella4[[#This Row],['#ID]],1,1)="D","Desktop",IF(MID(Tabella4[[#This Row],['#ID]],1,2)="TM","Manuale","Documenti")))</f>
        <v>Manuale</v>
      </c>
      <c r="F81" s="34" t="s">
        <v>1006</v>
      </c>
      <c r="G81" s="34" t="s">
        <v>372</v>
      </c>
      <c r="H81" s="34" t="str">
        <f>IF(Tabella4[[#This Row],[Componente]]="Documenti","10.","9.")&amp;Tabella4[[#This Row],[Criterio]]</f>
        <v>9.2.5.8</v>
      </c>
      <c r="I81" s="34" t="s">
        <v>1023</v>
      </c>
      <c r="J81" s="34" t="s">
        <v>1032</v>
      </c>
      <c r="K81" s="34" t="s">
        <v>1033</v>
      </c>
      <c r="L81" s="34" t="s">
        <v>1034</v>
      </c>
      <c r="M81" s="34" t="s">
        <v>1035</v>
      </c>
      <c r="N81" t="s">
        <v>545</v>
      </c>
      <c r="O81" t="s">
        <v>546</v>
      </c>
      <c r="P81" t="s">
        <v>383</v>
      </c>
      <c r="R81" s="34" t="str">
        <f>IF(Tabella4[[#This Row],[Componente]]="Documenti",_xlfn.XLOOKUP(Tabella4[[#This Row],[URL]],Tabella27[URL],Tabella27[PDF ID],,0),_xlfn.XLOOKUP(Tabella4[[#This Row],[URL]],Tabella1[URL],Tabella1[Page ID],,0))</f>
        <v>#2</v>
      </c>
      <c r="S81" s="34" t="s">
        <v>1004</v>
      </c>
      <c r="T81" s="34" t="s">
        <v>518</v>
      </c>
      <c r="V81" t="s">
        <v>521</v>
      </c>
      <c r="W81" s="34" t="s">
        <v>1068</v>
      </c>
      <c r="X81" s="34" t="str">
        <f>IFERROR(IF(Tabella4[[#This Row],[Tool]]="lighthouse",Tabella4[[#This Row],[Detail]],MID(Tabella4[[#This Row],[Detail]],1,FIND("&gt;",Tabella4[[#This Row],[Detail]]))),Tabella4[[#This Row],[Detail]])</f>
        <v>&lt;a class="accordion-toggle collapsed" role="button" data-toggle="collapse" data-parent="accordion-rcaposteguidaresicurilinear" href="#rcaposteguidaresicurilinear-item-12" aria-expanded="false" aria-controls="rcaposteguidaresicurilinear-item-12" title="Dal 20/07/2020 al 18/19/2020"&gt;</v>
      </c>
      <c r="Y81" s="34" t="str">
        <f>SUBSTITUTE(IF(Tabella4[[#This Row],[Tool]]="axe-core",MID(Tabella4[[#This Row],[Rejected Element]],3,LEN(Tabella4[[#This Row],[Rejected Element]])-4),Tabella4[[#This Row],[Rejected Element]]),"\","")</f>
        <v>#heading-rcaposteguidaresicurilinear-item-12 &gt; .panel-title &gt; .accordion-toggle[title="Dal 20/07/2020 al 18/19/2020"][role="button"]</v>
      </c>
      <c r="Z81" s="34">
        <f>COUNTIFS(Tabella4[Detail univoco],Tabella4[[#This Row],[Detail univoco]],Tabella4[Rejected Element Univoco],Tabella4[[#This Row],[Rejected Element Univoco]],Tabella4[ItemsNodeLabel],Tabella4[[#This Row],[ItemsNodeLabel]])</f>
        <v>0</v>
      </c>
      <c r="AA81" s="34" t="str">
        <f>IF(Tabella4[[#This Row],[Componente]]="Documenti",VLOOKUP(Tabella4[[#This Row],[URL]],Tabella27[[URL]:[Servizio]],4,FALSE),VLOOKUP(Tabella4[[#This Row],[Page ID]],Tabella1[[Page ID]:[Servizio]],4,FALSE))</f>
        <v>S003 Assistenza</v>
      </c>
      <c r="AB81" s="34"/>
      <c r="AC81" s="34" t="str">
        <f>Tabella4[[#This Row],[User Impact]]</f>
        <v>2 - Serious</v>
      </c>
      <c r="AD81" s="34" t="str">
        <f>Copertina!C$2&amp;" - "&amp;Tabella4[[#This Row],[UNI CEI EN 301549]]&amp;" "&amp;VLOOKUP(Tabella4[[#This Row],[Criterio]],Tabella5[[ID]:[Criterio di successo]],2,FALSE)&amp;" - "&amp;Tabella4[[#This Row],[Servizio]]&amp;":"</f>
        <v>Insurance Brocker - 9.2.5.8 Dimensione dell'obiettivo (minimo) - S003 Assistenza:</v>
      </c>
      <c r="AE8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S003 Assistenza: (#TM0042)
S003 Assistenza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https://posteinsurancebroker.poste.it/archivio/ - &lt;a class="accordion-toggle collapsed" role="button" data-toggle="collapse" data-parent="accordion-rcaposteguidaresicurilinear" href="#rcaposteguidaresicurilinear-item-12" aria-expanded="false" aria-controls="rcaposteguidaresicurilinear-item-12" title="Dal 20/07/2020 al 18/19/2020"&gt; con selettore: 
["#heading-rcaposteguidaresicurilinear-item-12 &gt; .panel-title &gt; .accordion-toggle[title=\"Dal 20/07/2020 al 18/19/2020\"][role=\"button\"]"]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26): https://posteitaliane.sharepoint.com/:x:/r/teams/ACCESSIBILITRISULTATIVERIFICHETECNICHE-PORTALEIMMIGRAZIONE/Shared%20Documents/PORTALE%20IMMIGRAZIONE/LOG/Log_2411.xlsx?d=wce770a595441461abc11f2c139111c73&amp;csf=1&amp;web=1&amp;e=tpdJfo
Link al dettaglio requisito WCAG: </v>
      </c>
      <c r="AF81" t="e">
        <f>_xlfn.XLOOKUP(Tabella4[[#This Row],[ID Silk]],outTable[ID Silk],outTable[Numero ticket  ],,0,1)</f>
        <v>#N/A</v>
      </c>
    </row>
    <row r="82" spans="1:32">
      <c r="A82" s="34" t="str">
        <f>MID(Tabella4[[#This Row],[Servizio]],1,4)&amp;Tabella4[[#This Row],[UNI CEI EN 301549]]</f>
        <v>S0039.1.4.3</v>
      </c>
      <c r="B82" s="34" t="str">
        <f>Tabella4[[#This Row],[ID Silk]]&amp;"_1"</f>
        <v>S0039.1.4.3_1</v>
      </c>
      <c r="C82" s="34" t="s">
        <v>823</v>
      </c>
      <c r="D82" s="2" t="str">
        <f>"(#"&amp;Tabella4[[#This Row],['#ID]]&amp;")"</f>
        <v>(#TM0043)</v>
      </c>
      <c r="E82" s="34" t="str">
        <f>IF(MID(Tabella4[[#This Row],['#ID]],1,1)="M","Mobile",IF(MID(Tabella4[[#This Row],['#ID]],1,1)="D","Desktop",IF(MID(Tabella4[[#This Row],['#ID]],1,2)="TM","Manuale","Documenti")))</f>
        <v>Manuale</v>
      </c>
      <c r="F82" s="34" t="s">
        <v>1006</v>
      </c>
      <c r="G82" s="34" t="s">
        <v>228</v>
      </c>
      <c r="H82" s="34" t="str">
        <f>IF(Tabella4[[#This Row],[Componente]]="Documenti","10.","9.")&amp;Tabella4[[#This Row],[Criterio]]</f>
        <v>9.1.4.3</v>
      </c>
      <c r="I82" s="34" t="s">
        <v>1023</v>
      </c>
      <c r="J82" s="34" t="s">
        <v>1037</v>
      </c>
      <c r="K82" s="34" t="s">
        <v>549</v>
      </c>
      <c r="L82" s="34" t="s">
        <v>1038</v>
      </c>
      <c r="M82" s="34" t="s">
        <v>1039</v>
      </c>
      <c r="N82" t="s">
        <v>550</v>
      </c>
      <c r="O82" t="s">
        <v>551</v>
      </c>
      <c r="P82" t="s">
        <v>383</v>
      </c>
      <c r="R82" s="34" t="str">
        <f>IF(Tabella4[[#This Row],[Componente]]="Documenti",_xlfn.XLOOKUP(Tabella4[[#This Row],[URL]],Tabella27[URL],Tabella27[PDF ID],,0),_xlfn.XLOOKUP(Tabella4[[#This Row],[URL]],Tabella1[URL],Tabella1[Page ID],,0))</f>
        <v>#2</v>
      </c>
      <c r="S82" s="34" t="s">
        <v>1004</v>
      </c>
      <c r="T82" s="34" t="s">
        <v>547</v>
      </c>
      <c r="V82" t="s">
        <v>548</v>
      </c>
      <c r="W82" s="34" t="s">
        <v>1069</v>
      </c>
      <c r="X82" s="34" t="str">
        <f>IFERROR(IF(Tabella4[[#This Row],[Tool]]="lighthouse",Tabella4[[#This Row],[Detail]],MID(Tabella4[[#This Row],[Detail]],1,FIND("&gt;",Tabella4[[#This Row],[Detail]]))),Tabella4[[#This Row],[Detail]])</f>
        <v>&lt;a tabindex="0" class="skip-link sr-only-focusable-abs" href="#accessibility-anchor"&gt;</v>
      </c>
      <c r="Y82" s="34" t="str">
        <f>SUBSTITUTE(IF(Tabella4[[#This Row],[Tool]]="axe-core",MID(Tabella4[[#This Row],[Rejected Element]],3,LEN(Tabella4[[#This Row],[Rejected Element]])-4),Tabella4[[#This Row],[Rejected Element]]),"\","")</f>
        <v>body#page &gt; nav#skiplink:nth-of-type(1) &gt; ul:nth-of-type(1) &gt; li:nth-of-type(1) &gt; a.skip-link.sr-only-focusable-abs:nth-of-type(1)</v>
      </c>
      <c r="Z82" s="34">
        <f>COUNTIFS(Tabella4[Detail univoco],Tabella4[[#This Row],[Detail univoco]],Tabella4[Rejected Element Univoco],Tabella4[[#This Row],[Rejected Element Univoco]],Tabella4[ItemsNodeLabel],Tabella4[[#This Row],[ItemsNodeLabel]])</f>
        <v>0</v>
      </c>
      <c r="AA82" s="34" t="str">
        <f>IF(Tabella4[[#This Row],[Componente]]="Documenti",VLOOKUP(Tabella4[[#This Row],[URL]],Tabella27[[URL]:[Servizio]],4,FALSE),VLOOKUP(Tabella4[[#This Row],[Page ID]],Tabella1[[Page ID]:[Servizio]],4,FALSE))</f>
        <v>S003 Assistenza</v>
      </c>
      <c r="AB82" s="34"/>
      <c r="AC82" s="34" t="str">
        <f>Tabella4[[#This Row],[User Impact]]</f>
        <v>2 - Serious</v>
      </c>
      <c r="AD82" s="34" t="str">
        <f>Copertina!C$2&amp;" - "&amp;Tabella4[[#This Row],[UNI CEI EN 301549]]&amp;" "&amp;VLOOKUP(Tabella4[[#This Row],[Criterio]],Tabella5[[ID]:[Criterio di successo]],2,FALSE)&amp;" - "&amp;Tabella4[[#This Row],[Servizio]]&amp;":"</f>
        <v>Insurance Brocker - 9.1.4.3 Contrasto (minimo) - S003 Assistenza:</v>
      </c>
      <c r="AE8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(#TM0043)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https://posteinsurancebroker.poste.it/archivio/ - &lt;a tabindex="0" class="skip-link sr-only-focusable-abs" href="#accessibility-anchor"&gt;Passa al contenuto principale&lt;/a&gt; con selettore: 
["body#page &gt; nav#skiplink:nth-of-type(1) &gt; ul:nth-of-type(1) &gt; li:nth-of-type(1)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82">
        <f>_xlfn.XLOOKUP(Tabella4[[#This Row],[ID Silk]],outTable[ID Silk],outTable[Numero ticket  ],,0,1)</f>
        <v>5967</v>
      </c>
    </row>
    <row r="83" spans="1:32">
      <c r="A83" s="34" t="str">
        <f>MID(Tabella4[[#This Row],[Servizio]],1,4)&amp;Tabella4[[#This Row],[UNI CEI EN 301549]]</f>
        <v>S0039.1.4.3</v>
      </c>
      <c r="B83" s="34" t="str">
        <f>Tabella4[[#This Row],[ID Silk]]&amp;"_1"</f>
        <v>S0039.1.4.3_1</v>
      </c>
      <c r="C83" s="34" t="s">
        <v>824</v>
      </c>
      <c r="D83" s="2" t="str">
        <f>"(#"&amp;Tabella4[[#This Row],['#ID]]&amp;")"</f>
        <v>(#TM0044)</v>
      </c>
      <c r="E83" s="34" t="str">
        <f>IF(MID(Tabella4[[#This Row],['#ID]],1,1)="M","Mobile",IF(MID(Tabella4[[#This Row],['#ID]],1,1)="D","Desktop",IF(MID(Tabella4[[#This Row],['#ID]],1,2)="TM","Manuale","Documenti")))</f>
        <v>Manuale</v>
      </c>
      <c r="F83" s="34" t="s">
        <v>1006</v>
      </c>
      <c r="G83" s="34" t="s">
        <v>228</v>
      </c>
      <c r="H83" s="34" t="str">
        <f>IF(Tabella4[[#This Row],[Componente]]="Documenti","10.","9.")&amp;Tabella4[[#This Row],[Criterio]]</f>
        <v>9.1.4.3</v>
      </c>
      <c r="I83" s="34" t="s">
        <v>1023</v>
      </c>
      <c r="J83" s="34" t="s">
        <v>1037</v>
      </c>
      <c r="K83" s="34" t="s">
        <v>549</v>
      </c>
      <c r="L83" s="34" t="s">
        <v>1038</v>
      </c>
      <c r="M83" s="34" t="s">
        <v>1039</v>
      </c>
      <c r="N83" t="s">
        <v>552</v>
      </c>
      <c r="O83" t="s">
        <v>553</v>
      </c>
      <c r="P83" t="s">
        <v>383</v>
      </c>
      <c r="R83" s="34" t="str">
        <f>IF(Tabella4[[#This Row],[Componente]]="Documenti",_xlfn.XLOOKUP(Tabella4[[#This Row],[URL]],Tabella27[URL],Tabella27[PDF ID],,0),_xlfn.XLOOKUP(Tabella4[[#This Row],[URL]],Tabella1[URL],Tabella1[Page ID],,0))</f>
        <v>#2</v>
      </c>
      <c r="S83" s="34" t="s">
        <v>1004</v>
      </c>
      <c r="T83" s="34" t="s">
        <v>547</v>
      </c>
      <c r="V83" t="s">
        <v>548</v>
      </c>
      <c r="W83" s="34" t="s">
        <v>1069</v>
      </c>
      <c r="X83" s="34" t="str">
        <f>IFERROR(IF(Tabella4[[#This Row],[Tool]]="lighthouse",Tabella4[[#This Row],[Detail]],MID(Tabella4[[#This Row],[Detail]],1,FIND("&gt;",Tabella4[[#This Row],[Detail]]))),Tabella4[[#This Row],[Detail]])</f>
        <v>&lt;a class="skip-link sr-only-focusable-abs" href="#footer"&gt;</v>
      </c>
      <c r="Y83" s="34" t="str">
        <f>SUBSTITUTE(IF(Tabella4[[#This Row],[Tool]]="axe-core",MID(Tabella4[[#This Row],[Rejected Element]],3,LEN(Tabella4[[#This Row],[Rejected Element]])-4),Tabella4[[#This Row],[Rejected Element]]),"\","")</f>
        <v>body#page &gt; nav#skiplink:nth-of-type(1) &gt; ul:nth-of-type(1) &gt; li:nth-of-type(3) &gt; a.skip-link.sr-only-focusable-abs:nth-of-type(1)</v>
      </c>
      <c r="Z83" s="34">
        <f>COUNTIFS(Tabella4[Detail univoco],Tabella4[[#This Row],[Detail univoco]],Tabella4[Rejected Element Univoco],Tabella4[[#This Row],[Rejected Element Univoco]],Tabella4[ItemsNodeLabel],Tabella4[[#This Row],[ItemsNodeLabel]])</f>
        <v>0</v>
      </c>
      <c r="AA83" s="34" t="str">
        <f>IF(Tabella4[[#This Row],[Componente]]="Documenti",VLOOKUP(Tabella4[[#This Row],[URL]],Tabella27[[URL]:[Servizio]],4,FALSE),VLOOKUP(Tabella4[[#This Row],[Page ID]],Tabella1[[Page ID]:[Servizio]],4,FALSE))</f>
        <v>S003 Assistenza</v>
      </c>
      <c r="AB83" s="34"/>
      <c r="AC83" s="34" t="str">
        <f>Tabella4[[#This Row],[User Impact]]</f>
        <v>2 - Serious</v>
      </c>
      <c r="AD83" s="34" t="str">
        <f>Copertina!C$2&amp;" - "&amp;Tabella4[[#This Row],[UNI CEI EN 301549]]&amp;" "&amp;VLOOKUP(Tabella4[[#This Row],[Criterio]],Tabella5[[ID]:[Criterio di successo]],2,FALSE)&amp;" - "&amp;Tabella4[[#This Row],[Servizio]]&amp;":"</f>
        <v>Insurance Brocker - 9.1.4.3 Contrasto (minimo) - S003 Assistenza:</v>
      </c>
      <c r="AE8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(#TM0044)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https://posteinsurancebroker.poste.it/archivio/ - &lt;a class="skip-link sr-only-focusable-abs" href="#footer"&gt;Passa al footer di pagina&lt;/a&gt; con selettore: 
["body#page &gt; nav#skiplink:nth-of-type(1) &gt; ul:nth-of-type(1) &gt; li:nth-of-type(3)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83">
        <f>_xlfn.XLOOKUP(Tabella4[[#This Row],[ID Silk]],outTable[ID Silk],outTable[Numero ticket  ],,0,1)</f>
        <v>5967</v>
      </c>
    </row>
    <row r="84" spans="1:32">
      <c r="A84" s="34" t="str">
        <f>MID(Tabella4[[#This Row],[Servizio]],1,4)&amp;Tabella4[[#This Row],[UNI CEI EN 301549]]</f>
        <v>S0039.1.4.3</v>
      </c>
      <c r="B84" s="34" t="str">
        <f>Tabella4[[#This Row],[ID Silk]]&amp;"_1"</f>
        <v>S0039.1.4.3_1</v>
      </c>
      <c r="C84" s="34" t="s">
        <v>825</v>
      </c>
      <c r="D84" s="2" t="str">
        <f>"(#"&amp;Tabella4[[#This Row],['#ID]]&amp;")"</f>
        <v>(#TM0045)</v>
      </c>
      <c r="E84" s="34" t="str">
        <f>IF(MID(Tabella4[[#This Row],['#ID]],1,1)="M","Mobile",IF(MID(Tabella4[[#This Row],['#ID]],1,1)="D","Desktop",IF(MID(Tabella4[[#This Row],['#ID]],1,2)="TM","Manuale","Documenti")))</f>
        <v>Manuale</v>
      </c>
      <c r="F84" s="34" t="s">
        <v>1006</v>
      </c>
      <c r="G84" s="34" t="s">
        <v>228</v>
      </c>
      <c r="H84" s="34" t="str">
        <f>IF(Tabella4[[#This Row],[Componente]]="Documenti","10.","9.")&amp;Tabella4[[#This Row],[Criterio]]</f>
        <v>9.1.4.3</v>
      </c>
      <c r="I84" s="34" t="s">
        <v>1023</v>
      </c>
      <c r="J84" s="34" t="s">
        <v>1037</v>
      </c>
      <c r="K84" s="34" t="s">
        <v>549</v>
      </c>
      <c r="L84" s="34" t="s">
        <v>1038</v>
      </c>
      <c r="M84" s="34" t="s">
        <v>1039</v>
      </c>
      <c r="N84" t="s">
        <v>554</v>
      </c>
      <c r="O84" t="s">
        <v>555</v>
      </c>
      <c r="P84" t="s">
        <v>383</v>
      </c>
      <c r="R84" s="34" t="str">
        <f>IF(Tabella4[[#This Row],[Componente]]="Documenti",_xlfn.XLOOKUP(Tabella4[[#This Row],[URL]],Tabella27[URL],Tabella27[PDF ID],,0),_xlfn.XLOOKUP(Tabella4[[#This Row],[URL]],Tabella1[URL],Tabella1[Page ID],,0))</f>
        <v>#2</v>
      </c>
      <c r="S84" s="34" t="s">
        <v>1004</v>
      </c>
      <c r="T84" s="34" t="s">
        <v>547</v>
      </c>
      <c r="V84" t="s">
        <v>548</v>
      </c>
      <c r="W84" s="34" t="s">
        <v>1069</v>
      </c>
      <c r="X84" s="34" t="str">
        <f>IFERROR(IF(Tabella4[[#This Row],[Tool]]="lighthouse",Tabella4[[#This Row],[Detail]],MID(Tabella4[[#This Row],[Detail]],1,FIND("&gt;",Tabella4[[#This Row],[Detail]]))),Tabella4[[#This Row],[Detail]])</f>
        <v>&lt;a href="#tab_0" aria-controls="tab_0" role="tab" data-toggle="tab" title="RCA Poste Guidare Sicuri Genertel " rel="#tab_0" aria-expanded="false"&gt;</v>
      </c>
      <c r="Y84" s="34" t="str">
        <f>SUBSTITUTE(IF(Tabella4[[#This Row],[Tool]]="axe-core",MID(Tabella4[[#This Row],[Rejected Element]],3,LEN(Tabella4[[#This Row],[Rejected Element]])-4),Tabella4[[#This Row],[Rejected Element]]),"\","")</f>
        <v>body#page &gt; main#accessibility-anchor:nth-of-type(1) &gt; div.content.display-pop:nth-of-type(2) &gt; div.content-wrap:nth-of-type(1) &gt; div.container:nth-of-type(1) &gt; div.row:nth-of-type(1) &gt; div.col-xs-12.col-structure:nth-of-type(1) &gt; div#main:nth-of-type(1) &gt; div.row:nth-of-type(1) &gt; div#tabSection.col-xs-12.mt-sm-5:nth-of-type(2) &gt; div.default-nav-tabs-container.scroll-content-x.mode-center:nth-of-type(1) &gt; ul#myUL.nav.nav-tabs.default-nav-tabs:nth-of-type(1) &gt; li#label_tab_0:nth-of-type(1) &gt; a:nth-of-type(1)</v>
      </c>
      <c r="Z84" s="34">
        <f>COUNTIFS(Tabella4[Detail univoco],Tabella4[[#This Row],[Detail univoco]],Tabella4[Rejected Element Univoco],Tabella4[[#This Row],[Rejected Element Univoco]],Tabella4[ItemsNodeLabel],Tabella4[[#This Row],[ItemsNodeLabel]])</f>
        <v>0</v>
      </c>
      <c r="AA84" s="34" t="str">
        <f>IF(Tabella4[[#This Row],[Componente]]="Documenti",VLOOKUP(Tabella4[[#This Row],[URL]],Tabella27[[URL]:[Servizio]],4,FALSE),VLOOKUP(Tabella4[[#This Row],[Page ID]],Tabella1[[Page ID]:[Servizio]],4,FALSE))</f>
        <v>S003 Assistenza</v>
      </c>
      <c r="AB84" s="34"/>
      <c r="AC84" s="34" t="str">
        <f>Tabella4[[#This Row],[User Impact]]</f>
        <v>2 - Serious</v>
      </c>
      <c r="AD84" s="34" t="str">
        <f>Copertina!C$2&amp;" - "&amp;Tabella4[[#This Row],[UNI CEI EN 301549]]&amp;" "&amp;VLOOKUP(Tabella4[[#This Row],[Criterio]],Tabella5[[ID]:[Criterio di successo]],2,FALSE)&amp;" - "&amp;Tabella4[[#This Row],[Servizio]]&amp;":"</f>
        <v>Insurance Brocker - 9.1.4.3 Contrasto (minimo) - S003 Assistenza:</v>
      </c>
      <c r="AE8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(#TM0045)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https://posteinsurancebroker.poste.it/archivio/ - &lt;a href="#tab_0" aria-controls="tab_0" role="tab" data-toggle="tab" title="RCA Poste Guidare Sicuri Genertel " rel="#tab_0" aria-expanded="false"&gt;RCA Poste Guidare Sicuri Genertel &lt;/a&gt; con selettore: 
["body#page &gt; main#accessibility-anchor:nth-of-type(1) &gt; div.content.display-pop:nth-of-type(2) &gt; div.content-wrap:nth-of-type(1) &gt; div.container:nth-of-type(1) &gt; div.row:nth-of-type(1) &gt; div.col-xs-12.col-structure:nth-of-type(1) &gt; div#main:nth-of-type(1) &gt; div.row:nth-of-type(1) &gt; div#tabSection.col-xs-12.mt-sm-5:nth-of-type(2) &gt; div.default-nav-tabs-container.scroll-content-x.mode-center:nth-of-type(1) &gt; ul#myUL.nav.nav-tabs.default-nav-tabs:nth-of-type(1) &gt; li#label_tab_0:nth-of-type(1)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84">
        <f>_xlfn.XLOOKUP(Tabella4[[#This Row],[ID Silk]],outTable[ID Silk],outTable[Numero ticket  ],,0,1)</f>
        <v>5967</v>
      </c>
    </row>
    <row r="85" spans="1:32">
      <c r="A85" s="34" t="str">
        <f>MID(Tabella4[[#This Row],[Servizio]],1,4)&amp;Tabella4[[#This Row],[UNI CEI EN 301549]]</f>
        <v>S0039.1.3.1</v>
      </c>
      <c r="B85" s="34" t="str">
        <f>Tabella4[[#This Row],[ID Silk]]&amp;"_1"</f>
        <v>S0039.1.3.1_1</v>
      </c>
      <c r="C85" s="34" t="s">
        <v>826</v>
      </c>
      <c r="D85" s="2" t="str">
        <f>"(#"&amp;Tabella4[[#This Row],['#ID]]&amp;")"</f>
        <v>(#TM0046)</v>
      </c>
      <c r="E85" s="34" t="str">
        <f>IF(MID(Tabella4[[#This Row],['#ID]],1,1)="M","Mobile",IF(MID(Tabella4[[#This Row],['#ID]],1,1)="D","Desktop",IF(MID(Tabella4[[#This Row],['#ID]],1,2)="TM","Manuale","Documenti")))</f>
        <v>Manuale</v>
      </c>
      <c r="F85" s="34" t="s">
        <v>1005</v>
      </c>
      <c r="G85" s="34" t="s">
        <v>184</v>
      </c>
      <c r="H85" s="34" t="str">
        <f>IF(Tabella4[[#This Row],[Componente]]="Documenti","10.","9.")&amp;Tabella4[[#This Row],[Criterio]]</f>
        <v>9.1.3.1</v>
      </c>
      <c r="I85" s="34" t="s">
        <v>1036</v>
      </c>
      <c r="J85" s="34" t="s">
        <v>1008</v>
      </c>
      <c r="K85" s="34" t="s">
        <v>558</v>
      </c>
      <c r="L85" s="34" t="s">
        <v>1040</v>
      </c>
      <c r="M85" s="34" t="s">
        <v>1041</v>
      </c>
      <c r="N85" t="s">
        <v>559</v>
      </c>
      <c r="O85" t="s">
        <v>560</v>
      </c>
      <c r="P85" t="s">
        <v>383</v>
      </c>
      <c r="R85" s="34" t="str">
        <f>IF(Tabella4[[#This Row],[Componente]]="Documenti",_xlfn.XLOOKUP(Tabella4[[#This Row],[URL]],Tabella27[URL],Tabella27[PDF ID],,0),_xlfn.XLOOKUP(Tabella4[[#This Row],[URL]],Tabella1[URL],Tabella1[Page ID],,0))</f>
        <v>#2</v>
      </c>
      <c r="S85" s="34" t="s">
        <v>1004</v>
      </c>
      <c r="T85" s="34" t="s">
        <v>556</v>
      </c>
      <c r="V85" t="s">
        <v>557</v>
      </c>
      <c r="W85" s="34" t="s">
        <v>1070</v>
      </c>
      <c r="X85" s="34" t="str">
        <f>IFERROR(IF(Tabella4[[#This Row],[Tool]]="lighthouse",Tabella4[[#This Row],[Detail]],MID(Tabella4[[#This Row],[Detail]],1,FIND("&gt;",Tabella4[[#This Row],[Detail]]))),Tabella4[[#This Row],[Detail]])</f>
        <v>&lt;ul&gt;</v>
      </c>
      <c r="Y85" s="34" t="str">
        <f>SUBSTITUTE(IF(Tabella4[[#This Row],[Tool]]="axe-core",MID(Tabella4[[#This Row],[Rejected Element]],3,LEN(Tabella4[[#This Row],[Rejected Element]])-4),Tabella4[[#This Row],[Rejected Element]]),"\","")</f>
        <v>body#page &gt; nav#skiplink:nth-of-type(1) &gt; ul:nth-of-type(1)</v>
      </c>
      <c r="Z85" s="34">
        <f>COUNTIFS(Tabella4[Detail univoco],Tabella4[[#This Row],[Detail univoco]],Tabella4[Rejected Element Univoco],Tabella4[[#This Row],[Rejected Element Univoco]],Tabella4[ItemsNodeLabel],Tabella4[[#This Row],[ItemsNodeLabel]])</f>
        <v>0</v>
      </c>
      <c r="AA85" s="34" t="str">
        <f>IF(Tabella4[[#This Row],[Componente]]="Documenti",VLOOKUP(Tabella4[[#This Row],[URL]],Tabella27[[URL]:[Servizio]],4,FALSE),VLOOKUP(Tabella4[[#This Row],[Page ID]],Tabella1[[Page ID]:[Servizio]],4,FALSE))</f>
        <v>S003 Assistenza</v>
      </c>
      <c r="AB85" s="34"/>
      <c r="AC85" s="34" t="str">
        <f>Tabella4[[#This Row],[User Impact]]</f>
        <v>3 - Moderate</v>
      </c>
      <c r="AD85" s="34" t="str">
        <f>Copertina!C$2&amp;" - "&amp;Tabella4[[#This Row],[UNI CEI EN 301549]]&amp;" "&amp;VLOOKUP(Tabella4[[#This Row],[Criterio]],Tabella5[[ID]:[Criterio di successo]],2,FALSE)&amp;" - "&amp;Tabella4[[#This Row],[Servizio]]&amp;":"</f>
        <v>Insurance Brocker - 9.1.3.1 Informazioni e correlazioni - S003 Assistenza:</v>
      </c>
      <c r="AE8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S003 Assistenza: (#TM0046)
S003 Assistenza
Requisito: WCAG 1.3.1
Disabilità afflitte: Blind;Deafblind
Impatto Utente: 3 - Moderate
Descrizione: Il contenuto non è una list, ma è contrassegnato come tale - Il contenuto non è una list, ma è contrassegnato come tale. [Ulteriori informazioni] (https://docs.deque.com/issue-help/1.0.0/en/semantic-list-used-for-presentation)
Esempio di violazione individuata sull'oggetto: 
https://posteinsurancebroker.poste.it/archivio/ - &lt;ul&gt; con selettore: 
["body#page &gt; nav#skiplink:nth-of-type(1) &gt; ul:nth-of-type(1)"]
Dettaglio + screenshot (accedere con le seguenti credenziali: user, axeposte@gmail.com; password, Poste2024!): 
Possibile metodologia risolutiva:
Usa elementi di lista come &lt;ul&gt;, &lt;ol&gt;, e &lt;li&gt; solo per contenuti che devono essere presentati in forma di elenco. Assicurati che le liste siano semanticamente corrette per evitare confusione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85">
        <f>_xlfn.XLOOKUP(Tabella4[[#This Row],[ID Silk]],outTable[ID Silk],outTable[Numero ticket  ],,0,1)</f>
        <v>5966</v>
      </c>
    </row>
    <row r="86" spans="1:32">
      <c r="A86" s="34" t="str">
        <f>MID(Tabella4[[#This Row],[Servizio]],1,4)&amp;Tabella4[[#This Row],[UNI CEI EN 301549]]</f>
        <v>S0039.2.5.3</v>
      </c>
      <c r="B86" s="34" t="str">
        <f>Tabella4[[#This Row],[ID Silk]]&amp;"_1"</f>
        <v>S0039.2.5.3_1</v>
      </c>
      <c r="C86" s="34" t="s">
        <v>827</v>
      </c>
      <c r="D86" s="2" t="str">
        <f>"(#"&amp;Tabella4[[#This Row],['#ID]]&amp;")"</f>
        <v>(#TM0047)</v>
      </c>
      <c r="E86" s="34" t="str">
        <f>IF(MID(Tabella4[[#This Row],['#ID]],1,1)="M","Mobile",IF(MID(Tabella4[[#This Row],['#ID]],1,1)="D","Desktop",IF(MID(Tabella4[[#This Row],['#ID]],1,2)="TM","Manuale","Documenti")))</f>
        <v>Manuale</v>
      </c>
      <c r="F86" s="34" t="s">
        <v>1005</v>
      </c>
      <c r="G86" s="34" t="s">
        <v>324</v>
      </c>
      <c r="H86" s="34" t="str">
        <f>IF(Tabella4[[#This Row],[Componente]]="Documenti","10.","9.")&amp;Tabella4[[#This Row],[Criterio]]</f>
        <v>9.2.5.3</v>
      </c>
      <c r="I86" s="34" t="s">
        <v>1023</v>
      </c>
      <c r="J86" s="34" t="s">
        <v>1024</v>
      </c>
      <c r="K86" s="34" t="s">
        <v>1025</v>
      </c>
      <c r="L86" s="34" t="s">
        <v>1026</v>
      </c>
      <c r="M86" s="34" t="s">
        <v>1027</v>
      </c>
      <c r="N86" t="s">
        <v>483</v>
      </c>
      <c r="O86" t="s">
        <v>485</v>
      </c>
      <c r="P86" t="s">
        <v>384</v>
      </c>
      <c r="R86" s="34" t="str">
        <f>IF(Tabella4[[#This Row],[Componente]]="Documenti",_xlfn.XLOOKUP(Tabella4[[#This Row],[URL]],Tabella27[URL],Tabella27[PDF ID],,0),_xlfn.XLOOKUP(Tabella4[[#This Row],[URL]],Tabella1[URL],Tabella1[Page ID],,0))</f>
        <v>#3</v>
      </c>
      <c r="S86" s="34" t="s">
        <v>1004</v>
      </c>
      <c r="T86" s="34" t="s">
        <v>481</v>
      </c>
      <c r="V86" t="s">
        <v>484</v>
      </c>
      <c r="W86" s="34" t="s">
        <v>1066</v>
      </c>
      <c r="X86" s="34" t="str">
        <f>IFERROR(IF(Tabella4[[#This Row],[Tool]]="lighthouse",Tabella4[[#This Row],[Detail]],MID(Tabella4[[#This Row],[Detail]],1,FIND("&gt;",Tabella4[[#This Row],[Detail]]))),Tabella4[[#This Row],[Detail]])</f>
        <v>&lt;button id="business-button-open" class="offcanvas-toggle pi-targetarea" aria-label="Business" type="button" aria-haspopup="true" aria-controls="menu-siti" aria-expanded="false"&gt;</v>
      </c>
      <c r="Y86" s="34" t="str">
        <f>SUBSTITUTE(IF(Tabella4[[#This Row],[Tool]]="axe-core",MID(Tabella4[[#This Row],[Rejected Element]],3,LEN(Tabella4[[#This Row],[Rejected Element]])-4),Tabella4[[#This Row],[Rejected Element]]),"\","")</f>
        <v>#business-button-open</v>
      </c>
      <c r="Z86" s="34">
        <f>COUNTIFS(Tabella4[Detail univoco],Tabella4[[#This Row],[Detail univoco]],Tabella4[Rejected Element Univoco],Tabella4[[#This Row],[Rejected Element Univoco]],Tabella4[ItemsNodeLabel],Tabella4[[#This Row],[ItemsNodeLabel]])</f>
        <v>0</v>
      </c>
      <c r="AA86" s="34" t="str">
        <f>IF(Tabella4[[#This Row],[Componente]]="Documenti",VLOOKUP(Tabella4[[#This Row],[URL]],Tabella27[[URL]:[Servizio]],4,FALSE),VLOOKUP(Tabella4[[#This Row],[Page ID]],Tabella1[[Page ID]:[Servizio]],4,FALSE))</f>
        <v>S003 Assistenza</v>
      </c>
      <c r="AB86" s="34"/>
      <c r="AC86" s="34" t="str">
        <f>Tabella4[[#This Row],[User Impact]]</f>
        <v>2 - Serious</v>
      </c>
      <c r="AD86" s="34" t="str">
        <f>Copertina!C$2&amp;" - "&amp;Tabella4[[#This Row],[UNI CEI EN 301549]]&amp;" "&amp;VLOOKUP(Tabella4[[#This Row],[Criterio]],Tabella5[[ID]:[Criterio di successo]],2,FALSE)&amp;" - "&amp;Tabella4[[#This Row],[Servizio]]&amp;":"</f>
        <v>Insurance Brocker - 9.2.5.3 Etichetta nel nome - S003 Assistenza:</v>
      </c>
      <c r="AE8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(#TM0047)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https://posteinsurancebroker.poste.it/assistenza - &lt;button id="business-button-open" class="offcanvas-toggle pi-targetarea" aria-label="Business" type="button" aria-haspopup="true" aria-controls="menu-siti" aria-expanded="false"&gt; con selettore: 
["#business-button-open"]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86">
        <f>_xlfn.XLOOKUP(Tabella4[[#This Row],[ID Silk]],outTable[ID Silk],outTable[Numero ticket  ],,0,1)</f>
        <v>5970</v>
      </c>
    </row>
    <row r="87" spans="1:32">
      <c r="A87" s="34" t="str">
        <f>MID(Tabella4[[#This Row],[Servizio]],1,4)&amp;Tabella4[[#This Row],[UNI CEI EN 301549]]</f>
        <v>S0039.2.5.3</v>
      </c>
      <c r="B87" s="34" t="str">
        <f>Tabella4[[#This Row],[ID Silk]]&amp;"_1"</f>
        <v>S0039.2.5.3_1</v>
      </c>
      <c r="C87" s="34" t="s">
        <v>828</v>
      </c>
      <c r="D87" s="2" t="str">
        <f>"(#"&amp;Tabella4[[#This Row],['#ID]]&amp;")"</f>
        <v>(#TM0048)</v>
      </c>
      <c r="E87" s="34" t="str">
        <f>IF(MID(Tabella4[[#This Row],['#ID]],1,1)="M","Mobile",IF(MID(Tabella4[[#This Row],['#ID]],1,1)="D","Desktop",IF(MID(Tabella4[[#This Row],['#ID]],1,2)="TM","Manuale","Documenti")))</f>
        <v>Manuale</v>
      </c>
      <c r="F87" s="34" t="s">
        <v>1005</v>
      </c>
      <c r="G87" s="34" t="s">
        <v>324</v>
      </c>
      <c r="H87" s="34" t="str">
        <f>IF(Tabella4[[#This Row],[Componente]]="Documenti","10.","9.")&amp;Tabella4[[#This Row],[Criterio]]</f>
        <v>9.2.5.3</v>
      </c>
      <c r="I87" s="34" t="s">
        <v>1023</v>
      </c>
      <c r="J87" s="34" t="s">
        <v>1024</v>
      </c>
      <c r="K87" s="34" t="s">
        <v>1025</v>
      </c>
      <c r="L87" s="34" t="s">
        <v>1026</v>
      </c>
      <c r="M87" s="34" t="s">
        <v>1027</v>
      </c>
      <c r="N87" t="s">
        <v>486</v>
      </c>
      <c r="O87" t="s">
        <v>487</v>
      </c>
      <c r="P87" t="s">
        <v>384</v>
      </c>
      <c r="R87" s="34" t="str">
        <f>IF(Tabella4[[#This Row],[Componente]]="Documenti",_xlfn.XLOOKUP(Tabella4[[#This Row],[URL]],Tabella27[URL],Tabella27[PDF ID],,0),_xlfn.XLOOKUP(Tabella4[[#This Row],[URL]],Tabella1[URL],Tabella1[Page ID],,0))</f>
        <v>#3</v>
      </c>
      <c r="S87" s="34" t="s">
        <v>1004</v>
      </c>
      <c r="T87" s="34" t="s">
        <v>481</v>
      </c>
      <c r="V87" t="s">
        <v>484</v>
      </c>
      <c r="W87" s="34" t="s">
        <v>1066</v>
      </c>
      <c r="X87" s="34" t="str">
        <f>IFERROR(IF(Tabella4[[#This Row],[Tool]]="lighthouse",Tabella4[[#This Row],[Detail]],MID(Tabella4[[#This Row],[Detail]],1,FIND("&gt;",Tabella4[[#This Row],[Detail]]))),Tabella4[[#This Row],[Detail]])</f>
        <v>&lt;button id="assistenza-cta" class="fedbar-object offcanvas-toggle" aria-label="assistenza" aria-controls="assistenza-side" aria-expanded="false" data-menu-pnl="assistenza-default-panel" aria-haspopup="true" title="Assistenza" data-activity-linkid="header-assistenza-btn"&gt;</v>
      </c>
      <c r="Y87" s="34" t="str">
        <f>SUBSTITUTE(IF(Tabella4[[#This Row],[Tool]]="axe-core",MID(Tabella4[[#This Row],[Rejected Element]],3,LEN(Tabella4[[#This Row],[Rejected Element]])-4),Tabella4[[#This Row],[Rejected Element]]),"\","")</f>
        <v>#assistenza-cta</v>
      </c>
      <c r="Z87" s="34">
        <f>COUNTIFS(Tabella4[Detail univoco],Tabella4[[#This Row],[Detail univoco]],Tabella4[Rejected Element Univoco],Tabella4[[#This Row],[Rejected Element Univoco]],Tabella4[ItemsNodeLabel],Tabella4[[#This Row],[ItemsNodeLabel]])</f>
        <v>0</v>
      </c>
      <c r="AA87" s="34" t="str">
        <f>IF(Tabella4[[#This Row],[Componente]]="Documenti",VLOOKUP(Tabella4[[#This Row],[URL]],Tabella27[[URL]:[Servizio]],4,FALSE),VLOOKUP(Tabella4[[#This Row],[Page ID]],Tabella1[[Page ID]:[Servizio]],4,FALSE))</f>
        <v>S003 Assistenza</v>
      </c>
      <c r="AB87" s="34"/>
      <c r="AC87" s="34" t="str">
        <f>Tabella4[[#This Row],[User Impact]]</f>
        <v>2 - Serious</v>
      </c>
      <c r="AD87" s="34" t="str">
        <f>Copertina!C$2&amp;" - "&amp;Tabella4[[#This Row],[UNI CEI EN 301549]]&amp;" "&amp;VLOOKUP(Tabella4[[#This Row],[Criterio]],Tabella5[[ID]:[Criterio di successo]],2,FALSE)&amp;" - "&amp;Tabella4[[#This Row],[Servizio]]&amp;":"</f>
        <v>Insurance Brocker - 9.2.5.3 Etichetta nel nome - S003 Assistenza:</v>
      </c>
      <c r="AE8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(#TM0048)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https://posteinsurancebroker.poste.it/assistenza - &lt;button id="assistenza-cta" class="fedbar-object offcanvas-toggle" aria-label="assistenza" aria-controls="assistenza-side" aria-expanded="false" data-menu-pnl="assistenza-default-panel" aria-haspopup="true" title="Assistenza" data-activity-linkid="header-assistenza-btn"&gt; con selettore: 
["#assistenza-cta"]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87">
        <f>_xlfn.XLOOKUP(Tabella4[[#This Row],[ID Silk]],outTable[ID Silk],outTable[Numero ticket  ],,0,1)</f>
        <v>5970</v>
      </c>
    </row>
    <row r="88" spans="1:32">
      <c r="A88" s="34" t="str">
        <f>MID(Tabella4[[#This Row],[Servizio]],1,4)&amp;Tabella4[[#This Row],[UNI CEI EN 301549]]</f>
        <v>S0039.2.5.3</v>
      </c>
      <c r="B88" s="34" t="str">
        <f>Tabella4[[#This Row],[ID Silk]]&amp;"_1"</f>
        <v>S0039.2.5.3_1</v>
      </c>
      <c r="C88" s="34" t="s">
        <v>829</v>
      </c>
      <c r="D88" s="2" t="str">
        <f>"(#"&amp;Tabella4[[#This Row],['#ID]]&amp;")"</f>
        <v>(#TM0049)</v>
      </c>
      <c r="E88" s="34" t="str">
        <f>IF(MID(Tabella4[[#This Row],['#ID]],1,1)="M","Mobile",IF(MID(Tabella4[[#This Row],['#ID]],1,1)="D","Desktop",IF(MID(Tabella4[[#This Row],['#ID]],1,2)="TM","Manuale","Documenti")))</f>
        <v>Manuale</v>
      </c>
      <c r="F88" s="34" t="s">
        <v>1005</v>
      </c>
      <c r="G88" s="34" t="s">
        <v>324</v>
      </c>
      <c r="H88" s="34" t="str">
        <f>IF(Tabella4[[#This Row],[Componente]]="Documenti","10.","9.")&amp;Tabella4[[#This Row],[Criterio]]</f>
        <v>9.2.5.3</v>
      </c>
      <c r="I88" s="34" t="s">
        <v>1023</v>
      </c>
      <c r="J88" s="34" t="s">
        <v>1024</v>
      </c>
      <c r="K88" s="34" t="s">
        <v>1025</v>
      </c>
      <c r="L88" s="34" t="s">
        <v>1026</v>
      </c>
      <c r="M88" s="34" t="s">
        <v>1027</v>
      </c>
      <c r="N88" t="s">
        <v>488</v>
      </c>
      <c r="O88" t="s">
        <v>489</v>
      </c>
      <c r="P88" t="s">
        <v>384</v>
      </c>
      <c r="R88" s="34" t="str">
        <f>IF(Tabella4[[#This Row],[Componente]]="Documenti",_xlfn.XLOOKUP(Tabella4[[#This Row],[URL]],Tabella27[URL],Tabella27[PDF ID],,0),_xlfn.XLOOKUP(Tabella4[[#This Row],[URL]],Tabella1[URL],Tabella1[Page ID],,0))</f>
        <v>#3</v>
      </c>
      <c r="S88" s="34" t="s">
        <v>1004</v>
      </c>
      <c r="T88" s="34" t="s">
        <v>481</v>
      </c>
      <c r="V88" t="s">
        <v>484</v>
      </c>
      <c r="W88" s="34" t="s">
        <v>1066</v>
      </c>
      <c r="X88" s="34" t="str">
        <f>IFERROR(IF(Tabella4[[#This Row],[Tool]]="lighthouse",Tabella4[[#This Row],[Detail]],MID(Tabella4[[#This Row],[Detail]],1,FIND("&gt;",Tabella4[[#This Row],[Detail]]))),Tabella4[[#This Row],[Detail]])</f>
        <v>&lt;button class="navbar-object offcanvas-toggle" id="mn-ctrl" type="button" aria-haspopup="true" aria-controls="menu-navigazione" aria-expanded="false" aria-label="Apre il menu di navigazione" data-activity-linkid="Btn Menu Mobile"&gt;</v>
      </c>
      <c r="Y88" s="34" t="str">
        <f>SUBSTITUTE(IF(Tabella4[[#This Row],[Tool]]="axe-core",MID(Tabella4[[#This Row],[Rejected Element]],3,LEN(Tabella4[[#This Row],[Rejected Element]])-4),Tabella4[[#This Row],[Rejected Element]]),"\","")</f>
        <v>#mn-ctrl</v>
      </c>
      <c r="Z88" s="34">
        <f>COUNTIFS(Tabella4[Detail univoco],Tabella4[[#This Row],[Detail univoco]],Tabella4[Rejected Element Univoco],Tabella4[[#This Row],[Rejected Element Univoco]],Tabella4[ItemsNodeLabel],Tabella4[[#This Row],[ItemsNodeLabel]])</f>
        <v>0</v>
      </c>
      <c r="AA88" s="34" t="str">
        <f>IF(Tabella4[[#This Row],[Componente]]="Documenti",VLOOKUP(Tabella4[[#This Row],[URL]],Tabella27[[URL]:[Servizio]],4,FALSE),VLOOKUP(Tabella4[[#This Row],[Page ID]],Tabella1[[Page ID]:[Servizio]],4,FALSE))</f>
        <v>S003 Assistenza</v>
      </c>
      <c r="AB88" s="34"/>
      <c r="AC88" s="34" t="str">
        <f>Tabella4[[#This Row],[User Impact]]</f>
        <v>2 - Serious</v>
      </c>
      <c r="AD88" s="34" t="str">
        <f>Copertina!C$2&amp;" - "&amp;Tabella4[[#This Row],[UNI CEI EN 301549]]&amp;" "&amp;VLOOKUP(Tabella4[[#This Row],[Criterio]],Tabella5[[ID]:[Criterio di successo]],2,FALSE)&amp;" - "&amp;Tabella4[[#This Row],[Servizio]]&amp;":"</f>
        <v>Insurance Brocker - 9.2.5.3 Etichetta nel nome - S003 Assistenza:</v>
      </c>
      <c r="AE8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(#TM0049)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https://posteinsurancebroker.poste.it/assistenza - &lt;button class="navbar-object offcanvas-toggle" id="mn-ctrl" type="button" aria-haspopup="true" aria-controls="menu-navigazione" aria-expanded="false" aria-label="Apre il menu di navigazione" data-activity-linkid="Btn Menu Mobile"&gt; con selettore: 
["#mn-ctrl"]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88">
        <f>_xlfn.XLOOKUP(Tabella4[[#This Row],[ID Silk]],outTable[ID Silk],outTable[Numero ticket  ],,0,1)</f>
        <v>5970</v>
      </c>
    </row>
    <row r="89" spans="1:32">
      <c r="A89" s="34" t="str">
        <f>MID(Tabella4[[#This Row],[Servizio]],1,4)&amp;Tabella4[[#This Row],[UNI CEI EN 301549]]</f>
        <v>S0039.3.2.1</v>
      </c>
      <c r="B89" s="34" t="str">
        <f>Tabella4[[#This Row],[ID Silk]]&amp;"_1"</f>
        <v>S0039.3.2.1_1</v>
      </c>
      <c r="C89" s="34" t="s">
        <v>830</v>
      </c>
      <c r="D89" s="2" t="str">
        <f>"(#"&amp;Tabella4[[#This Row],['#ID]]&amp;")"</f>
        <v>(#TM0050)</v>
      </c>
      <c r="E89" s="34" t="str">
        <f>IF(MID(Tabella4[[#This Row],['#ID]],1,1)="M","Mobile",IF(MID(Tabella4[[#This Row],['#ID]],1,1)="D","Desktop",IF(MID(Tabella4[[#This Row],['#ID]],1,2)="TM","Manuale","Documenti")))</f>
        <v>Manuale</v>
      </c>
      <c r="F89" s="34" t="s">
        <v>1005</v>
      </c>
      <c r="G89" s="34" t="s">
        <v>344</v>
      </c>
      <c r="H89" s="34" t="str">
        <f>IF(Tabella4[[#This Row],[Componente]]="Documenti","10.","9.")&amp;Tabella4[[#This Row],[Criterio]]</f>
        <v>9.3.2.1</v>
      </c>
      <c r="I89" s="34" t="s">
        <v>1036</v>
      </c>
      <c r="J89" s="34" t="s">
        <v>1042</v>
      </c>
      <c r="K89" s="34" t="s">
        <v>563</v>
      </c>
      <c r="L89" s="34" t="s">
        <v>1043</v>
      </c>
      <c r="M89" s="34" t="s">
        <v>1044</v>
      </c>
      <c r="N89" t="s">
        <v>564</v>
      </c>
      <c r="O89" t="s">
        <v>482</v>
      </c>
      <c r="P89" t="s">
        <v>384</v>
      </c>
      <c r="R89" s="34" t="str">
        <f>IF(Tabella4[[#This Row],[Componente]]="Documenti",_xlfn.XLOOKUP(Tabella4[[#This Row],[URL]],Tabella27[URL],Tabella27[PDF ID],,0),_xlfn.XLOOKUP(Tabella4[[#This Row],[URL]],Tabella1[URL],Tabella1[Page ID],,0))</f>
        <v>#3</v>
      </c>
      <c r="S89" s="34" t="s">
        <v>1004</v>
      </c>
      <c r="T89" s="34" t="s">
        <v>561</v>
      </c>
      <c r="V89" t="s">
        <v>562</v>
      </c>
      <c r="W89" s="34" t="s">
        <v>1071</v>
      </c>
      <c r="X89" s="34" t="str">
        <f>IFERROR(IF(Tabella4[[#This Row],[Tool]]="lighthouse",Tabella4[[#This Row],[Detail]],MID(Tabella4[[#This Row],[Detail]],1,FIND("&gt;",Tabella4[[#This Row],[Detail]]))),Tabella4[[#This Row],[Detail]])</f>
        <v/>
      </c>
      <c r="Y89" s="34" t="str">
        <f>SUBSTITUTE(IF(Tabella4[[#This Row],[Tool]]="axe-core",MID(Tabella4[[#This Row],[Rejected Element]],3,LEN(Tabella4[[#This Row],[Rejected Element]])-4),Tabella4[[#This Row],[Rejected Element]]),"\","")</f>
        <v>body#page &gt; main#accessibility-anchor:nth-of-type(1) &gt; div#content-main.content.display-pop:nth-of-type(2) &gt; div.content-wrap:nth-of-type(1) &gt; div.container:nth-of-type(1) &gt; div.row:nth-of-type(1) &gt; div.col-xs-12.col-structure:nth-of-type(1) &gt; div#posteinsurancebroker-moduli-sportello-clienti-chiamaci.row.row-fix:nth-of-type(1) &gt; div.col-xs-12.col-structure:nth-of-type(1) &gt; div#main:nth-of-type(1) &gt; div.row.row-space:nth-of-type(2) &gt; div.col-xs-12:nth-of-type(1) &gt; div.panel.panel-cards.panel-cards-default.panel-cards-default-call:nth-of-type(1) &gt; div.cards-wrap.panel-wrap:nth-of-type(1) &gt; div.row.d-flex:nth-of-type(1) &gt; div.col-md-9:nth-of-type(1) &gt; div.cards-content.obj-wrap:nth-of-type(1) &gt; div.panel-body:nth-of-type(2) &gt; div.row.row-space:nth-of-type(1) &gt; div.col-sm-4.col-lg-4.border-sm-left:nth-of-type(2) &gt; div.cards-content.py-2.ps-0.ps-sm-0:nth-of-type(1) &gt; a.fs-large.fw-semibold.text-break:nth-of-type(1)</v>
      </c>
      <c r="Z89" s="34">
        <f>COUNTIFS(Tabella4[Detail univoco],Tabella4[[#This Row],[Detail univoco]],Tabella4[Rejected Element Univoco],Tabella4[[#This Row],[Rejected Element Univoco]],Tabella4[ItemsNodeLabel],Tabella4[[#This Row],[ItemsNodeLabel]])</f>
        <v>0</v>
      </c>
      <c r="AA89" s="34" t="str">
        <f>IF(Tabella4[[#This Row],[Componente]]="Documenti",VLOOKUP(Tabella4[[#This Row],[URL]],Tabella27[[URL]:[Servizio]],4,FALSE),VLOOKUP(Tabella4[[#This Row],[Page ID]],Tabella1[[Page ID]:[Servizio]],4,FALSE))</f>
        <v>S003 Assistenza</v>
      </c>
      <c r="AB89" s="34"/>
      <c r="AC89" s="34" t="str">
        <f>Tabella4[[#This Row],[User Impact]]</f>
        <v>3 - Moderate</v>
      </c>
      <c r="AD89" s="34" t="str">
        <f>Copertina!C$2&amp;" - "&amp;Tabella4[[#This Row],[UNI CEI EN 301549]]&amp;" "&amp;VLOOKUP(Tabella4[[#This Row],[Criterio]],Tabella5[[ID]:[Criterio di successo]],2,FALSE)&amp;" - "&amp;Tabella4[[#This Row],[Servizio]]&amp;":"</f>
        <v>Insurance Brocker - 9.3.2.1 Al focus - S003 Assistenza:</v>
      </c>
      <c r="AE8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- 9.3.2.1 Al focus - S003 Assistenza: (#TM0050)
S003 Assistenza
Requisito: WCAG 3.2.1
Disabilità afflitte: Blind;Cognitive;Deafblind;Low Vision
Impatto Utente: 3 - Moderate
Descrizione: Nuova finestra avviata quando il componente riceve lo stato attivo - Viene avviata una nuova finestra quando un componente riceve lo stato attivo. [Ulteriori informazioni] (https://docs.deque.com/issue-help/1.0.0/en/focus-window-launches)
Esempio di violazione individuata sull'oggetto: 
https://posteinsurancebroker.poste.it/assistenza -  con selettore: 
["body#page &gt; main#accessibility-anchor:nth-of-type(1) &gt; div#content-main.content.display-pop:nth-of-type(2) &gt; div.content-wrap:nth-of-type(1) &gt; div.container:nth-of-type(1) &gt; div.row:nth-of-type(1) &gt; div.col-xs-12.col-structure:nth-of-type(1) &gt; div#posteinsurancebroker-moduli-sportello-clienti-chiamaci.row.row-fix:nth-of-type(1) &gt; div.col-xs-12.col-structure:nth-of-type(1) &gt; div#main:nth-of-type(1) &gt; div.row.row-space:nth-of-type(2) &gt; div.col-xs-12:nth-of-type(1) &gt; div.panel.panel-cards.panel-cards-default.panel-cards-default-call:nth-of-type(1) &gt; div.cards-wrap.panel-wrap:nth-of-type(1) &gt; div.row.d-flex:nth-of-type(1) &gt; div.col-md-9:nth-of-type(1) &gt; div.cards-content.obj-wrap:nth-of-type(1) &gt; div.panel-body:nth-of-type(2) &gt; div.row.row-space:nth-of-type(1) &gt; div.col-sm-4.col-lg-4.border-sm-left:nth-of-type(2) &gt; div.cards-content.py-2.ps-0.ps-sm-0:nth-of-type(1) &gt; a.fs-large.fw-semibold.text-break:nth-of-type(1)"]
Dettaglio + screenshot (accedere con le seguenti credenziali: user, axeposte@gmail.com; password, Poste2024!): 
Possibile metodologia risolutiva:
Garantisci che quando una nuova finestra o un contenuto modale viene lanciato, il focus sia spostato automaticamente al nuovo contenuto per migliorare l'accessibilità e l'usabilità.
File di log (occorrenze rilevate: 1): https://posteitaliane.sharepoint.com/:x:/r/teams/ACCESSIBILITRISULTATIVERIFICHETECNICHE-PORTALEIMMIGRAZIONE/Shared%20Documents/PORTALE%20IMMIGRAZIONE/LOG/Log_2411.xlsx?d=wce770a595441461abc11f2c139111c73&amp;csf=1&amp;web=1&amp;e=tpdJfo
Link al dettaglio requisito WCAG: </v>
      </c>
      <c r="AF89">
        <f>_xlfn.XLOOKUP(Tabella4[[#This Row],[ID Silk]],outTable[ID Silk],outTable[Numero ticket  ],,0,1)</f>
        <v>5972</v>
      </c>
    </row>
    <row r="90" spans="1:32">
      <c r="A90" s="34" t="str">
        <f>MID(Tabella4[[#This Row],[Servizio]],1,4)&amp;Tabella4[[#This Row],[UNI CEI EN 301549]]</f>
        <v>S0039.1.4.3</v>
      </c>
      <c r="B90" s="34" t="str">
        <f>Tabella4[[#This Row],[ID Silk]]&amp;"_1"</f>
        <v>S0039.1.4.3_1</v>
      </c>
      <c r="C90" s="34" t="s">
        <v>831</v>
      </c>
      <c r="D90" s="2" t="str">
        <f>"(#"&amp;Tabella4[[#This Row],['#ID]]&amp;")"</f>
        <v>(#TM0051)</v>
      </c>
      <c r="E90" s="34" t="str">
        <f>IF(MID(Tabella4[[#This Row],['#ID]],1,1)="M","Mobile",IF(MID(Tabella4[[#This Row],['#ID]],1,1)="D","Desktop",IF(MID(Tabella4[[#This Row],['#ID]],1,2)="TM","Manuale","Documenti")))</f>
        <v>Manuale</v>
      </c>
      <c r="F90" s="34" t="s">
        <v>1006</v>
      </c>
      <c r="G90" s="34" t="s">
        <v>228</v>
      </c>
      <c r="H90" s="34" t="str">
        <f>IF(Tabella4[[#This Row],[Componente]]="Documenti","10.","9.")&amp;Tabella4[[#This Row],[Criterio]]</f>
        <v>9.1.4.3</v>
      </c>
      <c r="I90" s="34" t="s">
        <v>1023</v>
      </c>
      <c r="J90" s="34" t="s">
        <v>1037</v>
      </c>
      <c r="K90" s="34" t="s">
        <v>549</v>
      </c>
      <c r="L90" s="34" t="s">
        <v>1038</v>
      </c>
      <c r="M90" s="34" t="s">
        <v>1039</v>
      </c>
      <c r="N90" t="s">
        <v>550</v>
      </c>
      <c r="O90" t="s">
        <v>551</v>
      </c>
      <c r="P90" t="s">
        <v>384</v>
      </c>
      <c r="R90" s="34" t="str">
        <f>IF(Tabella4[[#This Row],[Componente]]="Documenti",_xlfn.XLOOKUP(Tabella4[[#This Row],[URL]],Tabella27[URL],Tabella27[PDF ID],,0),_xlfn.XLOOKUP(Tabella4[[#This Row],[URL]],Tabella1[URL],Tabella1[Page ID],,0))</f>
        <v>#3</v>
      </c>
      <c r="S90" s="34" t="s">
        <v>1004</v>
      </c>
      <c r="T90" s="34" t="s">
        <v>547</v>
      </c>
      <c r="V90" t="s">
        <v>548</v>
      </c>
      <c r="W90" s="34" t="s">
        <v>1069</v>
      </c>
      <c r="X90" s="34" t="str">
        <f>IFERROR(IF(Tabella4[[#This Row],[Tool]]="lighthouse",Tabella4[[#This Row],[Detail]],MID(Tabella4[[#This Row],[Detail]],1,FIND("&gt;",Tabella4[[#This Row],[Detail]]))),Tabella4[[#This Row],[Detail]])</f>
        <v>&lt;a tabindex="0" class="skip-link sr-only-focusable-abs" href="#accessibility-anchor"&gt;</v>
      </c>
      <c r="Y90" s="34" t="str">
        <f>SUBSTITUTE(IF(Tabella4[[#This Row],[Tool]]="axe-core",MID(Tabella4[[#This Row],[Rejected Element]],3,LEN(Tabella4[[#This Row],[Rejected Element]])-4),Tabella4[[#This Row],[Rejected Element]]),"\","")</f>
        <v>body#page &gt; nav#skiplink:nth-of-type(1) &gt; ul:nth-of-type(1) &gt; li:nth-of-type(1) &gt; a.skip-link.sr-only-focusable-abs:nth-of-type(1)</v>
      </c>
      <c r="Z90" s="34">
        <f>COUNTIFS(Tabella4[Detail univoco],Tabella4[[#This Row],[Detail univoco]],Tabella4[Rejected Element Univoco],Tabella4[[#This Row],[Rejected Element Univoco]],Tabella4[ItemsNodeLabel],Tabella4[[#This Row],[ItemsNodeLabel]])</f>
        <v>0</v>
      </c>
      <c r="AA90" s="34" t="str">
        <f>IF(Tabella4[[#This Row],[Componente]]="Documenti",VLOOKUP(Tabella4[[#This Row],[URL]],Tabella27[[URL]:[Servizio]],4,FALSE),VLOOKUP(Tabella4[[#This Row],[Page ID]],Tabella1[[Page ID]:[Servizio]],4,FALSE))</f>
        <v>S003 Assistenza</v>
      </c>
      <c r="AB90" s="34"/>
      <c r="AC90" s="34" t="str">
        <f>Tabella4[[#This Row],[User Impact]]</f>
        <v>2 - Serious</v>
      </c>
      <c r="AD90" s="34" t="str">
        <f>Copertina!C$2&amp;" - "&amp;Tabella4[[#This Row],[UNI CEI EN 301549]]&amp;" "&amp;VLOOKUP(Tabella4[[#This Row],[Criterio]],Tabella5[[ID]:[Criterio di successo]],2,FALSE)&amp;" - "&amp;Tabella4[[#This Row],[Servizio]]&amp;":"</f>
        <v>Insurance Brocker - 9.1.4.3 Contrasto (minimo) - S003 Assistenza:</v>
      </c>
      <c r="AE9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(#TM0051)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https://posteinsurancebroker.poste.it/assistenza - &lt;a tabindex="0" class="skip-link sr-only-focusable-abs" href="#accessibility-anchor"&gt;Passa al contenuto principale&lt;/a&gt; con selettore: 
["body#page &gt; nav#skiplink:nth-of-type(1) &gt; ul:nth-of-type(1) &gt; li:nth-of-type(1)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90">
        <f>_xlfn.XLOOKUP(Tabella4[[#This Row],[ID Silk]],outTable[ID Silk],outTable[Numero ticket  ],,0,1)</f>
        <v>5967</v>
      </c>
    </row>
    <row r="91" spans="1:32">
      <c r="A91" s="34" t="str">
        <f>MID(Tabella4[[#This Row],[Servizio]],1,4)&amp;Tabella4[[#This Row],[UNI CEI EN 301549]]</f>
        <v>S0039.1.4.3</v>
      </c>
      <c r="B91" s="34" t="str">
        <f>Tabella4[[#This Row],[ID Silk]]&amp;"_1"</f>
        <v>S0039.1.4.3_1</v>
      </c>
      <c r="C91" s="34" t="s">
        <v>832</v>
      </c>
      <c r="D91" s="2" t="str">
        <f>"(#"&amp;Tabella4[[#This Row],['#ID]]&amp;")"</f>
        <v>(#TM0052)</v>
      </c>
      <c r="E91" s="34" t="str">
        <f>IF(MID(Tabella4[[#This Row],['#ID]],1,1)="M","Mobile",IF(MID(Tabella4[[#This Row],['#ID]],1,1)="D","Desktop",IF(MID(Tabella4[[#This Row],['#ID]],1,2)="TM","Manuale","Documenti")))</f>
        <v>Manuale</v>
      </c>
      <c r="F91" s="34" t="s">
        <v>1006</v>
      </c>
      <c r="G91" s="34" t="s">
        <v>228</v>
      </c>
      <c r="H91" s="34" t="str">
        <f>IF(Tabella4[[#This Row],[Componente]]="Documenti","10.","9.")&amp;Tabella4[[#This Row],[Criterio]]</f>
        <v>9.1.4.3</v>
      </c>
      <c r="I91" s="34" t="s">
        <v>1023</v>
      </c>
      <c r="J91" s="34" t="s">
        <v>1037</v>
      </c>
      <c r="K91" s="34" t="s">
        <v>549</v>
      </c>
      <c r="L91" s="34" t="s">
        <v>1038</v>
      </c>
      <c r="M91" s="34" t="s">
        <v>1039</v>
      </c>
      <c r="N91" t="s">
        <v>552</v>
      </c>
      <c r="O91" t="s">
        <v>553</v>
      </c>
      <c r="P91" t="s">
        <v>384</v>
      </c>
      <c r="R91" s="34" t="str">
        <f>IF(Tabella4[[#This Row],[Componente]]="Documenti",_xlfn.XLOOKUP(Tabella4[[#This Row],[URL]],Tabella27[URL],Tabella27[PDF ID],,0),_xlfn.XLOOKUP(Tabella4[[#This Row],[URL]],Tabella1[URL],Tabella1[Page ID],,0))</f>
        <v>#3</v>
      </c>
      <c r="S91" s="34" t="s">
        <v>1004</v>
      </c>
      <c r="T91" s="34" t="s">
        <v>547</v>
      </c>
      <c r="V91" t="s">
        <v>548</v>
      </c>
      <c r="W91" s="34" t="s">
        <v>1069</v>
      </c>
      <c r="X91" s="34" t="str">
        <f>IFERROR(IF(Tabella4[[#This Row],[Tool]]="lighthouse",Tabella4[[#This Row],[Detail]],MID(Tabella4[[#This Row],[Detail]],1,FIND("&gt;",Tabella4[[#This Row],[Detail]]))),Tabella4[[#This Row],[Detail]])</f>
        <v>&lt;a class="skip-link sr-only-focusable-abs" href="#footer"&gt;</v>
      </c>
      <c r="Y91" s="34" t="str">
        <f>SUBSTITUTE(IF(Tabella4[[#This Row],[Tool]]="axe-core",MID(Tabella4[[#This Row],[Rejected Element]],3,LEN(Tabella4[[#This Row],[Rejected Element]])-4),Tabella4[[#This Row],[Rejected Element]]),"\","")</f>
        <v>body#page &gt; nav#skiplink:nth-of-type(1) &gt; ul:nth-of-type(1) &gt; li:nth-of-type(3) &gt; a.skip-link.sr-only-focusable-abs:nth-of-type(1)</v>
      </c>
      <c r="Z91" s="34">
        <f>COUNTIFS(Tabella4[Detail univoco],Tabella4[[#This Row],[Detail univoco]],Tabella4[Rejected Element Univoco],Tabella4[[#This Row],[Rejected Element Univoco]],Tabella4[ItemsNodeLabel],Tabella4[[#This Row],[ItemsNodeLabel]])</f>
        <v>0</v>
      </c>
      <c r="AA91" s="34" t="str">
        <f>IF(Tabella4[[#This Row],[Componente]]="Documenti",VLOOKUP(Tabella4[[#This Row],[URL]],Tabella27[[URL]:[Servizio]],4,FALSE),VLOOKUP(Tabella4[[#This Row],[Page ID]],Tabella1[[Page ID]:[Servizio]],4,FALSE))</f>
        <v>S003 Assistenza</v>
      </c>
      <c r="AB91" s="34"/>
      <c r="AC91" s="34" t="str">
        <f>Tabella4[[#This Row],[User Impact]]</f>
        <v>2 - Serious</v>
      </c>
      <c r="AD91" s="34" t="str">
        <f>Copertina!C$2&amp;" - "&amp;Tabella4[[#This Row],[UNI CEI EN 301549]]&amp;" "&amp;VLOOKUP(Tabella4[[#This Row],[Criterio]],Tabella5[[ID]:[Criterio di successo]],2,FALSE)&amp;" - "&amp;Tabella4[[#This Row],[Servizio]]&amp;":"</f>
        <v>Insurance Brocker - 9.1.4.3 Contrasto (minimo) - S003 Assistenza:</v>
      </c>
      <c r="AE9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(#TM0052)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https://posteinsurancebroker.poste.it/assistenza - &lt;a class="skip-link sr-only-focusable-abs" href="#footer"&gt;Passa al footer di pagina&lt;/a&gt; con selettore: 
["body#page &gt; nav#skiplink:nth-of-type(1) &gt; ul:nth-of-type(1) &gt; li:nth-of-type(3)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91">
        <f>_xlfn.XLOOKUP(Tabella4[[#This Row],[ID Silk]],outTable[ID Silk],outTable[Numero ticket  ],,0,1)</f>
        <v>5967</v>
      </c>
    </row>
    <row r="92" spans="1:32">
      <c r="A92" s="34" t="str">
        <f>MID(Tabella4[[#This Row],[Servizio]],1,4)&amp;Tabella4[[#This Row],[UNI CEI EN 301549]]</f>
        <v>S0039.1.3.1</v>
      </c>
      <c r="B92" s="34" t="str">
        <f>Tabella4[[#This Row],[ID Silk]]&amp;"_1"</f>
        <v>S0039.1.3.1_1</v>
      </c>
      <c r="C92" s="34" t="s">
        <v>833</v>
      </c>
      <c r="D92" s="2" t="str">
        <f>"(#"&amp;Tabella4[[#This Row],['#ID]]&amp;")"</f>
        <v>(#TM0053)</v>
      </c>
      <c r="E92" s="34" t="str">
        <f>IF(MID(Tabella4[[#This Row],['#ID]],1,1)="M","Mobile",IF(MID(Tabella4[[#This Row],['#ID]],1,1)="D","Desktop",IF(MID(Tabella4[[#This Row],['#ID]],1,2)="TM","Manuale","Documenti")))</f>
        <v>Manuale</v>
      </c>
      <c r="F92" s="34" t="s">
        <v>1005</v>
      </c>
      <c r="G92" s="34" t="s">
        <v>184</v>
      </c>
      <c r="H92" s="34" t="str">
        <f>IF(Tabella4[[#This Row],[Componente]]="Documenti","10.","9.")&amp;Tabella4[[#This Row],[Criterio]]</f>
        <v>9.1.3.1</v>
      </c>
      <c r="I92" s="34" t="s">
        <v>1036</v>
      </c>
      <c r="J92" s="34" t="s">
        <v>1008</v>
      </c>
      <c r="K92" s="34" t="s">
        <v>558</v>
      </c>
      <c r="L92" s="34" t="s">
        <v>1040</v>
      </c>
      <c r="M92" s="34" t="s">
        <v>1041</v>
      </c>
      <c r="N92" t="s">
        <v>559</v>
      </c>
      <c r="O92" t="s">
        <v>560</v>
      </c>
      <c r="P92" t="s">
        <v>384</v>
      </c>
      <c r="R92" s="34" t="str">
        <f>IF(Tabella4[[#This Row],[Componente]]="Documenti",_xlfn.XLOOKUP(Tabella4[[#This Row],[URL]],Tabella27[URL],Tabella27[PDF ID],,0),_xlfn.XLOOKUP(Tabella4[[#This Row],[URL]],Tabella1[URL],Tabella1[Page ID],,0))</f>
        <v>#3</v>
      </c>
      <c r="S92" s="34" t="s">
        <v>1004</v>
      </c>
      <c r="T92" s="34" t="s">
        <v>556</v>
      </c>
      <c r="V92" t="s">
        <v>557</v>
      </c>
      <c r="W92" s="34" t="s">
        <v>1070</v>
      </c>
      <c r="X92" s="34" t="str">
        <f>IFERROR(IF(Tabella4[[#This Row],[Tool]]="lighthouse",Tabella4[[#This Row],[Detail]],MID(Tabella4[[#This Row],[Detail]],1,FIND("&gt;",Tabella4[[#This Row],[Detail]]))),Tabella4[[#This Row],[Detail]])</f>
        <v>&lt;ul&gt;</v>
      </c>
      <c r="Y92" s="34" t="str">
        <f>SUBSTITUTE(IF(Tabella4[[#This Row],[Tool]]="axe-core",MID(Tabella4[[#This Row],[Rejected Element]],3,LEN(Tabella4[[#This Row],[Rejected Element]])-4),Tabella4[[#This Row],[Rejected Element]]),"\","")</f>
        <v>body#page &gt; nav#skiplink:nth-of-type(1) &gt; ul:nth-of-type(1)</v>
      </c>
      <c r="Z92" s="34">
        <f>COUNTIFS(Tabella4[Detail univoco],Tabella4[[#This Row],[Detail univoco]],Tabella4[Rejected Element Univoco],Tabella4[[#This Row],[Rejected Element Univoco]],Tabella4[ItemsNodeLabel],Tabella4[[#This Row],[ItemsNodeLabel]])</f>
        <v>0</v>
      </c>
      <c r="AA92" s="34" t="str">
        <f>IF(Tabella4[[#This Row],[Componente]]="Documenti",VLOOKUP(Tabella4[[#This Row],[URL]],Tabella27[[URL]:[Servizio]],4,FALSE),VLOOKUP(Tabella4[[#This Row],[Page ID]],Tabella1[[Page ID]:[Servizio]],4,FALSE))</f>
        <v>S003 Assistenza</v>
      </c>
      <c r="AB92" s="34"/>
      <c r="AC92" s="34" t="str">
        <f>Tabella4[[#This Row],[User Impact]]</f>
        <v>3 - Moderate</v>
      </c>
      <c r="AD92" s="34" t="str">
        <f>Copertina!C$2&amp;" - "&amp;Tabella4[[#This Row],[UNI CEI EN 301549]]&amp;" "&amp;VLOOKUP(Tabella4[[#This Row],[Criterio]],Tabella5[[ID]:[Criterio di successo]],2,FALSE)&amp;" - "&amp;Tabella4[[#This Row],[Servizio]]&amp;":"</f>
        <v>Insurance Brocker - 9.1.3.1 Informazioni e correlazioni - S003 Assistenza:</v>
      </c>
      <c r="AE9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S003 Assistenza: (#TM0053)
S003 Assistenza
Requisito: WCAG 1.3.1
Disabilità afflitte: Blind;Deafblind
Impatto Utente: 3 - Moderate
Descrizione: Il contenuto non è una list, ma è contrassegnato come tale - Il contenuto non è una list, ma è contrassegnato come tale. [Ulteriori informazioni] (https://docs.deque.com/issue-help/1.0.0/en/semantic-list-used-for-presentation)
Esempio di violazione individuata sull'oggetto: 
https://posteinsurancebroker.poste.it/assistenza - &lt;ul&gt; con selettore: 
["body#page &gt; nav#skiplink:nth-of-type(1) &gt; ul:nth-of-type(1)"]
Dettaglio + screenshot (accedere con le seguenti credenziali: user, axeposte@gmail.com; password, Poste2024!): 
Possibile metodologia risolutiva:
Usa elementi di lista come &lt;ul&gt;, &lt;ol&gt;, e &lt;li&gt; solo per contenuti che devono essere presentati in forma di elenco. Assicurati che le liste siano semanticamente corrette per evitare confusione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92">
        <f>_xlfn.XLOOKUP(Tabella4[[#This Row],[ID Silk]],outTable[ID Silk],outTable[Numero ticket  ],,0,1)</f>
        <v>5966</v>
      </c>
    </row>
    <row r="93" spans="1:32">
      <c r="A93" s="34" t="str">
        <f>MID(Tabella4[[#This Row],[Servizio]],1,4)&amp;Tabella4[[#This Row],[UNI CEI EN 301549]]</f>
        <v>S0039.2.5.3</v>
      </c>
      <c r="B93" s="34" t="str">
        <f>Tabella4[[#This Row],[ID Silk]]&amp;"_1"</f>
        <v>S0039.2.5.3_1</v>
      </c>
      <c r="C93" s="34" t="s">
        <v>834</v>
      </c>
      <c r="D93" s="2" t="str">
        <f>"(#"&amp;Tabella4[[#This Row],['#ID]]&amp;")"</f>
        <v>(#TM0054)</v>
      </c>
      <c r="E93" s="34" t="str">
        <f>IF(MID(Tabella4[[#This Row],['#ID]],1,1)="M","Mobile",IF(MID(Tabella4[[#This Row],['#ID]],1,1)="D","Desktop",IF(MID(Tabella4[[#This Row],['#ID]],1,2)="TM","Manuale","Documenti")))</f>
        <v>Manuale</v>
      </c>
      <c r="F93" s="34" t="s">
        <v>1005</v>
      </c>
      <c r="G93" s="34" t="s">
        <v>324</v>
      </c>
      <c r="H93" s="34" t="str">
        <f>IF(Tabella4[[#This Row],[Componente]]="Documenti","10.","9.")&amp;Tabella4[[#This Row],[Criterio]]</f>
        <v>9.2.5.3</v>
      </c>
      <c r="I93" s="34" t="s">
        <v>1023</v>
      </c>
      <c r="J93" s="34" t="s">
        <v>1024</v>
      </c>
      <c r="K93" s="34" t="s">
        <v>1025</v>
      </c>
      <c r="L93" s="34" t="s">
        <v>1026</v>
      </c>
      <c r="M93" s="34" t="s">
        <v>1027</v>
      </c>
      <c r="N93" t="s">
        <v>483</v>
      </c>
      <c r="O93" t="s">
        <v>485</v>
      </c>
      <c r="P93" t="s">
        <v>385</v>
      </c>
      <c r="R93" s="34" t="str">
        <f>IF(Tabella4[[#This Row],[Componente]]="Documenti",_xlfn.XLOOKUP(Tabella4[[#This Row],[URL]],Tabella27[URL],Tabella27[PDF ID],,0),_xlfn.XLOOKUP(Tabella4[[#This Row],[URL]],Tabella1[URL],Tabella1[Page ID],,0))</f>
        <v>#5</v>
      </c>
      <c r="S93" s="34" t="s">
        <v>1004</v>
      </c>
      <c r="T93" s="34" t="s">
        <v>481</v>
      </c>
      <c r="V93" t="s">
        <v>484</v>
      </c>
      <c r="W93" s="34" t="s">
        <v>1066</v>
      </c>
      <c r="X93" s="34" t="str">
        <f>IFERROR(IF(Tabella4[[#This Row],[Tool]]="lighthouse",Tabella4[[#This Row],[Detail]],MID(Tabella4[[#This Row],[Detail]],1,FIND("&gt;",Tabella4[[#This Row],[Detail]]))),Tabella4[[#This Row],[Detail]])</f>
        <v>&lt;button id="business-button-open" class="offcanvas-toggle pi-targetarea" aria-label="Business" type="button" aria-haspopup="true" aria-controls="menu-siti" aria-expanded="false"&gt;</v>
      </c>
      <c r="Y93" s="34" t="str">
        <f>SUBSTITUTE(IF(Tabella4[[#This Row],[Tool]]="axe-core",MID(Tabella4[[#This Row],[Rejected Element]],3,LEN(Tabella4[[#This Row],[Rejected Element]])-4),Tabella4[[#This Row],[Rejected Element]]),"\","")</f>
        <v>#business-button-open</v>
      </c>
      <c r="Z93" s="34">
        <f>COUNTIFS(Tabella4[Detail univoco],Tabella4[[#This Row],[Detail univoco]],Tabella4[Rejected Element Univoco],Tabella4[[#This Row],[Rejected Element Univoco]],Tabella4[ItemsNodeLabel],Tabella4[[#This Row],[ItemsNodeLabel]])</f>
        <v>0</v>
      </c>
      <c r="AA93" s="34" t="str">
        <f>IF(Tabella4[[#This Row],[Componente]]="Documenti",VLOOKUP(Tabella4[[#This Row],[URL]],Tabella27[[URL]:[Servizio]],4,FALSE),VLOOKUP(Tabella4[[#This Row],[Page ID]],Tabella1[[Page ID]:[Servizio]],4,FALSE))</f>
        <v>S003 Assistenza</v>
      </c>
      <c r="AB93" s="34"/>
      <c r="AC93" s="34" t="str">
        <f>Tabella4[[#This Row],[User Impact]]</f>
        <v>2 - Serious</v>
      </c>
      <c r="AD93" s="34" t="str">
        <f>Copertina!C$2&amp;" - "&amp;Tabella4[[#This Row],[UNI CEI EN 301549]]&amp;" "&amp;VLOOKUP(Tabella4[[#This Row],[Criterio]],Tabella5[[ID]:[Criterio di successo]],2,FALSE)&amp;" - "&amp;Tabella4[[#This Row],[Servizio]]&amp;":"</f>
        <v>Insurance Brocker - 9.2.5.3 Etichetta nel nome - S003 Assistenza:</v>
      </c>
      <c r="AE9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(#TM0054)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https://posteinsurancebroker.poste.it/chiamaci/ - &lt;button id="business-button-open" class="offcanvas-toggle pi-targetarea" aria-label="Business" type="button" aria-haspopup="true" aria-controls="menu-siti" aria-expanded="false"&gt; con selettore: 
["#business-button-open"]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93">
        <f>_xlfn.XLOOKUP(Tabella4[[#This Row],[ID Silk]],outTable[ID Silk],outTable[Numero ticket  ],,0,1)</f>
        <v>5970</v>
      </c>
    </row>
    <row r="94" spans="1:32">
      <c r="A94" s="34" t="str">
        <f>MID(Tabella4[[#This Row],[Servizio]],1,4)&amp;Tabella4[[#This Row],[UNI CEI EN 301549]]</f>
        <v>S0039.2.5.3</v>
      </c>
      <c r="B94" s="34" t="str">
        <f>Tabella4[[#This Row],[ID Silk]]&amp;"_1"</f>
        <v>S0039.2.5.3_1</v>
      </c>
      <c r="C94" s="34" t="s">
        <v>835</v>
      </c>
      <c r="D94" s="2" t="str">
        <f>"(#"&amp;Tabella4[[#This Row],['#ID]]&amp;")"</f>
        <v>(#TM0055)</v>
      </c>
      <c r="E94" s="34" t="str">
        <f>IF(MID(Tabella4[[#This Row],['#ID]],1,1)="M","Mobile",IF(MID(Tabella4[[#This Row],['#ID]],1,1)="D","Desktop",IF(MID(Tabella4[[#This Row],['#ID]],1,2)="TM","Manuale","Documenti")))</f>
        <v>Manuale</v>
      </c>
      <c r="F94" s="34" t="s">
        <v>1005</v>
      </c>
      <c r="G94" s="34" t="s">
        <v>324</v>
      </c>
      <c r="H94" s="34" t="str">
        <f>IF(Tabella4[[#This Row],[Componente]]="Documenti","10.","9.")&amp;Tabella4[[#This Row],[Criterio]]</f>
        <v>9.2.5.3</v>
      </c>
      <c r="I94" s="34" t="s">
        <v>1023</v>
      </c>
      <c r="J94" s="34" t="s">
        <v>1024</v>
      </c>
      <c r="K94" s="34" t="s">
        <v>1025</v>
      </c>
      <c r="L94" s="34" t="s">
        <v>1026</v>
      </c>
      <c r="M94" s="34" t="s">
        <v>1027</v>
      </c>
      <c r="N94" t="s">
        <v>486</v>
      </c>
      <c r="O94" t="s">
        <v>487</v>
      </c>
      <c r="P94" t="s">
        <v>385</v>
      </c>
      <c r="R94" s="34" t="str">
        <f>IF(Tabella4[[#This Row],[Componente]]="Documenti",_xlfn.XLOOKUP(Tabella4[[#This Row],[URL]],Tabella27[URL],Tabella27[PDF ID],,0),_xlfn.XLOOKUP(Tabella4[[#This Row],[URL]],Tabella1[URL],Tabella1[Page ID],,0))</f>
        <v>#5</v>
      </c>
      <c r="S94" s="34" t="s">
        <v>1004</v>
      </c>
      <c r="T94" s="34" t="s">
        <v>481</v>
      </c>
      <c r="V94" t="s">
        <v>484</v>
      </c>
      <c r="W94" s="34" t="s">
        <v>1066</v>
      </c>
      <c r="X94" s="34" t="str">
        <f>IFERROR(IF(Tabella4[[#This Row],[Tool]]="lighthouse",Tabella4[[#This Row],[Detail]],MID(Tabella4[[#This Row],[Detail]],1,FIND("&gt;",Tabella4[[#This Row],[Detail]]))),Tabella4[[#This Row],[Detail]])</f>
        <v>&lt;button id="assistenza-cta" class="fedbar-object offcanvas-toggle" aria-label="assistenza" aria-controls="assistenza-side" aria-expanded="false" data-menu-pnl="assistenza-default-panel" aria-haspopup="true" title="Assistenza" data-activity-linkid="header-assistenza-btn"&gt;</v>
      </c>
      <c r="Y94" s="34" t="str">
        <f>SUBSTITUTE(IF(Tabella4[[#This Row],[Tool]]="axe-core",MID(Tabella4[[#This Row],[Rejected Element]],3,LEN(Tabella4[[#This Row],[Rejected Element]])-4),Tabella4[[#This Row],[Rejected Element]]),"\","")</f>
        <v>#assistenza-cta</v>
      </c>
      <c r="Z94" s="34">
        <f>COUNTIFS(Tabella4[Detail univoco],Tabella4[[#This Row],[Detail univoco]],Tabella4[Rejected Element Univoco],Tabella4[[#This Row],[Rejected Element Univoco]],Tabella4[ItemsNodeLabel],Tabella4[[#This Row],[ItemsNodeLabel]])</f>
        <v>0</v>
      </c>
      <c r="AA94" s="34" t="str">
        <f>IF(Tabella4[[#This Row],[Componente]]="Documenti",VLOOKUP(Tabella4[[#This Row],[URL]],Tabella27[[URL]:[Servizio]],4,FALSE),VLOOKUP(Tabella4[[#This Row],[Page ID]],Tabella1[[Page ID]:[Servizio]],4,FALSE))</f>
        <v>S003 Assistenza</v>
      </c>
      <c r="AB94" s="34"/>
      <c r="AC94" s="34" t="str">
        <f>Tabella4[[#This Row],[User Impact]]</f>
        <v>2 - Serious</v>
      </c>
      <c r="AD94" s="34" t="str">
        <f>Copertina!C$2&amp;" - "&amp;Tabella4[[#This Row],[UNI CEI EN 301549]]&amp;" "&amp;VLOOKUP(Tabella4[[#This Row],[Criterio]],Tabella5[[ID]:[Criterio di successo]],2,FALSE)&amp;" - "&amp;Tabella4[[#This Row],[Servizio]]&amp;":"</f>
        <v>Insurance Brocker - 9.2.5.3 Etichetta nel nome - S003 Assistenza:</v>
      </c>
      <c r="AE9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(#TM0055)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https://posteinsurancebroker.poste.it/chiamaci/ - &lt;button id="assistenza-cta" class="fedbar-object offcanvas-toggle" aria-label="assistenza" aria-controls="assistenza-side" aria-expanded="false" data-menu-pnl="assistenza-default-panel" aria-haspopup="true" title="Assistenza" data-activity-linkid="header-assistenza-btn"&gt; con selettore: 
["#assistenza-cta"]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94">
        <f>_xlfn.XLOOKUP(Tabella4[[#This Row],[ID Silk]],outTable[ID Silk],outTable[Numero ticket  ],,0,1)</f>
        <v>5970</v>
      </c>
    </row>
    <row r="95" spans="1:32">
      <c r="A95" s="34" t="str">
        <f>MID(Tabella4[[#This Row],[Servizio]],1,4)&amp;Tabella4[[#This Row],[UNI CEI EN 301549]]</f>
        <v>S0039.2.5.3</v>
      </c>
      <c r="B95" s="34" t="str">
        <f>Tabella4[[#This Row],[ID Silk]]&amp;"_1"</f>
        <v>S0039.2.5.3_1</v>
      </c>
      <c r="C95" s="34" t="s">
        <v>836</v>
      </c>
      <c r="D95" s="2" t="str">
        <f>"(#"&amp;Tabella4[[#This Row],['#ID]]&amp;")"</f>
        <v>(#TM0056)</v>
      </c>
      <c r="E95" s="34" t="str">
        <f>IF(MID(Tabella4[[#This Row],['#ID]],1,1)="M","Mobile",IF(MID(Tabella4[[#This Row],['#ID]],1,1)="D","Desktop",IF(MID(Tabella4[[#This Row],['#ID]],1,2)="TM","Manuale","Documenti")))</f>
        <v>Manuale</v>
      </c>
      <c r="F95" s="34" t="s">
        <v>1005</v>
      </c>
      <c r="G95" s="34" t="s">
        <v>324</v>
      </c>
      <c r="H95" s="34" t="str">
        <f>IF(Tabella4[[#This Row],[Componente]]="Documenti","10.","9.")&amp;Tabella4[[#This Row],[Criterio]]</f>
        <v>9.2.5.3</v>
      </c>
      <c r="I95" s="34" t="s">
        <v>1023</v>
      </c>
      <c r="J95" s="34" t="s">
        <v>1024</v>
      </c>
      <c r="K95" s="34" t="s">
        <v>1025</v>
      </c>
      <c r="L95" s="34" t="s">
        <v>1026</v>
      </c>
      <c r="M95" s="34" t="s">
        <v>1027</v>
      </c>
      <c r="N95" t="s">
        <v>488</v>
      </c>
      <c r="O95" t="s">
        <v>489</v>
      </c>
      <c r="P95" t="s">
        <v>385</v>
      </c>
      <c r="R95" s="34" t="str">
        <f>IF(Tabella4[[#This Row],[Componente]]="Documenti",_xlfn.XLOOKUP(Tabella4[[#This Row],[URL]],Tabella27[URL],Tabella27[PDF ID],,0),_xlfn.XLOOKUP(Tabella4[[#This Row],[URL]],Tabella1[URL],Tabella1[Page ID],,0))</f>
        <v>#5</v>
      </c>
      <c r="S95" s="34" t="s">
        <v>1004</v>
      </c>
      <c r="T95" s="34" t="s">
        <v>481</v>
      </c>
      <c r="V95" t="s">
        <v>484</v>
      </c>
      <c r="W95" s="34" t="s">
        <v>1066</v>
      </c>
      <c r="X95" s="34" t="str">
        <f>IFERROR(IF(Tabella4[[#This Row],[Tool]]="lighthouse",Tabella4[[#This Row],[Detail]],MID(Tabella4[[#This Row],[Detail]],1,FIND("&gt;",Tabella4[[#This Row],[Detail]]))),Tabella4[[#This Row],[Detail]])</f>
        <v>&lt;button class="navbar-object offcanvas-toggle" id="mn-ctrl" type="button" aria-haspopup="true" aria-controls="menu-navigazione" aria-expanded="false" aria-label="Apre il menu di navigazione" data-activity-linkid="Btn Menu Mobile"&gt;</v>
      </c>
      <c r="Y95" s="34" t="str">
        <f>SUBSTITUTE(IF(Tabella4[[#This Row],[Tool]]="axe-core",MID(Tabella4[[#This Row],[Rejected Element]],3,LEN(Tabella4[[#This Row],[Rejected Element]])-4),Tabella4[[#This Row],[Rejected Element]]),"\","")</f>
        <v>#mn-ctrl</v>
      </c>
      <c r="Z95" s="34">
        <f>COUNTIFS(Tabella4[Detail univoco],Tabella4[[#This Row],[Detail univoco]],Tabella4[Rejected Element Univoco],Tabella4[[#This Row],[Rejected Element Univoco]],Tabella4[ItemsNodeLabel],Tabella4[[#This Row],[ItemsNodeLabel]])</f>
        <v>0</v>
      </c>
      <c r="AA95" s="34" t="str">
        <f>IF(Tabella4[[#This Row],[Componente]]="Documenti",VLOOKUP(Tabella4[[#This Row],[URL]],Tabella27[[URL]:[Servizio]],4,FALSE),VLOOKUP(Tabella4[[#This Row],[Page ID]],Tabella1[[Page ID]:[Servizio]],4,FALSE))</f>
        <v>S003 Assistenza</v>
      </c>
      <c r="AB95" s="34"/>
      <c r="AC95" s="34" t="str">
        <f>Tabella4[[#This Row],[User Impact]]</f>
        <v>2 - Serious</v>
      </c>
      <c r="AD95" s="34" t="str">
        <f>Copertina!C$2&amp;" - "&amp;Tabella4[[#This Row],[UNI CEI EN 301549]]&amp;" "&amp;VLOOKUP(Tabella4[[#This Row],[Criterio]],Tabella5[[ID]:[Criterio di successo]],2,FALSE)&amp;" - "&amp;Tabella4[[#This Row],[Servizio]]&amp;":"</f>
        <v>Insurance Brocker - 9.2.5.3 Etichetta nel nome - S003 Assistenza:</v>
      </c>
      <c r="AE9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(#TM0056)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https://posteinsurancebroker.poste.it/chiamaci/ - &lt;button class="navbar-object offcanvas-toggle" id="mn-ctrl" type="button" aria-haspopup="true" aria-controls="menu-navigazione" aria-expanded="false" aria-label="Apre il menu di navigazione" data-activity-linkid="Btn Menu Mobile"&gt; con selettore: 
["#mn-ctrl"]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95">
        <f>_xlfn.XLOOKUP(Tabella4[[#This Row],[ID Silk]],outTable[ID Silk],outTable[Numero ticket  ],,0,1)</f>
        <v>5970</v>
      </c>
    </row>
    <row r="96" spans="1:32">
      <c r="A96" s="34" t="str">
        <f>MID(Tabella4[[#This Row],[Servizio]],1,4)&amp;Tabella4[[#This Row],[UNI CEI EN 301549]]</f>
        <v>S0039.1.4.3</v>
      </c>
      <c r="B96" s="34" t="str">
        <f>Tabella4[[#This Row],[ID Silk]]&amp;"_1"</f>
        <v>S0039.1.4.3_1</v>
      </c>
      <c r="C96" s="34" t="s">
        <v>837</v>
      </c>
      <c r="D96" s="2" t="str">
        <f>"(#"&amp;Tabella4[[#This Row],['#ID]]&amp;")"</f>
        <v>(#TM0057)</v>
      </c>
      <c r="E96" s="34" t="str">
        <f>IF(MID(Tabella4[[#This Row],['#ID]],1,1)="M","Mobile",IF(MID(Tabella4[[#This Row],['#ID]],1,1)="D","Desktop",IF(MID(Tabella4[[#This Row],['#ID]],1,2)="TM","Manuale","Documenti")))</f>
        <v>Manuale</v>
      </c>
      <c r="F96" s="34" t="s">
        <v>1006</v>
      </c>
      <c r="G96" s="34" t="s">
        <v>228</v>
      </c>
      <c r="H96" s="34" t="str">
        <f>IF(Tabella4[[#This Row],[Componente]]="Documenti","10.","9.")&amp;Tabella4[[#This Row],[Criterio]]</f>
        <v>9.1.4.3</v>
      </c>
      <c r="I96" s="34" t="s">
        <v>1023</v>
      </c>
      <c r="J96" s="34" t="s">
        <v>1037</v>
      </c>
      <c r="K96" s="34" t="s">
        <v>549</v>
      </c>
      <c r="L96" s="34" t="s">
        <v>1038</v>
      </c>
      <c r="M96" s="34" t="s">
        <v>1039</v>
      </c>
      <c r="N96" t="s">
        <v>565</v>
      </c>
      <c r="O96" t="s">
        <v>551</v>
      </c>
      <c r="P96" t="s">
        <v>385</v>
      </c>
      <c r="R96" s="34" t="str">
        <f>IF(Tabella4[[#This Row],[Componente]]="Documenti",_xlfn.XLOOKUP(Tabella4[[#This Row],[URL]],Tabella27[URL],Tabella27[PDF ID],,0),_xlfn.XLOOKUP(Tabella4[[#This Row],[URL]],Tabella1[URL],Tabella1[Page ID],,0))</f>
        <v>#5</v>
      </c>
      <c r="S96" s="34" t="s">
        <v>1004</v>
      </c>
      <c r="T96" s="34" t="s">
        <v>547</v>
      </c>
      <c r="V96" t="s">
        <v>548</v>
      </c>
      <c r="W96" s="34" t="s">
        <v>1069</v>
      </c>
      <c r="X96" s="34" t="str">
        <f>IFERROR(IF(Tabella4[[#This Row],[Tool]]="lighthouse",Tabella4[[#This Row],[Detail]],MID(Tabella4[[#This Row],[Detail]],1,FIND("&gt;",Tabella4[[#This Row],[Detail]]))),Tabella4[[#This Row],[Detail]])</f>
        <v>&lt;a tabindex="0" class="skip-link sr-only-focusable-abs" href="#accessibility-anchor"&gt;</v>
      </c>
      <c r="Y96" s="34" t="str">
        <f>SUBSTITUTE(IF(Tabella4[[#This Row],[Tool]]="axe-core",MID(Tabella4[[#This Row],[Rejected Element]],3,LEN(Tabella4[[#This Row],[Rejected Element]])-4),Tabella4[[#This Row],[Rejected Element]]),"\","")</f>
        <v>body#page.Nessuno &gt; nav#skiplink:nth-of-type(1) &gt; ul:nth-of-type(1) &gt; li:nth-of-type(1) &gt; a.skip-link.sr-only-focusable-abs:nth-of-type(1)</v>
      </c>
      <c r="Z96" s="34">
        <f>COUNTIFS(Tabella4[Detail univoco],Tabella4[[#This Row],[Detail univoco]],Tabella4[Rejected Element Univoco],Tabella4[[#This Row],[Rejected Element Univoco]],Tabella4[ItemsNodeLabel],Tabella4[[#This Row],[ItemsNodeLabel]])</f>
        <v>0</v>
      </c>
      <c r="AA96" s="34" t="str">
        <f>IF(Tabella4[[#This Row],[Componente]]="Documenti",VLOOKUP(Tabella4[[#This Row],[URL]],Tabella27[[URL]:[Servizio]],4,FALSE),VLOOKUP(Tabella4[[#This Row],[Page ID]],Tabella1[[Page ID]:[Servizio]],4,FALSE))</f>
        <v>S003 Assistenza</v>
      </c>
      <c r="AB96" s="34"/>
      <c r="AC96" s="34" t="str">
        <f>Tabella4[[#This Row],[User Impact]]</f>
        <v>2 - Serious</v>
      </c>
      <c r="AD96" s="34" t="str">
        <f>Copertina!C$2&amp;" - "&amp;Tabella4[[#This Row],[UNI CEI EN 301549]]&amp;" "&amp;VLOOKUP(Tabella4[[#This Row],[Criterio]],Tabella5[[ID]:[Criterio di successo]],2,FALSE)&amp;" - "&amp;Tabella4[[#This Row],[Servizio]]&amp;":"</f>
        <v>Insurance Brocker - 9.1.4.3 Contrasto (minimo) - S003 Assistenza:</v>
      </c>
      <c r="AE9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(#TM0057)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https://posteinsurancebroker.poste.it/chiamaci/ - &lt;a tabindex="0" class="skip-link sr-only-focusable-abs" href="#accessibility-anchor"&gt;Passa al contenuto principale&lt;/a&gt; con selettore: 
["body#page.Nessuno &gt; nav#skiplink:nth-of-type(1) &gt; ul:nth-of-type(1) &gt; li:nth-of-type(1)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96">
        <f>_xlfn.XLOOKUP(Tabella4[[#This Row],[ID Silk]],outTable[ID Silk],outTable[Numero ticket  ],,0,1)</f>
        <v>5967</v>
      </c>
    </row>
    <row r="97" spans="1:32">
      <c r="A97" s="34" t="str">
        <f>MID(Tabella4[[#This Row],[Servizio]],1,4)&amp;Tabella4[[#This Row],[UNI CEI EN 301549]]</f>
        <v>S0039.1.4.3</v>
      </c>
      <c r="B97" s="34" t="str">
        <f>Tabella4[[#This Row],[ID Silk]]&amp;"_1"</f>
        <v>S0039.1.4.3_1</v>
      </c>
      <c r="C97" s="34" t="s">
        <v>838</v>
      </c>
      <c r="D97" s="2" t="str">
        <f>"(#"&amp;Tabella4[[#This Row],['#ID]]&amp;")"</f>
        <v>(#TM0058)</v>
      </c>
      <c r="E97" s="34" t="str">
        <f>IF(MID(Tabella4[[#This Row],['#ID]],1,1)="M","Mobile",IF(MID(Tabella4[[#This Row],['#ID]],1,1)="D","Desktop",IF(MID(Tabella4[[#This Row],['#ID]],1,2)="TM","Manuale","Documenti")))</f>
        <v>Manuale</v>
      </c>
      <c r="F97" s="34" t="s">
        <v>1006</v>
      </c>
      <c r="G97" s="34" t="s">
        <v>228</v>
      </c>
      <c r="H97" s="34" t="str">
        <f>IF(Tabella4[[#This Row],[Componente]]="Documenti","10.","9.")&amp;Tabella4[[#This Row],[Criterio]]</f>
        <v>9.1.4.3</v>
      </c>
      <c r="I97" s="34" t="s">
        <v>1023</v>
      </c>
      <c r="J97" s="34" t="s">
        <v>1037</v>
      </c>
      <c r="K97" s="34" t="s">
        <v>549</v>
      </c>
      <c r="L97" s="34" t="s">
        <v>1038</v>
      </c>
      <c r="M97" s="34" t="s">
        <v>1039</v>
      </c>
      <c r="N97" t="s">
        <v>566</v>
      </c>
      <c r="O97" t="s">
        <v>553</v>
      </c>
      <c r="P97" t="s">
        <v>385</v>
      </c>
      <c r="R97" s="34" t="str">
        <f>IF(Tabella4[[#This Row],[Componente]]="Documenti",_xlfn.XLOOKUP(Tabella4[[#This Row],[URL]],Tabella27[URL],Tabella27[PDF ID],,0),_xlfn.XLOOKUP(Tabella4[[#This Row],[URL]],Tabella1[URL],Tabella1[Page ID],,0))</f>
        <v>#5</v>
      </c>
      <c r="S97" s="34" t="s">
        <v>1004</v>
      </c>
      <c r="T97" s="34" t="s">
        <v>547</v>
      </c>
      <c r="V97" t="s">
        <v>548</v>
      </c>
      <c r="W97" s="34" t="s">
        <v>1069</v>
      </c>
      <c r="X97" s="34" t="str">
        <f>IFERROR(IF(Tabella4[[#This Row],[Tool]]="lighthouse",Tabella4[[#This Row],[Detail]],MID(Tabella4[[#This Row],[Detail]],1,FIND("&gt;",Tabella4[[#This Row],[Detail]]))),Tabella4[[#This Row],[Detail]])</f>
        <v>&lt;a class="skip-link sr-only-focusable-abs" href="#footer"&gt;</v>
      </c>
      <c r="Y97" s="34" t="str">
        <f>SUBSTITUTE(IF(Tabella4[[#This Row],[Tool]]="axe-core",MID(Tabella4[[#This Row],[Rejected Element]],3,LEN(Tabella4[[#This Row],[Rejected Element]])-4),Tabella4[[#This Row],[Rejected Element]]),"\","")</f>
        <v>body#page.Nessuno &gt; nav#skiplink:nth-of-type(1) &gt; ul:nth-of-type(1) &gt; li:nth-of-type(3) &gt; a.skip-link.sr-only-focusable-abs:nth-of-type(1)</v>
      </c>
      <c r="Z97" s="34">
        <f>COUNTIFS(Tabella4[Detail univoco],Tabella4[[#This Row],[Detail univoco]],Tabella4[Rejected Element Univoco],Tabella4[[#This Row],[Rejected Element Univoco]],Tabella4[ItemsNodeLabel],Tabella4[[#This Row],[ItemsNodeLabel]])</f>
        <v>0</v>
      </c>
      <c r="AA97" s="34" t="str">
        <f>IF(Tabella4[[#This Row],[Componente]]="Documenti",VLOOKUP(Tabella4[[#This Row],[URL]],Tabella27[[URL]:[Servizio]],4,FALSE),VLOOKUP(Tabella4[[#This Row],[Page ID]],Tabella1[[Page ID]:[Servizio]],4,FALSE))</f>
        <v>S003 Assistenza</v>
      </c>
      <c r="AB97" s="34"/>
      <c r="AC97" s="34" t="str">
        <f>Tabella4[[#This Row],[User Impact]]</f>
        <v>2 - Serious</v>
      </c>
      <c r="AD97" s="34" t="str">
        <f>Copertina!C$2&amp;" - "&amp;Tabella4[[#This Row],[UNI CEI EN 301549]]&amp;" "&amp;VLOOKUP(Tabella4[[#This Row],[Criterio]],Tabella5[[ID]:[Criterio di successo]],2,FALSE)&amp;" - "&amp;Tabella4[[#This Row],[Servizio]]&amp;":"</f>
        <v>Insurance Brocker - 9.1.4.3 Contrasto (minimo) - S003 Assistenza:</v>
      </c>
      <c r="AE9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(#TM0058)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https://posteinsurancebroker.poste.it/chiamaci/ - &lt;a class="skip-link sr-only-focusable-abs" href="#footer"&gt;Passa al footer di pagina&lt;/a&gt; con selettore: 
["body#page.Nessuno &gt; nav#skiplink:nth-of-type(1) &gt; ul:nth-of-type(1) &gt; li:nth-of-type(3)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97">
        <f>_xlfn.XLOOKUP(Tabella4[[#This Row],[ID Silk]],outTable[ID Silk],outTable[Numero ticket  ],,0,1)</f>
        <v>5967</v>
      </c>
    </row>
    <row r="98" spans="1:32">
      <c r="A98" s="34" t="str">
        <f>MID(Tabella4[[#This Row],[Servizio]],1,4)&amp;Tabella4[[#This Row],[UNI CEI EN 301549]]</f>
        <v>S0039.1.3.1</v>
      </c>
      <c r="B98" s="34" t="str">
        <f>Tabella4[[#This Row],[ID Silk]]&amp;"_1"</f>
        <v>S0039.1.3.1_1</v>
      </c>
      <c r="C98" s="34" t="s">
        <v>839</v>
      </c>
      <c r="D98" s="2" t="str">
        <f>"(#"&amp;Tabella4[[#This Row],['#ID]]&amp;")"</f>
        <v>(#TM0059)</v>
      </c>
      <c r="E98" s="34" t="str">
        <f>IF(MID(Tabella4[[#This Row],['#ID]],1,1)="M","Mobile",IF(MID(Tabella4[[#This Row],['#ID]],1,1)="D","Desktop",IF(MID(Tabella4[[#This Row],['#ID]],1,2)="TM","Manuale","Documenti")))</f>
        <v>Manuale</v>
      </c>
      <c r="F98" s="34" t="s">
        <v>1005</v>
      </c>
      <c r="G98" s="34" t="s">
        <v>184</v>
      </c>
      <c r="H98" s="34" t="str">
        <f>IF(Tabella4[[#This Row],[Componente]]="Documenti","10.","9.")&amp;Tabella4[[#This Row],[Criterio]]</f>
        <v>9.1.3.1</v>
      </c>
      <c r="I98" s="34" t="s">
        <v>1036</v>
      </c>
      <c r="J98" s="34" t="s">
        <v>1008</v>
      </c>
      <c r="K98" s="34" t="s">
        <v>558</v>
      </c>
      <c r="L98" s="34" t="s">
        <v>1040</v>
      </c>
      <c r="M98" s="34" t="s">
        <v>1041</v>
      </c>
      <c r="N98" t="s">
        <v>567</v>
      </c>
      <c r="O98" t="s">
        <v>560</v>
      </c>
      <c r="P98" t="s">
        <v>385</v>
      </c>
      <c r="R98" s="34" t="str">
        <f>IF(Tabella4[[#This Row],[Componente]]="Documenti",_xlfn.XLOOKUP(Tabella4[[#This Row],[URL]],Tabella27[URL],Tabella27[PDF ID],,0),_xlfn.XLOOKUP(Tabella4[[#This Row],[URL]],Tabella1[URL],Tabella1[Page ID],,0))</f>
        <v>#5</v>
      </c>
      <c r="S98" s="34" t="s">
        <v>1004</v>
      </c>
      <c r="T98" s="34" t="s">
        <v>556</v>
      </c>
      <c r="V98" t="s">
        <v>557</v>
      </c>
      <c r="W98" s="34" t="s">
        <v>1070</v>
      </c>
      <c r="X98" s="34" t="str">
        <f>IFERROR(IF(Tabella4[[#This Row],[Tool]]="lighthouse",Tabella4[[#This Row],[Detail]],MID(Tabella4[[#This Row],[Detail]],1,FIND("&gt;",Tabella4[[#This Row],[Detail]]))),Tabella4[[#This Row],[Detail]])</f>
        <v>&lt;ul&gt;</v>
      </c>
      <c r="Y98" s="34" t="str">
        <f>SUBSTITUTE(IF(Tabella4[[#This Row],[Tool]]="axe-core",MID(Tabella4[[#This Row],[Rejected Element]],3,LEN(Tabella4[[#This Row],[Rejected Element]])-4),Tabella4[[#This Row],[Rejected Element]]),"\","")</f>
        <v>body#page.Nessuno &gt; nav#skiplink:nth-of-type(1) &gt; ul:nth-of-type(1)</v>
      </c>
      <c r="Z98" s="34">
        <f>COUNTIFS(Tabella4[Detail univoco],Tabella4[[#This Row],[Detail univoco]],Tabella4[Rejected Element Univoco],Tabella4[[#This Row],[Rejected Element Univoco]],Tabella4[ItemsNodeLabel],Tabella4[[#This Row],[ItemsNodeLabel]])</f>
        <v>0</v>
      </c>
      <c r="AA98" s="34" t="str">
        <f>IF(Tabella4[[#This Row],[Componente]]="Documenti",VLOOKUP(Tabella4[[#This Row],[URL]],Tabella27[[URL]:[Servizio]],4,FALSE),VLOOKUP(Tabella4[[#This Row],[Page ID]],Tabella1[[Page ID]:[Servizio]],4,FALSE))</f>
        <v>S003 Assistenza</v>
      </c>
      <c r="AB98" s="34"/>
      <c r="AC98" s="34" t="str">
        <f>Tabella4[[#This Row],[User Impact]]</f>
        <v>3 - Moderate</v>
      </c>
      <c r="AD98" s="34" t="str">
        <f>Copertina!C$2&amp;" - "&amp;Tabella4[[#This Row],[UNI CEI EN 301549]]&amp;" "&amp;VLOOKUP(Tabella4[[#This Row],[Criterio]],Tabella5[[ID]:[Criterio di successo]],2,FALSE)&amp;" - "&amp;Tabella4[[#This Row],[Servizio]]&amp;":"</f>
        <v>Insurance Brocker - 9.1.3.1 Informazioni e correlazioni - S003 Assistenza:</v>
      </c>
      <c r="AE9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S003 Assistenza: (#TM0059)
S003 Assistenza
Requisito: WCAG 1.3.1
Disabilità afflitte: Blind;Deafblind
Impatto Utente: 3 - Moderate
Descrizione: Il contenuto non è una list, ma è contrassegnato come tale - Il contenuto non è una list, ma è contrassegnato come tale. [Ulteriori informazioni] (https://docs.deque.com/issue-help/1.0.0/en/semantic-list-used-for-presentation)
Esempio di violazione individuata sull'oggetto: 
https://posteinsurancebroker.poste.it/chiamaci/ - &lt;ul&gt; con selettore: 
["body#page.Nessuno &gt; nav#skiplink:nth-of-type(1) &gt; ul:nth-of-type(1)"]
Dettaglio + screenshot (accedere con le seguenti credenziali: user, axeposte@gmail.com; password, Poste2024!): 
Possibile metodologia risolutiva:
Usa elementi di lista come &lt;ul&gt;, &lt;ol&gt;, e &lt;li&gt; solo per contenuti che devono essere presentati in forma di elenco. Assicurati che le liste siano semanticamente corrette per evitare confusione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98">
        <f>_xlfn.XLOOKUP(Tabella4[[#This Row],[ID Silk]],outTable[ID Silk],outTable[Numero ticket  ],,0,1)</f>
        <v>5966</v>
      </c>
    </row>
    <row r="99" spans="1:32">
      <c r="A99" s="34" t="str">
        <f>MID(Tabella4[[#This Row],[Servizio]],1,4)&amp;Tabella4[[#This Row],[UNI CEI EN 301549]]</f>
        <v>S0039.1.4.3</v>
      </c>
      <c r="B99" s="34" t="str">
        <f>Tabella4[[#This Row],[ID Silk]]&amp;"_1"</f>
        <v>S0039.1.4.3_1</v>
      </c>
      <c r="C99" s="34" t="s">
        <v>840</v>
      </c>
      <c r="D99" s="2" t="str">
        <f>"(#"&amp;Tabella4[[#This Row],['#ID]]&amp;")"</f>
        <v>(#TM0060)</v>
      </c>
      <c r="E99" s="34" t="str">
        <f>IF(MID(Tabella4[[#This Row],['#ID]],1,1)="M","Mobile",IF(MID(Tabella4[[#This Row],['#ID]],1,1)="D","Desktop",IF(MID(Tabella4[[#This Row],['#ID]],1,2)="TM","Manuale","Documenti")))</f>
        <v>Manuale</v>
      </c>
      <c r="F99" s="34" t="s">
        <v>1006</v>
      </c>
      <c r="G99" s="34" t="s">
        <v>228</v>
      </c>
      <c r="H99" s="34" t="str">
        <f>IF(Tabella4[[#This Row],[Componente]]="Documenti","10.","9.")&amp;Tabella4[[#This Row],[Criterio]]</f>
        <v>9.1.4.3</v>
      </c>
      <c r="I99" s="34" t="s">
        <v>1023</v>
      </c>
      <c r="J99" s="34" t="s">
        <v>1037</v>
      </c>
      <c r="K99" s="34" t="s">
        <v>549</v>
      </c>
      <c r="L99" s="34" t="s">
        <v>1038</v>
      </c>
      <c r="M99" s="34" t="s">
        <v>1039</v>
      </c>
      <c r="N99" t="s">
        <v>565</v>
      </c>
      <c r="O99" t="s">
        <v>551</v>
      </c>
      <c r="P99" t="s">
        <v>390</v>
      </c>
      <c r="R99" s="34" t="str">
        <f>IF(Tabella4[[#This Row],[Componente]]="Documenti",_xlfn.XLOOKUP(Tabella4[[#This Row],[URL]],Tabella27[URL],Tabella27[PDF ID],,0),_xlfn.XLOOKUP(Tabella4[[#This Row],[URL]],Tabella1[URL],Tabella1[Page ID],,0))</f>
        <v>#10</v>
      </c>
      <c r="S99" s="34" t="s">
        <v>1004</v>
      </c>
      <c r="T99" s="34" t="s">
        <v>547</v>
      </c>
      <c r="V99" t="s">
        <v>548</v>
      </c>
      <c r="W99" s="34" t="s">
        <v>1069</v>
      </c>
      <c r="X99" s="34" t="str">
        <f>IFERROR(IF(Tabella4[[#This Row],[Tool]]="lighthouse",Tabella4[[#This Row],[Detail]],MID(Tabella4[[#This Row],[Detail]],1,FIND("&gt;",Tabella4[[#This Row],[Detail]]))),Tabella4[[#This Row],[Detail]])</f>
        <v>&lt;a tabindex="0" class="skip-link sr-only-focusable-abs" href="#accessibility-anchor"&gt;</v>
      </c>
      <c r="Y99" s="34" t="str">
        <f>SUBSTITUTE(IF(Tabella4[[#This Row],[Tool]]="axe-core",MID(Tabella4[[#This Row],[Rejected Element]],3,LEN(Tabella4[[#This Row],[Rejected Element]])-4),Tabella4[[#This Row],[Rejected Element]]),"\","")</f>
        <v>body#page.Nessuno &gt; nav#skiplink:nth-of-type(1) &gt; ul:nth-of-type(1) &gt; li:nth-of-type(1) &gt; a.skip-link.sr-only-focusable-abs:nth-of-type(1)</v>
      </c>
      <c r="Z99" s="34">
        <f>COUNTIFS(Tabella4[Detail univoco],Tabella4[[#This Row],[Detail univoco]],Tabella4[Rejected Element Univoco],Tabella4[[#This Row],[Rejected Element Univoco]],Tabella4[ItemsNodeLabel],Tabella4[[#This Row],[ItemsNodeLabel]])</f>
        <v>0</v>
      </c>
      <c r="AA99" s="34" t="str">
        <f>IF(Tabella4[[#This Row],[Componente]]="Documenti",VLOOKUP(Tabella4[[#This Row],[URL]],Tabella27[[URL]:[Servizio]],4,FALSE),VLOOKUP(Tabella4[[#This Row],[Page ID]],Tabella1[[Page ID]:[Servizio]],4,FALSE))</f>
        <v>S003 Assistenza</v>
      </c>
      <c r="AB99" s="34"/>
      <c r="AC99" s="34" t="str">
        <f>Tabella4[[#This Row],[User Impact]]</f>
        <v>2 - Serious</v>
      </c>
      <c r="AD99" s="34" t="str">
        <f>Copertina!C$2&amp;" - "&amp;Tabella4[[#This Row],[UNI CEI EN 301549]]&amp;" "&amp;VLOOKUP(Tabella4[[#This Row],[Criterio]],Tabella5[[ID]:[Criterio di successo]],2,FALSE)&amp;" - "&amp;Tabella4[[#This Row],[Servizio]]&amp;":"</f>
        <v>Insurance Brocker - 9.1.4.3 Contrasto (minimo) - S003 Assistenza:</v>
      </c>
      <c r="AE9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(#TM0060)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https://posteinsurancebroker.poste.it/glossario-assicurativo/ - &lt;a tabindex="0" class="skip-link sr-only-focusable-abs" href="#accessibility-anchor"&gt;Passa al contenuto principale&lt;/a&gt; con selettore: 
["body#page.Nessuno &gt; nav#skiplink:nth-of-type(1) &gt; ul:nth-of-type(1) &gt; li:nth-of-type(1)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99">
        <f>_xlfn.XLOOKUP(Tabella4[[#This Row],[ID Silk]],outTable[ID Silk],outTable[Numero ticket  ],,0,1)</f>
        <v>5967</v>
      </c>
    </row>
    <row r="100" spans="1:32">
      <c r="A100" s="34" t="str">
        <f>MID(Tabella4[[#This Row],[Servizio]],1,4)&amp;Tabella4[[#This Row],[UNI CEI EN 301549]]</f>
        <v>S0039.1.4.3</v>
      </c>
      <c r="B100" s="34" t="str">
        <f>Tabella4[[#This Row],[ID Silk]]&amp;"_1"</f>
        <v>S0039.1.4.3_1</v>
      </c>
      <c r="C100" s="34" t="s">
        <v>841</v>
      </c>
      <c r="D100" s="2" t="str">
        <f>"(#"&amp;Tabella4[[#This Row],['#ID]]&amp;")"</f>
        <v>(#TM0061)</v>
      </c>
      <c r="E100" s="34" t="str">
        <f>IF(MID(Tabella4[[#This Row],['#ID]],1,1)="M","Mobile",IF(MID(Tabella4[[#This Row],['#ID]],1,1)="D","Desktop",IF(MID(Tabella4[[#This Row],['#ID]],1,2)="TM","Manuale","Documenti")))</f>
        <v>Manuale</v>
      </c>
      <c r="F100" s="34" t="s">
        <v>1006</v>
      </c>
      <c r="G100" s="34" t="s">
        <v>228</v>
      </c>
      <c r="H100" s="34" t="str">
        <f>IF(Tabella4[[#This Row],[Componente]]="Documenti","10.","9.")&amp;Tabella4[[#This Row],[Criterio]]</f>
        <v>9.1.4.3</v>
      </c>
      <c r="I100" s="34" t="s">
        <v>1023</v>
      </c>
      <c r="J100" s="34" t="s">
        <v>1037</v>
      </c>
      <c r="K100" s="34" t="s">
        <v>549</v>
      </c>
      <c r="L100" s="34" t="s">
        <v>1038</v>
      </c>
      <c r="M100" s="34" t="s">
        <v>1039</v>
      </c>
      <c r="N100" t="s">
        <v>566</v>
      </c>
      <c r="O100" t="s">
        <v>553</v>
      </c>
      <c r="P100" t="s">
        <v>390</v>
      </c>
      <c r="R100" s="34" t="str">
        <f>IF(Tabella4[[#This Row],[Componente]]="Documenti",_xlfn.XLOOKUP(Tabella4[[#This Row],[URL]],Tabella27[URL],Tabella27[PDF ID],,0),_xlfn.XLOOKUP(Tabella4[[#This Row],[URL]],Tabella1[URL],Tabella1[Page ID],,0))</f>
        <v>#10</v>
      </c>
      <c r="S100" s="34" t="s">
        <v>1004</v>
      </c>
      <c r="T100" s="34" t="s">
        <v>547</v>
      </c>
      <c r="V100" t="s">
        <v>548</v>
      </c>
      <c r="W100" s="34" t="s">
        <v>1069</v>
      </c>
      <c r="X100" s="34" t="str">
        <f>IFERROR(IF(Tabella4[[#This Row],[Tool]]="lighthouse",Tabella4[[#This Row],[Detail]],MID(Tabella4[[#This Row],[Detail]],1,FIND("&gt;",Tabella4[[#This Row],[Detail]]))),Tabella4[[#This Row],[Detail]])</f>
        <v>&lt;a class="skip-link sr-only-focusable-abs" href="#footer"&gt;</v>
      </c>
      <c r="Y100" s="34" t="str">
        <f>SUBSTITUTE(IF(Tabella4[[#This Row],[Tool]]="axe-core",MID(Tabella4[[#This Row],[Rejected Element]],3,LEN(Tabella4[[#This Row],[Rejected Element]])-4),Tabella4[[#This Row],[Rejected Element]]),"\","")</f>
        <v>body#page.Nessuno &gt; nav#skiplink:nth-of-type(1) &gt; ul:nth-of-type(1) &gt; li:nth-of-type(3) &gt; a.skip-link.sr-only-focusable-abs:nth-of-type(1)</v>
      </c>
      <c r="Z100" s="34">
        <f>COUNTIFS(Tabella4[Detail univoco],Tabella4[[#This Row],[Detail univoco]],Tabella4[Rejected Element Univoco],Tabella4[[#This Row],[Rejected Element Univoco]],Tabella4[ItemsNodeLabel],Tabella4[[#This Row],[ItemsNodeLabel]])</f>
        <v>0</v>
      </c>
      <c r="AA100" s="34" t="str">
        <f>IF(Tabella4[[#This Row],[Componente]]="Documenti",VLOOKUP(Tabella4[[#This Row],[URL]],Tabella27[[URL]:[Servizio]],4,FALSE),VLOOKUP(Tabella4[[#This Row],[Page ID]],Tabella1[[Page ID]:[Servizio]],4,FALSE))</f>
        <v>S003 Assistenza</v>
      </c>
      <c r="AB100" s="34"/>
      <c r="AC100" s="34" t="str">
        <f>Tabella4[[#This Row],[User Impact]]</f>
        <v>2 - Serious</v>
      </c>
      <c r="AD100" s="34" t="str">
        <f>Copertina!C$2&amp;" - "&amp;Tabella4[[#This Row],[UNI CEI EN 301549]]&amp;" "&amp;VLOOKUP(Tabella4[[#This Row],[Criterio]],Tabella5[[ID]:[Criterio di successo]],2,FALSE)&amp;" - "&amp;Tabella4[[#This Row],[Servizio]]&amp;":"</f>
        <v>Insurance Brocker - 9.1.4.3 Contrasto (minimo) - S003 Assistenza:</v>
      </c>
      <c r="AE10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(#TM0061)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https://posteinsurancebroker.poste.it/glossario-assicurativo/ - &lt;a class="skip-link sr-only-focusable-abs" href="#footer"&gt;Passa al footer di pagina&lt;/a&gt; con selettore: 
["body#page.Nessuno &gt; nav#skiplink:nth-of-type(1) &gt; ul:nth-of-type(1) &gt; li:nth-of-type(3)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00">
        <f>_xlfn.XLOOKUP(Tabella4[[#This Row],[ID Silk]],outTable[ID Silk],outTable[Numero ticket  ],,0,1)</f>
        <v>5967</v>
      </c>
    </row>
    <row r="101" spans="1:32">
      <c r="A101" s="34" t="str">
        <f>MID(Tabella4[[#This Row],[Servizio]],1,4)&amp;Tabella4[[#This Row],[UNI CEI EN 301549]]</f>
        <v>S0039.1.3.1</v>
      </c>
      <c r="B101" s="34" t="str">
        <f>Tabella4[[#This Row],[ID Silk]]&amp;"_1"</f>
        <v>S0039.1.3.1_1</v>
      </c>
      <c r="C101" s="34" t="s">
        <v>842</v>
      </c>
      <c r="D101" s="2" t="str">
        <f>"(#"&amp;Tabella4[[#This Row],['#ID]]&amp;")"</f>
        <v>(#TM0062)</v>
      </c>
      <c r="E101" s="34" t="str">
        <f>IF(MID(Tabella4[[#This Row],['#ID]],1,1)="M","Mobile",IF(MID(Tabella4[[#This Row],['#ID]],1,1)="D","Desktop",IF(MID(Tabella4[[#This Row],['#ID]],1,2)="TM","Manuale","Documenti")))</f>
        <v>Manuale</v>
      </c>
      <c r="F101" s="34" t="s">
        <v>1005</v>
      </c>
      <c r="G101" s="34" t="s">
        <v>184</v>
      </c>
      <c r="H101" s="34" t="str">
        <f>IF(Tabella4[[#This Row],[Componente]]="Documenti","10.","9.")&amp;Tabella4[[#This Row],[Criterio]]</f>
        <v>9.1.3.1</v>
      </c>
      <c r="I101" s="34" t="s">
        <v>1036</v>
      </c>
      <c r="J101" s="34" t="s">
        <v>1008</v>
      </c>
      <c r="K101" s="34" t="s">
        <v>558</v>
      </c>
      <c r="L101" s="34" t="s">
        <v>1040</v>
      </c>
      <c r="M101" s="34" t="s">
        <v>1041</v>
      </c>
      <c r="N101" t="s">
        <v>567</v>
      </c>
      <c r="O101" t="s">
        <v>560</v>
      </c>
      <c r="P101" t="s">
        <v>390</v>
      </c>
      <c r="R101" s="34" t="str">
        <f>IF(Tabella4[[#This Row],[Componente]]="Documenti",_xlfn.XLOOKUP(Tabella4[[#This Row],[URL]],Tabella27[URL],Tabella27[PDF ID],,0),_xlfn.XLOOKUP(Tabella4[[#This Row],[URL]],Tabella1[URL],Tabella1[Page ID],,0))</f>
        <v>#10</v>
      </c>
      <c r="S101" s="34" t="s">
        <v>1004</v>
      </c>
      <c r="T101" s="34" t="s">
        <v>556</v>
      </c>
      <c r="V101" t="s">
        <v>557</v>
      </c>
      <c r="W101" s="34" t="s">
        <v>1070</v>
      </c>
      <c r="X101" s="34" t="str">
        <f>IFERROR(IF(Tabella4[[#This Row],[Tool]]="lighthouse",Tabella4[[#This Row],[Detail]],MID(Tabella4[[#This Row],[Detail]],1,FIND("&gt;",Tabella4[[#This Row],[Detail]]))),Tabella4[[#This Row],[Detail]])</f>
        <v>&lt;ul&gt;</v>
      </c>
      <c r="Y101" s="34" t="str">
        <f>SUBSTITUTE(IF(Tabella4[[#This Row],[Tool]]="axe-core",MID(Tabella4[[#This Row],[Rejected Element]],3,LEN(Tabella4[[#This Row],[Rejected Element]])-4),Tabella4[[#This Row],[Rejected Element]]),"\","")</f>
        <v>body#page.Nessuno &gt; nav#skiplink:nth-of-type(1) &gt; ul:nth-of-type(1)</v>
      </c>
      <c r="Z101" s="34">
        <f>COUNTIFS(Tabella4[Detail univoco],Tabella4[[#This Row],[Detail univoco]],Tabella4[Rejected Element Univoco],Tabella4[[#This Row],[Rejected Element Univoco]],Tabella4[ItemsNodeLabel],Tabella4[[#This Row],[ItemsNodeLabel]])</f>
        <v>0</v>
      </c>
      <c r="AA101" s="34" t="str">
        <f>IF(Tabella4[[#This Row],[Componente]]="Documenti",VLOOKUP(Tabella4[[#This Row],[URL]],Tabella27[[URL]:[Servizio]],4,FALSE),VLOOKUP(Tabella4[[#This Row],[Page ID]],Tabella1[[Page ID]:[Servizio]],4,FALSE))</f>
        <v>S003 Assistenza</v>
      </c>
      <c r="AB101" s="34"/>
      <c r="AC101" s="34" t="str">
        <f>Tabella4[[#This Row],[User Impact]]</f>
        <v>3 - Moderate</v>
      </c>
      <c r="AD101" s="34" t="str">
        <f>Copertina!C$2&amp;" - "&amp;Tabella4[[#This Row],[UNI CEI EN 301549]]&amp;" "&amp;VLOOKUP(Tabella4[[#This Row],[Criterio]],Tabella5[[ID]:[Criterio di successo]],2,FALSE)&amp;" - "&amp;Tabella4[[#This Row],[Servizio]]&amp;":"</f>
        <v>Insurance Brocker - 9.1.3.1 Informazioni e correlazioni - S003 Assistenza:</v>
      </c>
      <c r="AE10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S003 Assistenza: (#TM0062)
S003 Assistenza
Requisito: WCAG 1.3.1
Disabilità afflitte: Blind;Deafblind
Impatto Utente: 3 - Moderate
Descrizione: Il contenuto non è una list, ma è contrassegnato come tale - Il contenuto non è una list, ma è contrassegnato come tale. [Ulteriori informazioni] (https://docs.deque.com/issue-help/1.0.0/en/semantic-list-used-for-presentation)
Esempio di violazione individuata sull'oggetto: 
https://posteinsurancebroker.poste.it/glossario-assicurativo/ - &lt;ul&gt; con selettore: 
["body#page.Nessuno &gt; nav#skiplink:nth-of-type(1) &gt; ul:nth-of-type(1)"]
Dettaglio + screenshot (accedere con le seguenti credenziali: user, axeposte@gmail.com; password, Poste2024!): 
Possibile metodologia risolutiva:
Usa elementi di lista come &lt;ul&gt;, &lt;ol&gt;, e &lt;li&gt; solo per contenuti che devono essere presentati in forma di elenco. Assicurati che le liste siano semanticamente corrette per evitare confusione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101">
        <f>_xlfn.XLOOKUP(Tabella4[[#This Row],[ID Silk]],outTable[ID Silk],outTable[Numero ticket  ],,0,1)</f>
        <v>5966</v>
      </c>
    </row>
    <row r="102" spans="1:32">
      <c r="A102" s="34" t="str">
        <f>MID(Tabella4[[#This Row],[Servizio]],1,4)&amp;Tabella4[[#This Row],[UNI CEI EN 301549]]</f>
        <v>S0059.2.5.3</v>
      </c>
      <c r="B102" s="34" t="str">
        <f>Tabella4[[#This Row],[ID Silk]]&amp;"_1"</f>
        <v>S0059.2.5.3_1</v>
      </c>
      <c r="C102" s="34" t="s">
        <v>843</v>
      </c>
      <c r="D102" s="2" t="str">
        <f>"(#"&amp;Tabella4[[#This Row],['#ID]]&amp;")"</f>
        <v>(#TM0063)</v>
      </c>
      <c r="E102" s="34" t="str">
        <f>IF(MID(Tabella4[[#This Row],['#ID]],1,1)="M","Mobile",IF(MID(Tabella4[[#This Row],['#ID]],1,1)="D","Desktop",IF(MID(Tabella4[[#This Row],['#ID]],1,2)="TM","Manuale","Documenti")))</f>
        <v>Manuale</v>
      </c>
      <c r="F102" s="34" t="s">
        <v>1005</v>
      </c>
      <c r="G102" s="34" t="s">
        <v>324</v>
      </c>
      <c r="H102" s="34" t="str">
        <f>IF(Tabella4[[#This Row],[Componente]]="Documenti","10.","9.")&amp;Tabella4[[#This Row],[Criterio]]</f>
        <v>9.2.5.3</v>
      </c>
      <c r="I102" s="34" t="s">
        <v>1023</v>
      </c>
      <c r="J102" s="34" t="s">
        <v>1024</v>
      </c>
      <c r="K102" s="34" t="s">
        <v>1025</v>
      </c>
      <c r="L102" s="34" t="s">
        <v>1026</v>
      </c>
      <c r="M102" s="34" t="s">
        <v>1027</v>
      </c>
      <c r="N102" t="s">
        <v>483</v>
      </c>
      <c r="O102" t="s">
        <v>485</v>
      </c>
      <c r="P102" t="s">
        <v>392</v>
      </c>
      <c r="R102" s="34" t="str">
        <f>IF(Tabella4[[#This Row],[Componente]]="Documenti",_xlfn.XLOOKUP(Tabella4[[#This Row],[URL]],Tabella27[URL],Tabella27[PDF ID],,0),_xlfn.XLOOKUP(Tabella4[[#This Row],[URL]],Tabella1[URL],Tabella1[Page ID],,0))</f>
        <v>#12</v>
      </c>
      <c r="S102" s="34" t="s">
        <v>1004</v>
      </c>
      <c r="T102" s="34" t="s">
        <v>481</v>
      </c>
      <c r="V102" t="s">
        <v>484</v>
      </c>
      <c r="W102" s="34" t="s">
        <v>1066</v>
      </c>
      <c r="X102" s="34" t="str">
        <f>IFERROR(IF(Tabella4[[#This Row],[Tool]]="lighthouse",Tabella4[[#This Row],[Detail]],MID(Tabella4[[#This Row],[Detail]],1,FIND("&gt;",Tabella4[[#This Row],[Detail]]))),Tabella4[[#This Row],[Detail]])</f>
        <v>&lt;button id="business-button-open" class="offcanvas-toggle pi-targetarea" aria-label="Business" type="button" aria-haspopup="true" aria-controls="menu-siti" aria-expanded="false"&gt;</v>
      </c>
      <c r="Y102" s="34" t="str">
        <f>SUBSTITUTE(IF(Tabella4[[#This Row],[Tool]]="axe-core",MID(Tabella4[[#This Row],[Rejected Element]],3,LEN(Tabella4[[#This Row],[Rejected Element]])-4),Tabella4[[#This Row],[Rejected Element]]),"\","")</f>
        <v>#business-button-open</v>
      </c>
      <c r="Z102" s="34">
        <f>COUNTIFS(Tabella4[Detail univoco],Tabella4[[#This Row],[Detail univoco]],Tabella4[Rejected Element Univoco],Tabella4[[#This Row],[Rejected Element Univoco]],Tabella4[ItemsNodeLabel],Tabella4[[#This Row],[ItemsNodeLabel]])</f>
        <v>0</v>
      </c>
      <c r="AA102" s="34" t="str">
        <f>IF(Tabella4[[#This Row],[Componente]]="Documenti",VLOOKUP(Tabella4[[#This Row],[URL]],Tabella27[[URL]:[Servizio]],4,FALSE),VLOOKUP(Tabella4[[#This Row],[Page ID]],Tabella1[[Page ID]:[Servizio]],4,FALSE))</f>
        <v>S005 Privacy Policy</v>
      </c>
      <c r="AB102" s="34"/>
      <c r="AC102" s="34" t="str">
        <f>Tabella4[[#This Row],[User Impact]]</f>
        <v>2 - Serious</v>
      </c>
      <c r="AD102" s="34" t="str">
        <f>Copertina!C$2&amp;" - "&amp;Tabella4[[#This Row],[UNI CEI EN 301549]]&amp;" "&amp;VLOOKUP(Tabella4[[#This Row],[Criterio]],Tabella5[[ID]:[Criterio di successo]],2,FALSE)&amp;" - "&amp;Tabella4[[#This Row],[Servizio]]&amp;":"</f>
        <v>Insurance Brocker - 9.2.5.3 Etichetta nel nome - S005 Privacy Policy:</v>
      </c>
      <c r="AE10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S005 Privacy Policy: (#TM0063)
S005 Privacy Policy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https://posteinsurancebroker.poste.it/privacy-policy - &lt;button id="business-button-open" class="offcanvas-toggle pi-targetarea" aria-label="Business" type="button" aria-haspopup="true" aria-controls="menu-siti" aria-expanded="false"&gt; con selettore: 
["#business-button-open"]
Dettaglio + screenshot (accedere con le seguenti credenziali: user, axeposte@gmail.com; password, Poste2024!): 
Possibile metodologia risolutiva:
Correggi uno dei seguenti problemi:
Il testo all'interno dell'elemento non è incluso nel nome accessibile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102">
        <f>_xlfn.XLOOKUP(Tabella4[[#This Row],[ID Silk]],outTable[ID Silk],outTable[Numero ticket  ],,0,1)</f>
        <v>5983</v>
      </c>
    </row>
    <row r="103" spans="1:32">
      <c r="A103" s="34" t="str">
        <f>MID(Tabella4[[#This Row],[Servizio]],1,4)&amp;Tabella4[[#This Row],[UNI CEI EN 301549]]</f>
        <v>S0059.2.5.3</v>
      </c>
      <c r="B103" s="34" t="str">
        <f>Tabella4[[#This Row],[ID Silk]]&amp;"_1"</f>
        <v>S0059.2.5.3_1</v>
      </c>
      <c r="C103" s="34" t="s">
        <v>844</v>
      </c>
      <c r="D103" s="2" t="str">
        <f>"(#"&amp;Tabella4[[#This Row],['#ID]]&amp;")"</f>
        <v>(#TM0064)</v>
      </c>
      <c r="E103" s="34" t="str">
        <f>IF(MID(Tabella4[[#This Row],['#ID]],1,1)="M","Mobile",IF(MID(Tabella4[[#This Row],['#ID]],1,1)="D","Desktop",IF(MID(Tabella4[[#This Row],['#ID]],1,2)="TM","Manuale","Documenti")))</f>
        <v>Manuale</v>
      </c>
      <c r="F103" s="34" t="s">
        <v>1005</v>
      </c>
      <c r="G103" s="34" t="s">
        <v>324</v>
      </c>
      <c r="H103" s="34" t="str">
        <f>IF(Tabella4[[#This Row],[Componente]]="Documenti","10.","9.")&amp;Tabella4[[#This Row],[Criterio]]</f>
        <v>9.2.5.3</v>
      </c>
      <c r="I103" s="34" t="s">
        <v>1023</v>
      </c>
      <c r="J103" s="34" t="s">
        <v>1024</v>
      </c>
      <c r="K103" s="34" t="s">
        <v>1025</v>
      </c>
      <c r="L103" s="34" t="s">
        <v>1026</v>
      </c>
      <c r="M103" s="34" t="s">
        <v>1027</v>
      </c>
      <c r="N103" t="s">
        <v>486</v>
      </c>
      <c r="O103" t="s">
        <v>487</v>
      </c>
      <c r="P103" t="s">
        <v>392</v>
      </c>
      <c r="R103" s="34" t="str">
        <f>IF(Tabella4[[#This Row],[Componente]]="Documenti",_xlfn.XLOOKUP(Tabella4[[#This Row],[URL]],Tabella27[URL],Tabella27[PDF ID],,0),_xlfn.XLOOKUP(Tabella4[[#This Row],[URL]],Tabella1[URL],Tabella1[Page ID],,0))</f>
        <v>#12</v>
      </c>
      <c r="S103" s="34" t="s">
        <v>1004</v>
      </c>
      <c r="T103" s="34" t="s">
        <v>481</v>
      </c>
      <c r="V103" t="s">
        <v>484</v>
      </c>
      <c r="W103" s="34" t="s">
        <v>1066</v>
      </c>
      <c r="X103" s="34" t="str">
        <f>IFERROR(IF(Tabella4[[#This Row],[Tool]]="lighthouse",Tabella4[[#This Row],[Detail]],MID(Tabella4[[#This Row],[Detail]],1,FIND("&gt;",Tabella4[[#This Row],[Detail]]))),Tabella4[[#This Row],[Detail]])</f>
        <v>&lt;button id="assistenza-cta" class="fedbar-object offcanvas-toggle" aria-label="assistenza" aria-controls="assistenza-side" aria-expanded="false" data-menu-pnl="assistenza-default-panel" aria-haspopup="true" title="Assistenza" data-activity-linkid="header-assistenza-btn"&gt;</v>
      </c>
      <c r="Y103" s="34" t="str">
        <f>SUBSTITUTE(IF(Tabella4[[#This Row],[Tool]]="axe-core",MID(Tabella4[[#This Row],[Rejected Element]],3,LEN(Tabella4[[#This Row],[Rejected Element]])-4),Tabella4[[#This Row],[Rejected Element]]),"\","")</f>
        <v>#assistenza-cta</v>
      </c>
      <c r="Z103" s="34">
        <f>COUNTIFS(Tabella4[Detail univoco],Tabella4[[#This Row],[Detail univoco]],Tabella4[Rejected Element Univoco],Tabella4[[#This Row],[Rejected Element Univoco]],Tabella4[ItemsNodeLabel],Tabella4[[#This Row],[ItemsNodeLabel]])</f>
        <v>0</v>
      </c>
      <c r="AA103" s="34" t="str">
        <f>IF(Tabella4[[#This Row],[Componente]]="Documenti",VLOOKUP(Tabella4[[#This Row],[URL]],Tabella27[[URL]:[Servizio]],4,FALSE),VLOOKUP(Tabella4[[#This Row],[Page ID]],Tabella1[[Page ID]:[Servizio]],4,FALSE))</f>
        <v>S005 Privacy Policy</v>
      </c>
      <c r="AB103" s="34"/>
      <c r="AC103" s="34" t="str">
        <f>Tabella4[[#This Row],[User Impact]]</f>
        <v>2 - Serious</v>
      </c>
      <c r="AD103" s="34" t="str">
        <f>Copertina!C$2&amp;" - "&amp;Tabella4[[#This Row],[UNI CEI EN 301549]]&amp;" "&amp;VLOOKUP(Tabella4[[#This Row],[Criterio]],Tabella5[[ID]:[Criterio di successo]],2,FALSE)&amp;" - "&amp;Tabella4[[#This Row],[Servizio]]&amp;":"</f>
        <v>Insurance Brocker - 9.2.5.3 Etichetta nel nome - S005 Privacy Policy:</v>
      </c>
      <c r="AE10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S005 Privacy Policy: (#TM0064)
S005 Privacy Policy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https://posteinsurancebroker.poste.it/privacy-policy - &lt;button id="assistenza-cta" class="fedbar-object offcanvas-toggle" aria-label="assistenza" aria-controls="assistenza-side" aria-expanded="false" data-menu-pnl="assistenza-default-panel" aria-haspopup="true" title="Assistenza" data-activity-linkid="header-assistenza-btn"&gt; con selettore: 
["#assistenza-cta"]
Dettaglio + screenshot (accedere con le seguenti credenziali: user, axeposte@gmail.com; password, Poste2024!): 
Possibile metodologia risolutiva:
Correggi uno dei seguenti problemi:
Il testo all'interno dell'elemento non è incluso nel nome accessibile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103">
        <f>_xlfn.XLOOKUP(Tabella4[[#This Row],[ID Silk]],outTable[ID Silk],outTable[Numero ticket  ],,0,1)</f>
        <v>5983</v>
      </c>
    </row>
    <row r="104" spans="1:32">
      <c r="A104" s="34" t="str">
        <f>MID(Tabella4[[#This Row],[Servizio]],1,4)&amp;Tabella4[[#This Row],[UNI CEI EN 301549]]</f>
        <v>S0059.2.5.3</v>
      </c>
      <c r="B104" s="34" t="str">
        <f>Tabella4[[#This Row],[ID Silk]]&amp;"_1"</f>
        <v>S0059.2.5.3_1</v>
      </c>
      <c r="C104" s="34" t="s">
        <v>845</v>
      </c>
      <c r="D104" s="2" t="str">
        <f>"(#"&amp;Tabella4[[#This Row],['#ID]]&amp;")"</f>
        <v>(#TM0065)</v>
      </c>
      <c r="E104" s="34" t="str">
        <f>IF(MID(Tabella4[[#This Row],['#ID]],1,1)="M","Mobile",IF(MID(Tabella4[[#This Row],['#ID]],1,1)="D","Desktop",IF(MID(Tabella4[[#This Row],['#ID]],1,2)="TM","Manuale","Documenti")))</f>
        <v>Manuale</v>
      </c>
      <c r="F104" s="34" t="s">
        <v>1005</v>
      </c>
      <c r="G104" s="34" t="s">
        <v>324</v>
      </c>
      <c r="H104" s="34" t="str">
        <f>IF(Tabella4[[#This Row],[Componente]]="Documenti","10.","9.")&amp;Tabella4[[#This Row],[Criterio]]</f>
        <v>9.2.5.3</v>
      </c>
      <c r="I104" s="34" t="s">
        <v>1023</v>
      </c>
      <c r="J104" s="34" t="s">
        <v>1024</v>
      </c>
      <c r="K104" s="34" t="s">
        <v>1025</v>
      </c>
      <c r="L104" s="34" t="s">
        <v>1026</v>
      </c>
      <c r="M104" s="34" t="s">
        <v>1027</v>
      </c>
      <c r="N104" t="s">
        <v>488</v>
      </c>
      <c r="O104" t="s">
        <v>489</v>
      </c>
      <c r="P104" t="s">
        <v>392</v>
      </c>
      <c r="R104" s="34" t="str">
        <f>IF(Tabella4[[#This Row],[Componente]]="Documenti",_xlfn.XLOOKUP(Tabella4[[#This Row],[URL]],Tabella27[URL],Tabella27[PDF ID],,0),_xlfn.XLOOKUP(Tabella4[[#This Row],[URL]],Tabella1[URL],Tabella1[Page ID],,0))</f>
        <v>#12</v>
      </c>
      <c r="S104" s="34" t="s">
        <v>1004</v>
      </c>
      <c r="T104" s="34" t="s">
        <v>481</v>
      </c>
      <c r="V104" t="s">
        <v>484</v>
      </c>
      <c r="W104" s="34" t="s">
        <v>1066</v>
      </c>
      <c r="X104" s="34" t="str">
        <f>IFERROR(IF(Tabella4[[#This Row],[Tool]]="lighthouse",Tabella4[[#This Row],[Detail]],MID(Tabella4[[#This Row],[Detail]],1,FIND("&gt;",Tabella4[[#This Row],[Detail]]))),Tabella4[[#This Row],[Detail]])</f>
        <v>&lt;button class="navbar-object offcanvas-toggle" id="mn-ctrl" type="button" aria-haspopup="true" aria-controls="menu-navigazione" aria-expanded="false" aria-label="Apre il menu di navigazione" data-activity-linkid="Btn Menu Mobile"&gt;</v>
      </c>
      <c r="Y104" s="34" t="str">
        <f>SUBSTITUTE(IF(Tabella4[[#This Row],[Tool]]="axe-core",MID(Tabella4[[#This Row],[Rejected Element]],3,LEN(Tabella4[[#This Row],[Rejected Element]])-4),Tabella4[[#This Row],[Rejected Element]]),"\","")</f>
        <v>#mn-ctrl</v>
      </c>
      <c r="Z104" s="34">
        <f>COUNTIFS(Tabella4[Detail univoco],Tabella4[[#This Row],[Detail univoco]],Tabella4[Rejected Element Univoco],Tabella4[[#This Row],[Rejected Element Univoco]],Tabella4[ItemsNodeLabel],Tabella4[[#This Row],[ItemsNodeLabel]])</f>
        <v>0</v>
      </c>
      <c r="AA104" s="34" t="str">
        <f>IF(Tabella4[[#This Row],[Componente]]="Documenti",VLOOKUP(Tabella4[[#This Row],[URL]],Tabella27[[URL]:[Servizio]],4,FALSE),VLOOKUP(Tabella4[[#This Row],[Page ID]],Tabella1[[Page ID]:[Servizio]],4,FALSE))</f>
        <v>S005 Privacy Policy</v>
      </c>
      <c r="AB104" s="34"/>
      <c r="AC104" s="34" t="str">
        <f>Tabella4[[#This Row],[User Impact]]</f>
        <v>2 - Serious</v>
      </c>
      <c r="AD104" s="34" t="str">
        <f>Copertina!C$2&amp;" - "&amp;Tabella4[[#This Row],[UNI CEI EN 301549]]&amp;" "&amp;VLOOKUP(Tabella4[[#This Row],[Criterio]],Tabella5[[ID]:[Criterio di successo]],2,FALSE)&amp;" - "&amp;Tabella4[[#This Row],[Servizio]]&amp;":"</f>
        <v>Insurance Brocker - 9.2.5.3 Etichetta nel nome - S005 Privacy Policy:</v>
      </c>
      <c r="AE10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S005 Privacy Policy: (#TM0065)
S005 Privacy Policy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https://posteinsurancebroker.poste.it/privacy-policy - &lt;button class="navbar-object offcanvas-toggle" id="mn-ctrl" type="button" aria-haspopup="true" aria-controls="menu-navigazione" aria-expanded="false" aria-label="Apre il menu di navigazione" data-activity-linkid="Btn Menu Mobile"&gt; con selettore: 
["#mn-ctrl"]
Dettaglio + screenshot (accedere con le seguenti credenziali: user, axeposte@gmail.com; password, Poste2024!): 
Possibile metodologia risolutiva:
Correggi uno dei seguenti problemi:
Il testo all'interno dell'elemento non è incluso nel nome accessibile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104">
        <f>_xlfn.XLOOKUP(Tabella4[[#This Row],[ID Silk]],outTable[ID Silk],outTable[Numero ticket  ],,0,1)</f>
        <v>5983</v>
      </c>
    </row>
    <row r="105" spans="1:32">
      <c r="A105" s="34" t="str">
        <f>MID(Tabella4[[#This Row],[Servizio]],1,4)&amp;Tabella4[[#This Row],[UNI CEI EN 301549]]</f>
        <v>S0059.4.1.2</v>
      </c>
      <c r="B105" s="34" t="str">
        <f>Tabella4[[#This Row],[ID Silk]]&amp;"_1"</f>
        <v>S0059.4.1.2_1</v>
      </c>
      <c r="C105" s="34" t="s">
        <v>846</v>
      </c>
      <c r="D105" s="2" t="str">
        <f>"(#"&amp;Tabella4[[#This Row],['#ID]]&amp;")"</f>
        <v>(#TM0066)</v>
      </c>
      <c r="E105" s="34" t="str">
        <f>IF(MID(Tabella4[[#This Row],['#ID]],1,1)="M","Mobile",IF(MID(Tabella4[[#This Row],['#ID]],1,1)="D","Desktop",IF(MID(Tabella4[[#This Row],['#ID]],1,2)="TM","Manuale","Documenti")))</f>
        <v>Manuale</v>
      </c>
      <c r="F105" s="34" t="s">
        <v>1005</v>
      </c>
      <c r="G105" s="34" t="s">
        <v>368</v>
      </c>
      <c r="H105" s="34" t="str">
        <f>IF(Tabella4[[#This Row],[Componente]]="Documenti","10.","9.")&amp;Tabella4[[#This Row],[Criterio]]</f>
        <v>9.4.1.2</v>
      </c>
      <c r="I105" s="34" t="s">
        <v>1023</v>
      </c>
      <c r="J105" s="34" t="s">
        <v>1028</v>
      </c>
      <c r="K105" s="34" t="s">
        <v>1029</v>
      </c>
      <c r="L105" s="34" t="s">
        <v>1030</v>
      </c>
      <c r="M105" s="34" t="s">
        <v>1031</v>
      </c>
      <c r="N105" t="s">
        <v>568</v>
      </c>
      <c r="O105" t="s">
        <v>569</v>
      </c>
      <c r="P105" t="s">
        <v>392</v>
      </c>
      <c r="R105" s="34" t="str">
        <f>IF(Tabella4[[#This Row],[Componente]]="Documenti",_xlfn.XLOOKUP(Tabella4[[#This Row],[URL]],Tabella27[URL],Tabella27[PDF ID],,0),_xlfn.XLOOKUP(Tabella4[[#This Row],[URL]],Tabella1[URL],Tabella1[Page ID],,0))</f>
        <v>#12</v>
      </c>
      <c r="S105" s="34" t="s">
        <v>1004</v>
      </c>
      <c r="T105" s="34" t="s">
        <v>490</v>
      </c>
      <c r="V105" t="s">
        <v>492</v>
      </c>
      <c r="W105" s="34" t="s">
        <v>1067</v>
      </c>
      <c r="X105" s="34" t="str">
        <f>IFERROR(IF(Tabella4[[#This Row],[Tool]]="lighthouse",Tabella4[[#This Row],[Detail]],MID(Tabella4[[#This Row],[Detail]],1,FIND("&gt;",Tabella4[[#This Row],[Detail]]))),Tabella4[[#This Row],[Detail]])</f>
        <v>&lt;div class="panel-heading" role="tab" tabindex="0" id="heading-item-posteinsurancebrokerposteinsurancebroker-moduliprivacy-policy-accordionprivacy-policy-sito-internet-0-0"&gt;</v>
      </c>
      <c r="Y105" s="34" t="str">
        <f>SUBSTITUTE(IF(Tabella4[[#This Row],[Tool]]="axe-core",MID(Tabella4[[#This Row],[Rejected Element]],3,LEN(Tabella4[[#This Row],[Rejected Element]])-4),Tabella4[[#This Row],[Rejected Element]]),"\","")</f>
        <v>#heading-item-posteinsurancebrokerposteinsurancebroker-moduliprivacy-policy-accordionprivacy-policy-sito-internet-0-0</v>
      </c>
      <c r="Z105" s="34">
        <f>COUNTIFS(Tabella4[Detail univoco],Tabella4[[#This Row],[Detail univoco]],Tabella4[Rejected Element Univoco],Tabella4[[#This Row],[Rejected Element Univoco]],Tabella4[ItemsNodeLabel],Tabella4[[#This Row],[ItemsNodeLabel]])</f>
        <v>0</v>
      </c>
      <c r="AA105" s="34" t="str">
        <f>IF(Tabella4[[#This Row],[Componente]]="Documenti",VLOOKUP(Tabella4[[#This Row],[URL]],Tabella27[[URL]:[Servizio]],4,FALSE),VLOOKUP(Tabella4[[#This Row],[Page ID]],Tabella1[[Page ID]:[Servizio]],4,FALSE))</f>
        <v>S005 Privacy Policy</v>
      </c>
      <c r="AB105" s="34"/>
      <c r="AC105" s="34" t="str">
        <f>Tabella4[[#This Row],[User Impact]]</f>
        <v>2 - Serious</v>
      </c>
      <c r="AD105" s="34" t="str">
        <f>Copertina!C$2&amp;" - "&amp;Tabella4[[#This Row],[UNI CEI EN 301549]]&amp;" "&amp;VLOOKUP(Tabella4[[#This Row],[Criterio]],Tabella5[[ID]:[Criterio di successo]],2,FALSE)&amp;" - "&amp;Tabella4[[#This Row],[Servizio]]&amp;":"</f>
        <v>Insurance Brocker - 9.4.1.2 Nome, ruolo, valore - S005 Privacy Policy:</v>
      </c>
      <c r="AE10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S005 Privacy Policy: (#TM0066)
S005 Privacy Policy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https://posteinsurancebroker.poste.it/privacy-policy - &lt;div class="panel-heading" role="tab" tabindex="0" id="heading-item-posteinsurancebrokerposteinsurancebroker-moduliprivacy-policy-accordionprivacy-policy-sito-internet-0-0"&gt; con selettore: 
["#heading-item-posteinsurancebrokerposteinsurancebroker-moduliprivacy-policy-accordionprivacy-policy-sito-internet-0-0"]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05">
        <f>_xlfn.XLOOKUP(Tabella4[[#This Row],[ID Silk]],outTable[ID Silk],outTable[Numero ticket  ],,0,1)</f>
        <v>5986</v>
      </c>
    </row>
    <row r="106" spans="1:32">
      <c r="A106" s="34" t="str">
        <f>MID(Tabella4[[#This Row],[Servizio]],1,4)&amp;Tabella4[[#This Row],[UNI CEI EN 301549]]</f>
        <v>S0059.4.1.2</v>
      </c>
      <c r="B106" s="34" t="str">
        <f>Tabella4[[#This Row],[ID Silk]]&amp;"_1"</f>
        <v>S0059.4.1.2_1</v>
      </c>
      <c r="C106" s="34" t="s">
        <v>847</v>
      </c>
      <c r="D106" s="2" t="str">
        <f>"(#"&amp;Tabella4[[#This Row],['#ID]]&amp;")"</f>
        <v>(#TM0067)</v>
      </c>
      <c r="E106" s="34" t="str">
        <f>IF(MID(Tabella4[[#This Row],['#ID]],1,1)="M","Mobile",IF(MID(Tabella4[[#This Row],['#ID]],1,1)="D","Desktop",IF(MID(Tabella4[[#This Row],['#ID]],1,2)="TM","Manuale","Documenti")))</f>
        <v>Manuale</v>
      </c>
      <c r="F106" s="34" t="s">
        <v>1005</v>
      </c>
      <c r="G106" s="34" t="s">
        <v>368</v>
      </c>
      <c r="H106" s="34" t="str">
        <f>IF(Tabella4[[#This Row],[Componente]]="Documenti","10.","9.")&amp;Tabella4[[#This Row],[Criterio]]</f>
        <v>9.4.1.2</v>
      </c>
      <c r="I106" s="34" t="s">
        <v>1023</v>
      </c>
      <c r="J106" s="34" t="s">
        <v>1028</v>
      </c>
      <c r="K106" s="34" t="s">
        <v>1029</v>
      </c>
      <c r="L106" s="34" t="s">
        <v>1030</v>
      </c>
      <c r="M106" s="34" t="s">
        <v>1031</v>
      </c>
      <c r="N106" t="s">
        <v>570</v>
      </c>
      <c r="O106" t="s">
        <v>571</v>
      </c>
      <c r="P106" t="s">
        <v>392</v>
      </c>
      <c r="R106" s="34" t="str">
        <f>IF(Tabella4[[#This Row],[Componente]]="Documenti",_xlfn.XLOOKUP(Tabella4[[#This Row],[URL]],Tabella27[URL],Tabella27[PDF ID],,0),_xlfn.XLOOKUP(Tabella4[[#This Row],[URL]],Tabella1[URL],Tabella1[Page ID],,0))</f>
        <v>#12</v>
      </c>
      <c r="S106" s="34" t="s">
        <v>1004</v>
      </c>
      <c r="T106" s="34" t="s">
        <v>490</v>
      </c>
      <c r="V106" t="s">
        <v>492</v>
      </c>
      <c r="W106" s="34" t="s">
        <v>1067</v>
      </c>
      <c r="X106" s="34" t="str">
        <f>IFERROR(IF(Tabella4[[#This Row],[Tool]]="lighthouse",Tabella4[[#This Row],[Detail]],MID(Tabella4[[#This Row],[Detail]],1,FIND("&gt;",Tabella4[[#This Row],[Detail]]))),Tabella4[[#This Row],[Detail]])</f>
        <v>&lt;div class="panel-heading" role="tab" tabindex="0" id="heading-item-posteinsurancebrokerposteinsurancebroker-moduliprivacy-policy-accordioncookie-policy-1-1"&gt;</v>
      </c>
      <c r="Y106" s="34" t="str">
        <f>SUBSTITUTE(IF(Tabella4[[#This Row],[Tool]]="axe-core",MID(Tabella4[[#This Row],[Rejected Element]],3,LEN(Tabella4[[#This Row],[Rejected Element]])-4),Tabella4[[#This Row],[Rejected Element]]),"\","")</f>
        <v>#heading-item-posteinsurancebrokerposteinsurancebroker-moduliprivacy-policy-accordioncookie-policy-1-1</v>
      </c>
      <c r="Z106" s="34">
        <f>COUNTIFS(Tabella4[Detail univoco],Tabella4[[#This Row],[Detail univoco]],Tabella4[Rejected Element Univoco],Tabella4[[#This Row],[Rejected Element Univoco]],Tabella4[ItemsNodeLabel],Tabella4[[#This Row],[ItemsNodeLabel]])</f>
        <v>0</v>
      </c>
      <c r="AA106" s="34" t="str">
        <f>IF(Tabella4[[#This Row],[Componente]]="Documenti",VLOOKUP(Tabella4[[#This Row],[URL]],Tabella27[[URL]:[Servizio]],4,FALSE),VLOOKUP(Tabella4[[#This Row],[Page ID]],Tabella1[[Page ID]:[Servizio]],4,FALSE))</f>
        <v>S005 Privacy Policy</v>
      </c>
      <c r="AB106" s="34"/>
      <c r="AC106" s="34" t="str">
        <f>Tabella4[[#This Row],[User Impact]]</f>
        <v>2 - Serious</v>
      </c>
      <c r="AD106" s="34" t="str">
        <f>Copertina!C$2&amp;" - "&amp;Tabella4[[#This Row],[UNI CEI EN 301549]]&amp;" "&amp;VLOOKUP(Tabella4[[#This Row],[Criterio]],Tabella5[[ID]:[Criterio di successo]],2,FALSE)&amp;" - "&amp;Tabella4[[#This Row],[Servizio]]&amp;":"</f>
        <v>Insurance Brocker - 9.4.1.2 Nome, ruolo, valore - S005 Privacy Policy:</v>
      </c>
      <c r="AE10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S005 Privacy Policy: (#TM0067)
S005 Privacy Policy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https://posteinsurancebroker.poste.it/privacy-policy - &lt;div class="panel-heading" role="tab" tabindex="0" id="heading-item-posteinsurancebrokerposteinsurancebroker-moduliprivacy-policy-accordioncookie-policy-1-1"&gt; con selettore: 
["#heading-item-posteinsurancebrokerposteinsurancebroker-moduliprivacy-policy-accordioncookie-policy-1-1"]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06">
        <f>_xlfn.XLOOKUP(Tabella4[[#This Row],[ID Silk]],outTable[ID Silk],outTable[Numero ticket  ],,0,1)</f>
        <v>5986</v>
      </c>
    </row>
    <row r="107" spans="1:32">
      <c r="A107" s="34" t="str">
        <f>MID(Tabella4[[#This Row],[Servizio]],1,4)&amp;Tabella4[[#This Row],[UNI CEI EN 301549]]</f>
        <v>S0059.4.1.2</v>
      </c>
      <c r="B107" s="34" t="str">
        <f>Tabella4[[#This Row],[ID Silk]]&amp;"_1"</f>
        <v>S0059.4.1.2_1</v>
      </c>
      <c r="C107" s="34" t="s">
        <v>848</v>
      </c>
      <c r="D107" s="2" t="str">
        <f>"(#"&amp;Tabella4[[#This Row],['#ID]]&amp;")"</f>
        <v>(#TM0068)</v>
      </c>
      <c r="E107" s="34" t="str">
        <f>IF(MID(Tabella4[[#This Row],['#ID]],1,1)="M","Mobile",IF(MID(Tabella4[[#This Row],['#ID]],1,1)="D","Desktop",IF(MID(Tabella4[[#This Row],['#ID]],1,2)="TM","Manuale","Documenti")))</f>
        <v>Manuale</v>
      </c>
      <c r="F107" s="34" t="s">
        <v>1005</v>
      </c>
      <c r="G107" s="34" t="s">
        <v>368</v>
      </c>
      <c r="H107" s="34" t="str">
        <f>IF(Tabella4[[#This Row],[Componente]]="Documenti","10.","9.")&amp;Tabella4[[#This Row],[Criterio]]</f>
        <v>9.4.1.2</v>
      </c>
      <c r="I107" s="34" t="s">
        <v>1023</v>
      </c>
      <c r="J107" s="34" t="s">
        <v>1028</v>
      </c>
      <c r="K107" s="34" t="s">
        <v>1029</v>
      </c>
      <c r="L107" s="34" t="s">
        <v>1030</v>
      </c>
      <c r="M107" s="34" t="s">
        <v>1031</v>
      </c>
      <c r="N107" t="s">
        <v>572</v>
      </c>
      <c r="O107" t="s">
        <v>573</v>
      </c>
      <c r="P107" t="s">
        <v>392</v>
      </c>
      <c r="R107" s="34" t="str">
        <f>IF(Tabella4[[#This Row],[Componente]]="Documenti",_xlfn.XLOOKUP(Tabella4[[#This Row],[URL]],Tabella27[URL],Tabella27[PDF ID],,0),_xlfn.XLOOKUP(Tabella4[[#This Row],[URL]],Tabella1[URL],Tabella1[Page ID],,0))</f>
        <v>#12</v>
      </c>
      <c r="S107" s="34" t="s">
        <v>1004</v>
      </c>
      <c r="T107" s="34" t="s">
        <v>490</v>
      </c>
      <c r="V107" t="s">
        <v>492</v>
      </c>
      <c r="W107" s="34" t="s">
        <v>1067</v>
      </c>
      <c r="X107" s="34" t="str">
        <f>IFERROR(IF(Tabella4[[#This Row],[Tool]]="lighthouse",Tabella4[[#This Row],[Detail]],MID(Tabella4[[#This Row],[Detail]],1,FIND("&gt;",Tabella4[[#This Row],[Detail]]))),Tabella4[[#This Row],[Detail]])</f>
        <v>&lt;div class="panel-heading" role="tab" tabindex="0" id="heading-item-posteinsurancebrokerposteinsurancebroker-moduliprivacy-policy-accordioninformative-privacy-soggetti-destinatari-dati-2-2"&gt;</v>
      </c>
      <c r="Y107" s="34" t="str">
        <f>SUBSTITUTE(IF(Tabella4[[#This Row],[Tool]]="axe-core",MID(Tabella4[[#This Row],[Rejected Element]],3,LEN(Tabella4[[#This Row],[Rejected Element]])-4),Tabella4[[#This Row],[Rejected Element]]),"\","")</f>
        <v>#heading-item-posteinsurancebrokerposteinsurancebroker-moduliprivacy-policy-accordioninformative-privacy-soggetti-destinatari-dati-2-2</v>
      </c>
      <c r="Z107" s="34">
        <f>COUNTIFS(Tabella4[Detail univoco],Tabella4[[#This Row],[Detail univoco]],Tabella4[Rejected Element Univoco],Tabella4[[#This Row],[Rejected Element Univoco]],Tabella4[ItemsNodeLabel],Tabella4[[#This Row],[ItemsNodeLabel]])</f>
        <v>0</v>
      </c>
      <c r="AA107" s="34" t="str">
        <f>IF(Tabella4[[#This Row],[Componente]]="Documenti",VLOOKUP(Tabella4[[#This Row],[URL]],Tabella27[[URL]:[Servizio]],4,FALSE),VLOOKUP(Tabella4[[#This Row],[Page ID]],Tabella1[[Page ID]:[Servizio]],4,FALSE))</f>
        <v>S005 Privacy Policy</v>
      </c>
      <c r="AB107" s="34"/>
      <c r="AC107" s="34" t="str">
        <f>Tabella4[[#This Row],[User Impact]]</f>
        <v>2 - Serious</v>
      </c>
      <c r="AD107" s="34" t="str">
        <f>Copertina!C$2&amp;" - "&amp;Tabella4[[#This Row],[UNI CEI EN 301549]]&amp;" "&amp;VLOOKUP(Tabella4[[#This Row],[Criterio]],Tabella5[[ID]:[Criterio di successo]],2,FALSE)&amp;" - "&amp;Tabella4[[#This Row],[Servizio]]&amp;":"</f>
        <v>Insurance Brocker - 9.4.1.2 Nome, ruolo, valore - S005 Privacy Policy:</v>
      </c>
      <c r="AE10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S005 Privacy Policy: (#TM0068)
S005 Privacy Policy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https://posteinsurancebroker.poste.it/privacy-policy - &lt;div class="panel-heading" role="tab" tabindex="0" id="heading-item-posteinsurancebrokerposteinsurancebroker-moduliprivacy-policy-accordioninformative-privacy-soggetti-destinatari-dati-2-2"&gt; con selettore: 
["#heading-item-posteinsurancebrokerposteinsurancebroker-moduliprivacy-policy-accordioninformative-privacy-soggetti-destinatari-dati-2-2"]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07">
        <f>_xlfn.XLOOKUP(Tabella4[[#This Row],[ID Silk]],outTable[ID Silk],outTable[Numero ticket  ],,0,1)</f>
        <v>5986</v>
      </c>
    </row>
    <row r="108" spans="1:32">
      <c r="A108" s="34" t="str">
        <f>MID(Tabella4[[#This Row],[Servizio]],1,4)&amp;Tabella4[[#This Row],[UNI CEI EN 301549]]</f>
        <v>S0059.4.1.2</v>
      </c>
      <c r="B108" s="34" t="str">
        <f>Tabella4[[#This Row],[ID Silk]]&amp;"_1"</f>
        <v>S0059.4.1.2_1</v>
      </c>
      <c r="C108" s="34" t="s">
        <v>849</v>
      </c>
      <c r="D108" s="2" t="str">
        <f>"(#"&amp;Tabella4[[#This Row],['#ID]]&amp;")"</f>
        <v>(#TM0069)</v>
      </c>
      <c r="E108" s="34" t="str">
        <f>IF(MID(Tabella4[[#This Row],['#ID]],1,1)="M","Mobile",IF(MID(Tabella4[[#This Row],['#ID]],1,1)="D","Desktop",IF(MID(Tabella4[[#This Row],['#ID]],1,2)="TM","Manuale","Documenti")))</f>
        <v>Manuale</v>
      </c>
      <c r="F108" s="34" t="s">
        <v>1005</v>
      </c>
      <c r="G108" s="34" t="s">
        <v>368</v>
      </c>
      <c r="H108" s="34" t="str">
        <f>IF(Tabella4[[#This Row],[Componente]]="Documenti","10.","9.")&amp;Tabella4[[#This Row],[Criterio]]</f>
        <v>9.4.1.2</v>
      </c>
      <c r="I108" s="34" t="s">
        <v>1023</v>
      </c>
      <c r="J108" s="34" t="s">
        <v>1028</v>
      </c>
      <c r="K108" s="34" t="s">
        <v>1029</v>
      </c>
      <c r="L108" s="34" t="s">
        <v>1030</v>
      </c>
      <c r="M108" s="34" t="s">
        <v>1031</v>
      </c>
      <c r="N108" t="s">
        <v>574</v>
      </c>
      <c r="O108" t="s">
        <v>575</v>
      </c>
      <c r="P108" t="s">
        <v>392</v>
      </c>
      <c r="R108" s="34" t="str">
        <f>IF(Tabella4[[#This Row],[Componente]]="Documenti",_xlfn.XLOOKUP(Tabella4[[#This Row],[URL]],Tabella27[URL],Tabella27[PDF ID],,0),_xlfn.XLOOKUP(Tabella4[[#This Row],[URL]],Tabella1[URL],Tabella1[Page ID],,0))</f>
        <v>#12</v>
      </c>
      <c r="S108" s="34" t="s">
        <v>1004</v>
      </c>
      <c r="T108" s="34" t="s">
        <v>490</v>
      </c>
      <c r="V108" t="s">
        <v>492</v>
      </c>
      <c r="W108" s="34" t="s">
        <v>1067</v>
      </c>
      <c r="X108" s="34" t="str">
        <f>IFERROR(IF(Tabella4[[#This Row],[Tool]]="lighthouse",Tabella4[[#This Row],[Detail]],MID(Tabella4[[#This Row],[Detail]],1,FIND("&gt;",Tabella4[[#This Row],[Detail]]))),Tabella4[[#This Row],[Detail]])</f>
        <v>&lt;div class="panel-heading" role="tab" tabindex="0" id="heading-item-posteinsurancebrokerposteinsurancebroker-moduliprivacy-policy-accordiondpo-contatti-riferimento-3-3"&gt;</v>
      </c>
      <c r="Y108" s="34" t="str">
        <f>SUBSTITUTE(IF(Tabella4[[#This Row],[Tool]]="axe-core",MID(Tabella4[[#This Row],[Rejected Element]],3,LEN(Tabella4[[#This Row],[Rejected Element]])-4),Tabella4[[#This Row],[Rejected Element]]),"\","")</f>
        <v>#heading-item-posteinsurancebrokerposteinsurancebroker-moduliprivacy-policy-accordiondpo-contatti-riferimento-3-3</v>
      </c>
      <c r="Z108" s="34">
        <f>COUNTIFS(Tabella4[Detail univoco],Tabella4[[#This Row],[Detail univoco]],Tabella4[Rejected Element Univoco],Tabella4[[#This Row],[Rejected Element Univoco]],Tabella4[ItemsNodeLabel],Tabella4[[#This Row],[ItemsNodeLabel]])</f>
        <v>0</v>
      </c>
      <c r="AA108" s="34" t="str">
        <f>IF(Tabella4[[#This Row],[Componente]]="Documenti",VLOOKUP(Tabella4[[#This Row],[URL]],Tabella27[[URL]:[Servizio]],4,FALSE),VLOOKUP(Tabella4[[#This Row],[Page ID]],Tabella1[[Page ID]:[Servizio]],4,FALSE))</f>
        <v>S005 Privacy Policy</v>
      </c>
      <c r="AB108" s="34"/>
      <c r="AC108" s="34" t="str">
        <f>Tabella4[[#This Row],[User Impact]]</f>
        <v>2 - Serious</v>
      </c>
      <c r="AD108" s="34" t="str">
        <f>Copertina!C$2&amp;" - "&amp;Tabella4[[#This Row],[UNI CEI EN 301549]]&amp;" "&amp;VLOOKUP(Tabella4[[#This Row],[Criterio]],Tabella5[[ID]:[Criterio di successo]],2,FALSE)&amp;" - "&amp;Tabella4[[#This Row],[Servizio]]&amp;":"</f>
        <v>Insurance Brocker - 9.4.1.2 Nome, ruolo, valore - S005 Privacy Policy:</v>
      </c>
      <c r="AE10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S005 Privacy Policy: (#TM0069)
S005 Privacy Policy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https://posteinsurancebroker.poste.it/privacy-policy - &lt;div class="panel-heading" role="tab" tabindex="0" id="heading-item-posteinsurancebrokerposteinsurancebroker-moduliprivacy-policy-accordiondpo-contatti-riferimento-3-3"&gt; con selettore: 
["#heading-item-posteinsurancebrokerposteinsurancebroker-moduliprivacy-policy-accordiondpo-contatti-riferimento-3-3"]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08">
        <f>_xlfn.XLOOKUP(Tabella4[[#This Row],[ID Silk]],outTable[ID Silk],outTable[Numero ticket  ],,0,1)</f>
        <v>5986</v>
      </c>
    </row>
    <row r="109" spans="1:32">
      <c r="A109" s="34" t="str">
        <f>MID(Tabella4[[#This Row],[Servizio]],1,4)&amp;Tabella4[[#This Row],[UNI CEI EN 301549]]</f>
        <v>S0059.4.1.2</v>
      </c>
      <c r="B109" s="34" t="str">
        <f>Tabella4[[#This Row],[ID Silk]]&amp;"_1"</f>
        <v>S0059.4.1.2_1</v>
      </c>
      <c r="C109" s="34" t="s">
        <v>850</v>
      </c>
      <c r="D109" s="2" t="str">
        <f>"(#"&amp;Tabella4[[#This Row],['#ID]]&amp;")"</f>
        <v>(#TM0070)</v>
      </c>
      <c r="E109" s="34" t="str">
        <f>IF(MID(Tabella4[[#This Row],['#ID]],1,1)="M","Mobile",IF(MID(Tabella4[[#This Row],['#ID]],1,1)="D","Desktop",IF(MID(Tabella4[[#This Row],['#ID]],1,2)="TM","Manuale","Documenti")))</f>
        <v>Manuale</v>
      </c>
      <c r="F109" s="34" t="s">
        <v>1005</v>
      </c>
      <c r="G109" s="34" t="s">
        <v>368</v>
      </c>
      <c r="H109" s="34" t="str">
        <f>IF(Tabella4[[#This Row],[Componente]]="Documenti","10.","9.")&amp;Tabella4[[#This Row],[Criterio]]</f>
        <v>9.4.1.2</v>
      </c>
      <c r="I109" s="34" t="s">
        <v>1023</v>
      </c>
      <c r="J109" s="34" t="s">
        <v>1028</v>
      </c>
      <c r="K109" s="34" t="s">
        <v>1029</v>
      </c>
      <c r="L109" s="34" t="s">
        <v>1030</v>
      </c>
      <c r="M109" s="34" t="s">
        <v>1031</v>
      </c>
      <c r="N109" t="s">
        <v>576</v>
      </c>
      <c r="O109" t="s">
        <v>577</v>
      </c>
      <c r="P109" t="s">
        <v>392</v>
      </c>
      <c r="R109" s="34" t="str">
        <f>IF(Tabella4[[#This Row],[Componente]]="Documenti",_xlfn.XLOOKUP(Tabella4[[#This Row],[URL]],Tabella27[URL],Tabella27[PDF ID],,0),_xlfn.XLOOKUP(Tabella4[[#This Row],[URL]],Tabella1[URL],Tabella1[Page ID],,0))</f>
        <v>#12</v>
      </c>
      <c r="S109" s="34" t="s">
        <v>1004</v>
      </c>
      <c r="T109" s="34" t="s">
        <v>490</v>
      </c>
      <c r="V109" t="s">
        <v>492</v>
      </c>
      <c r="W109" s="34" t="s">
        <v>1067</v>
      </c>
      <c r="X109" s="34" t="str">
        <f>IFERROR(IF(Tabella4[[#This Row],[Tool]]="lighthouse",Tabella4[[#This Row],[Detail]],MID(Tabella4[[#This Row],[Detail]],1,FIND("&gt;",Tabella4[[#This Row],[Detail]]))),Tabella4[[#This Row],[Detail]])</f>
        <v>&lt;div class="panel-heading" role="tab" tabindex="0" id="heading-item-posteinsurancebrokerposteinsurancebroker-moduliprivacy-policy-accordionglossario-privacy-4-4"&gt;</v>
      </c>
      <c r="Y109" s="34" t="str">
        <f>SUBSTITUTE(IF(Tabella4[[#This Row],[Tool]]="axe-core",MID(Tabella4[[#This Row],[Rejected Element]],3,LEN(Tabella4[[#This Row],[Rejected Element]])-4),Tabella4[[#This Row],[Rejected Element]]),"\","")</f>
        <v>#heading-item-posteinsurancebrokerposteinsurancebroker-moduliprivacy-policy-accordionglossario-privacy-4-4</v>
      </c>
      <c r="Z109" s="34">
        <f>COUNTIFS(Tabella4[Detail univoco],Tabella4[[#This Row],[Detail univoco]],Tabella4[Rejected Element Univoco],Tabella4[[#This Row],[Rejected Element Univoco]],Tabella4[ItemsNodeLabel],Tabella4[[#This Row],[ItemsNodeLabel]])</f>
        <v>0</v>
      </c>
      <c r="AA109" s="34" t="str">
        <f>IF(Tabella4[[#This Row],[Componente]]="Documenti",VLOOKUP(Tabella4[[#This Row],[URL]],Tabella27[[URL]:[Servizio]],4,FALSE),VLOOKUP(Tabella4[[#This Row],[Page ID]],Tabella1[[Page ID]:[Servizio]],4,FALSE))</f>
        <v>S005 Privacy Policy</v>
      </c>
      <c r="AB109" s="34"/>
      <c r="AC109" s="34" t="str">
        <f>Tabella4[[#This Row],[User Impact]]</f>
        <v>2 - Serious</v>
      </c>
      <c r="AD109" s="34" t="str">
        <f>Copertina!C$2&amp;" - "&amp;Tabella4[[#This Row],[UNI CEI EN 301549]]&amp;" "&amp;VLOOKUP(Tabella4[[#This Row],[Criterio]],Tabella5[[ID]:[Criterio di successo]],2,FALSE)&amp;" - "&amp;Tabella4[[#This Row],[Servizio]]&amp;":"</f>
        <v>Insurance Brocker - 9.4.1.2 Nome, ruolo, valore - S005 Privacy Policy:</v>
      </c>
      <c r="AE10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S005 Privacy Policy: (#TM0070)
S005 Privacy Policy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https://posteinsurancebroker.poste.it/privacy-policy - &lt;div class="panel-heading" role="tab" tabindex="0" id="heading-item-posteinsurancebrokerposteinsurancebroker-moduliprivacy-policy-accordionglossario-privacy-4-4"&gt; con selettore: 
["#heading-item-posteinsurancebrokerposteinsurancebroker-moduliprivacy-policy-accordionglossario-privacy-4-4"]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09">
        <f>_xlfn.XLOOKUP(Tabella4[[#This Row],[ID Silk]],outTable[ID Silk],outTable[Numero ticket  ],,0,1)</f>
        <v>5986</v>
      </c>
    </row>
    <row r="110" spans="1:32">
      <c r="A110" s="34" t="str">
        <f>MID(Tabella4[[#This Row],[Servizio]],1,4)&amp;Tabella4[[#This Row],[UNI CEI EN 301549]]</f>
        <v>S0059.2.5.8</v>
      </c>
      <c r="B110" s="34" t="str">
        <f>Tabella4[[#This Row],[ID Silk]]&amp;"_1"</f>
        <v>S0059.2.5.8_1</v>
      </c>
      <c r="C110" s="34" t="s">
        <v>851</v>
      </c>
      <c r="D110" s="2" t="str">
        <f>"(#"&amp;Tabella4[[#This Row],['#ID]]&amp;")"</f>
        <v>(#TM0071)</v>
      </c>
      <c r="E110" s="34" t="str">
        <f>IF(MID(Tabella4[[#This Row],['#ID]],1,1)="M","Mobile",IF(MID(Tabella4[[#This Row],['#ID]],1,1)="D","Desktop",IF(MID(Tabella4[[#This Row],['#ID]],1,2)="TM","Manuale","Documenti")))</f>
        <v>Manuale</v>
      </c>
      <c r="F110" s="34" t="s">
        <v>1006</v>
      </c>
      <c r="G110" s="34" t="s">
        <v>372</v>
      </c>
      <c r="H110" s="34" t="str">
        <f>IF(Tabella4[[#This Row],[Componente]]="Documenti","10.","9.")&amp;Tabella4[[#This Row],[Criterio]]</f>
        <v>9.2.5.8</v>
      </c>
      <c r="I110" s="34" t="s">
        <v>1023</v>
      </c>
      <c r="J110" s="34" t="s">
        <v>1032</v>
      </c>
      <c r="K110" s="34" t="s">
        <v>1033</v>
      </c>
      <c r="L110" s="34" t="s">
        <v>1034</v>
      </c>
      <c r="M110" s="34" t="s">
        <v>1035</v>
      </c>
      <c r="N110" t="s">
        <v>568</v>
      </c>
      <c r="O110" t="s">
        <v>569</v>
      </c>
      <c r="P110" t="s">
        <v>392</v>
      </c>
      <c r="R110" s="34" t="str">
        <f>IF(Tabella4[[#This Row],[Componente]]="Documenti",_xlfn.XLOOKUP(Tabella4[[#This Row],[URL]],Tabella27[URL],Tabella27[PDF ID],,0),_xlfn.XLOOKUP(Tabella4[[#This Row],[URL]],Tabella1[URL],Tabella1[Page ID],,0))</f>
        <v>#12</v>
      </c>
      <c r="S110" s="34" t="s">
        <v>1004</v>
      </c>
      <c r="T110" s="34" t="s">
        <v>518</v>
      </c>
      <c r="V110" t="s">
        <v>578</v>
      </c>
      <c r="W110" s="34" t="s">
        <v>1068</v>
      </c>
      <c r="X110" s="34" t="str">
        <f>IFERROR(IF(Tabella4[[#This Row],[Tool]]="lighthouse",Tabella4[[#This Row],[Detail]],MID(Tabella4[[#This Row],[Detail]],1,FIND("&gt;",Tabella4[[#This Row],[Detail]]))),Tabella4[[#This Row],[Detail]])</f>
        <v>&lt;div class="panel-heading" role="tab" tabindex="0" id="heading-item-posteinsurancebrokerposteinsurancebroker-moduliprivacy-policy-accordionprivacy-policy-sito-internet-0-0"&gt;</v>
      </c>
      <c r="Y110" s="34" t="str">
        <f>SUBSTITUTE(IF(Tabella4[[#This Row],[Tool]]="axe-core",MID(Tabella4[[#This Row],[Rejected Element]],3,LEN(Tabella4[[#This Row],[Rejected Element]])-4),Tabella4[[#This Row],[Rejected Element]]),"\","")</f>
        <v>#heading-item-posteinsurancebrokerposteinsurancebroker-moduliprivacy-policy-accordionprivacy-policy-sito-internet-0-0</v>
      </c>
      <c r="Z110" s="34">
        <f>COUNTIFS(Tabella4[Detail univoco],Tabella4[[#This Row],[Detail univoco]],Tabella4[Rejected Element Univoco],Tabella4[[#This Row],[Rejected Element Univoco]],Tabella4[ItemsNodeLabel],Tabella4[[#This Row],[ItemsNodeLabel]])</f>
        <v>0</v>
      </c>
      <c r="AA110" s="34" t="str">
        <f>IF(Tabella4[[#This Row],[Componente]]="Documenti",VLOOKUP(Tabella4[[#This Row],[URL]],Tabella27[[URL]:[Servizio]],4,FALSE),VLOOKUP(Tabella4[[#This Row],[Page ID]],Tabella1[[Page ID]:[Servizio]],4,FALSE))</f>
        <v>S005 Privacy Policy</v>
      </c>
      <c r="AB110" s="34"/>
      <c r="AC110" s="34" t="str">
        <f>Tabella4[[#This Row],[User Impact]]</f>
        <v>2 - Serious</v>
      </c>
      <c r="AD110" s="34" t="str">
        <f>Copertina!C$2&amp;" - "&amp;Tabella4[[#This Row],[UNI CEI EN 301549]]&amp;" "&amp;VLOOKUP(Tabella4[[#This Row],[Criterio]],Tabella5[[ID]:[Criterio di successo]],2,FALSE)&amp;" - "&amp;Tabella4[[#This Row],[Servizio]]&amp;":"</f>
        <v>Insurance Brocker - 9.2.5.8 Dimensione dell'obiettivo (minimo) - S005 Privacy Policy:</v>
      </c>
      <c r="AE11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S005 Privacy Policy: (#TM0071)
S005 Privacy Policy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https://posteinsurancebroker.poste.it/privacy-policy - &lt;div class="panel-heading" role="tab" tabindex="0" id="heading-item-posteinsurancebrokerposteinsurancebroker-moduliprivacy-policy-accordionprivacy-policy-sito-internet-0-0"&gt; con selettore: 
["#heading-item-posteinsurancebrokerposteinsurancebroker-moduliprivacy-policy-accordionprivacy-policy-sito-internet-0-0"]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10): https://posteitaliane.sharepoint.com/:x:/r/teams/ACCESSIBILITRISULTATIVERIFICHETECNICHE-PORTALEIMMIGRAZIONE/Shared%20Documents/PORTALE%20IMMIGRAZIONE/LOG/Log_2411.xlsx?d=wce770a595441461abc11f2c139111c73&amp;csf=1&amp;web=1&amp;e=tpdJfo
Link al dettaglio requisito WCAG: </v>
      </c>
      <c r="AF110" t="e">
        <f>_xlfn.XLOOKUP(Tabella4[[#This Row],[ID Silk]],outTable[ID Silk],outTable[Numero ticket  ],,0,1)</f>
        <v>#N/A</v>
      </c>
    </row>
    <row r="111" spans="1:32">
      <c r="A111" s="34" t="str">
        <f>MID(Tabella4[[#This Row],[Servizio]],1,4)&amp;Tabella4[[#This Row],[UNI CEI EN 301549]]</f>
        <v>S0059.2.5.8</v>
      </c>
      <c r="B111" s="34" t="str">
        <f>Tabella4[[#This Row],[ID Silk]]&amp;"_1"</f>
        <v>S0059.2.5.8_1</v>
      </c>
      <c r="C111" s="34" t="s">
        <v>852</v>
      </c>
      <c r="D111" s="2" t="str">
        <f>"(#"&amp;Tabella4[[#This Row],['#ID]]&amp;")"</f>
        <v>(#TM0072)</v>
      </c>
      <c r="E111" s="34" t="str">
        <f>IF(MID(Tabella4[[#This Row],['#ID]],1,1)="M","Mobile",IF(MID(Tabella4[[#This Row],['#ID]],1,1)="D","Desktop",IF(MID(Tabella4[[#This Row],['#ID]],1,2)="TM","Manuale","Documenti")))</f>
        <v>Manuale</v>
      </c>
      <c r="F111" s="34" t="s">
        <v>1006</v>
      </c>
      <c r="G111" s="34" t="s">
        <v>372</v>
      </c>
      <c r="H111" s="34" t="str">
        <f>IF(Tabella4[[#This Row],[Componente]]="Documenti","10.","9.")&amp;Tabella4[[#This Row],[Criterio]]</f>
        <v>9.2.5.8</v>
      </c>
      <c r="I111" s="34" t="s">
        <v>1023</v>
      </c>
      <c r="J111" s="34" t="s">
        <v>1032</v>
      </c>
      <c r="K111" s="34" t="s">
        <v>1033</v>
      </c>
      <c r="L111" s="34" t="s">
        <v>1034</v>
      </c>
      <c r="M111" s="34" t="s">
        <v>1035</v>
      </c>
      <c r="N111" t="s">
        <v>579</v>
      </c>
      <c r="O111" t="s">
        <v>581</v>
      </c>
      <c r="P111" t="s">
        <v>392</v>
      </c>
      <c r="R111" s="34" t="str">
        <f>IF(Tabella4[[#This Row],[Componente]]="Documenti",_xlfn.XLOOKUP(Tabella4[[#This Row],[URL]],Tabella27[URL],Tabella27[PDF ID],,0),_xlfn.XLOOKUP(Tabella4[[#This Row],[URL]],Tabella1[URL],Tabella1[Page ID],,0))</f>
        <v>#12</v>
      </c>
      <c r="S111" s="34" t="s">
        <v>1004</v>
      </c>
      <c r="T111" s="34" t="s">
        <v>518</v>
      </c>
      <c r="V111" t="s">
        <v>580</v>
      </c>
      <c r="W111" s="34" t="s">
        <v>1068</v>
      </c>
      <c r="X111"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data-parent="#accordion-posteinsurancebrokerposteinsurancebroker-moduliprivacy-policy-accordionapprofondisci" href="#item-posteinsurancebrokerposteinsurancebroker-moduliprivacy-policy-accordionprivacy-policy-sito-internet-0" aria-expanded="false" aria-controls="item-posteinsurancebrokerposteinsurancebroker-moduliprivacy-policy-accordionprivacy-policy-sito-internet-0" aria-label="Privacy policy sito internet" title="Privacy policy sito internet"&gt;</v>
      </c>
      <c r="Y111" s="34" t="str">
        <f>SUBSTITUTE(IF(Tabella4[[#This Row],[Tool]]="axe-core",MID(Tabella4[[#This Row],[Rejected Element]],3,LEN(Tabella4[[#This Row],[Rejected Element]])-4),Tabella4[[#This Row],[Rejected Element]]),"\","")</f>
        <v>a[aria-label="Privacy policy sito internet"]</v>
      </c>
      <c r="Z111" s="34">
        <f>COUNTIFS(Tabella4[Detail univoco],Tabella4[[#This Row],[Detail univoco]],Tabella4[Rejected Element Univoco],Tabella4[[#This Row],[Rejected Element Univoco]],Tabella4[ItemsNodeLabel],Tabella4[[#This Row],[ItemsNodeLabel]])</f>
        <v>0</v>
      </c>
      <c r="AA111" s="34" t="str">
        <f>IF(Tabella4[[#This Row],[Componente]]="Documenti",VLOOKUP(Tabella4[[#This Row],[URL]],Tabella27[[URL]:[Servizio]],4,FALSE),VLOOKUP(Tabella4[[#This Row],[Page ID]],Tabella1[[Page ID]:[Servizio]],4,FALSE))</f>
        <v>S005 Privacy Policy</v>
      </c>
      <c r="AB111" s="34"/>
      <c r="AC111" s="34" t="str">
        <f>Tabella4[[#This Row],[User Impact]]</f>
        <v>2 - Serious</v>
      </c>
      <c r="AD111" s="34" t="str">
        <f>Copertina!C$2&amp;" - "&amp;Tabella4[[#This Row],[UNI CEI EN 301549]]&amp;" "&amp;VLOOKUP(Tabella4[[#This Row],[Criterio]],Tabella5[[ID]:[Criterio di successo]],2,FALSE)&amp;" - "&amp;Tabella4[[#This Row],[Servizio]]&amp;":"</f>
        <v>Insurance Brocker - 9.2.5.8 Dimensione dell'obiettivo (minimo) - S005 Privacy Policy:</v>
      </c>
      <c r="AE11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S005 Privacy Policy: (#TM0072)
S005 Privacy Policy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https://posteinsurancebroker.poste.it/privacy-policy - &lt;a class="accordion-toggle collapsed" role="button" data-toggle="collapse" data-parent="#accordion-posteinsurancebrokerposteinsurancebroker-moduliprivacy-policy-accordionapprofondisci" href="#item-posteinsurancebrokerposteinsurancebroker-moduliprivacy-policy-accordionprivacy-policy-sito-internet-0" aria-expanded="false" aria-controls="item-posteinsurancebrokerposteinsurancebroker-moduliprivacy-policy-accordionprivacy-policy-sito-internet-0" aria-label="Privacy policy sito internet" title="Privacy policy sito internet"&gt; con selettore: 
["a[aria-label=\"Privacy policy sito internet\"]"]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10): https://posteitaliane.sharepoint.com/:x:/r/teams/ACCESSIBILITRISULTATIVERIFICHETECNICHE-PORTALEIMMIGRAZIONE/Shared%20Documents/PORTALE%20IMMIGRAZIONE/LOG/Log_2411.xlsx?d=wce770a595441461abc11f2c139111c73&amp;csf=1&amp;web=1&amp;e=tpdJfo
Link al dettaglio requisito WCAG: </v>
      </c>
      <c r="AF111" t="e">
        <f>_xlfn.XLOOKUP(Tabella4[[#This Row],[ID Silk]],outTable[ID Silk],outTable[Numero ticket  ],,0,1)</f>
        <v>#N/A</v>
      </c>
    </row>
    <row r="112" spans="1:32">
      <c r="A112" s="34" t="str">
        <f>MID(Tabella4[[#This Row],[Servizio]],1,4)&amp;Tabella4[[#This Row],[UNI CEI EN 301549]]</f>
        <v>S0059.2.5.8</v>
      </c>
      <c r="B112" s="34" t="str">
        <f>Tabella4[[#This Row],[ID Silk]]&amp;"_1"</f>
        <v>S0059.2.5.8_1</v>
      </c>
      <c r="C112" s="34" t="s">
        <v>853</v>
      </c>
      <c r="D112" s="2" t="str">
        <f>"(#"&amp;Tabella4[[#This Row],['#ID]]&amp;")"</f>
        <v>(#TM0073)</v>
      </c>
      <c r="E112" s="34" t="str">
        <f>IF(MID(Tabella4[[#This Row],['#ID]],1,1)="M","Mobile",IF(MID(Tabella4[[#This Row],['#ID]],1,1)="D","Desktop",IF(MID(Tabella4[[#This Row],['#ID]],1,2)="TM","Manuale","Documenti")))</f>
        <v>Manuale</v>
      </c>
      <c r="F112" s="34" t="s">
        <v>1006</v>
      </c>
      <c r="G112" s="34" t="s">
        <v>372</v>
      </c>
      <c r="H112" s="34" t="str">
        <f>IF(Tabella4[[#This Row],[Componente]]="Documenti","10.","9.")&amp;Tabella4[[#This Row],[Criterio]]</f>
        <v>9.2.5.8</v>
      </c>
      <c r="I112" s="34" t="s">
        <v>1023</v>
      </c>
      <c r="J112" s="34" t="s">
        <v>1032</v>
      </c>
      <c r="K112" s="34" t="s">
        <v>1033</v>
      </c>
      <c r="L112" s="34" t="s">
        <v>1034</v>
      </c>
      <c r="M112" s="34" t="s">
        <v>1035</v>
      </c>
      <c r="N112" t="s">
        <v>570</v>
      </c>
      <c r="O112" t="s">
        <v>571</v>
      </c>
      <c r="P112" t="s">
        <v>392</v>
      </c>
      <c r="R112" s="34" t="str">
        <f>IF(Tabella4[[#This Row],[Componente]]="Documenti",_xlfn.XLOOKUP(Tabella4[[#This Row],[URL]],Tabella27[URL],Tabella27[PDF ID],,0),_xlfn.XLOOKUP(Tabella4[[#This Row],[URL]],Tabella1[URL],Tabella1[Page ID],,0))</f>
        <v>#12</v>
      </c>
      <c r="S112" s="34" t="s">
        <v>1004</v>
      </c>
      <c r="T112" s="34" t="s">
        <v>518</v>
      </c>
      <c r="V112" t="s">
        <v>578</v>
      </c>
      <c r="W112" s="34" t="s">
        <v>1068</v>
      </c>
      <c r="X112" s="34" t="str">
        <f>IFERROR(IF(Tabella4[[#This Row],[Tool]]="lighthouse",Tabella4[[#This Row],[Detail]],MID(Tabella4[[#This Row],[Detail]],1,FIND("&gt;",Tabella4[[#This Row],[Detail]]))),Tabella4[[#This Row],[Detail]])</f>
        <v>&lt;div class="panel-heading" role="tab" tabindex="0" id="heading-item-posteinsurancebrokerposteinsurancebroker-moduliprivacy-policy-accordioncookie-policy-1-1"&gt;</v>
      </c>
      <c r="Y112" s="34" t="str">
        <f>SUBSTITUTE(IF(Tabella4[[#This Row],[Tool]]="axe-core",MID(Tabella4[[#This Row],[Rejected Element]],3,LEN(Tabella4[[#This Row],[Rejected Element]])-4),Tabella4[[#This Row],[Rejected Element]]),"\","")</f>
        <v>#heading-item-posteinsurancebrokerposteinsurancebroker-moduliprivacy-policy-accordioncookie-policy-1-1</v>
      </c>
      <c r="Z112" s="34">
        <f>COUNTIFS(Tabella4[Detail univoco],Tabella4[[#This Row],[Detail univoco]],Tabella4[Rejected Element Univoco],Tabella4[[#This Row],[Rejected Element Univoco]],Tabella4[ItemsNodeLabel],Tabella4[[#This Row],[ItemsNodeLabel]])</f>
        <v>0</v>
      </c>
      <c r="AA112" s="34" t="str">
        <f>IF(Tabella4[[#This Row],[Componente]]="Documenti",VLOOKUP(Tabella4[[#This Row],[URL]],Tabella27[[URL]:[Servizio]],4,FALSE),VLOOKUP(Tabella4[[#This Row],[Page ID]],Tabella1[[Page ID]:[Servizio]],4,FALSE))</f>
        <v>S005 Privacy Policy</v>
      </c>
      <c r="AB112" s="34"/>
      <c r="AC112" s="34" t="str">
        <f>Tabella4[[#This Row],[User Impact]]</f>
        <v>2 - Serious</v>
      </c>
      <c r="AD112" s="34" t="str">
        <f>Copertina!C$2&amp;" - "&amp;Tabella4[[#This Row],[UNI CEI EN 301549]]&amp;" "&amp;VLOOKUP(Tabella4[[#This Row],[Criterio]],Tabella5[[ID]:[Criterio di successo]],2,FALSE)&amp;" - "&amp;Tabella4[[#This Row],[Servizio]]&amp;":"</f>
        <v>Insurance Brocker - 9.2.5.8 Dimensione dell'obiettivo (minimo) - S005 Privacy Policy:</v>
      </c>
      <c r="AE11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S005 Privacy Policy: (#TM0073)
S005 Privacy Policy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https://posteinsurancebroker.poste.it/privacy-policy - &lt;div class="panel-heading" role="tab" tabindex="0" id="heading-item-posteinsurancebrokerposteinsurancebroker-moduliprivacy-policy-accordioncookie-policy-1-1"&gt; con selettore: 
["#heading-item-posteinsurancebrokerposteinsurancebroker-moduliprivacy-policy-accordioncookie-policy-1-1"]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10): https://posteitaliane.sharepoint.com/:x:/r/teams/ACCESSIBILITRISULTATIVERIFICHETECNICHE-PORTALEIMMIGRAZIONE/Shared%20Documents/PORTALE%20IMMIGRAZIONE/LOG/Log_2411.xlsx?d=wce770a595441461abc11f2c139111c73&amp;csf=1&amp;web=1&amp;e=tpdJfo
Link al dettaglio requisito WCAG: </v>
      </c>
      <c r="AF112" t="e">
        <f>_xlfn.XLOOKUP(Tabella4[[#This Row],[ID Silk]],outTable[ID Silk],outTable[Numero ticket  ],,0,1)</f>
        <v>#N/A</v>
      </c>
    </row>
    <row r="113" spans="1:32">
      <c r="A113" s="34" t="str">
        <f>MID(Tabella4[[#This Row],[Servizio]],1,4)&amp;Tabella4[[#This Row],[UNI CEI EN 301549]]</f>
        <v>S0059.2.5.8</v>
      </c>
      <c r="B113" s="34" t="str">
        <f>Tabella4[[#This Row],[ID Silk]]&amp;"_1"</f>
        <v>S0059.2.5.8_1</v>
      </c>
      <c r="C113" s="34" t="s">
        <v>854</v>
      </c>
      <c r="D113" s="2" t="str">
        <f>"(#"&amp;Tabella4[[#This Row],['#ID]]&amp;")"</f>
        <v>(#TM0074)</v>
      </c>
      <c r="E113" s="34" t="str">
        <f>IF(MID(Tabella4[[#This Row],['#ID]],1,1)="M","Mobile",IF(MID(Tabella4[[#This Row],['#ID]],1,1)="D","Desktop",IF(MID(Tabella4[[#This Row],['#ID]],1,2)="TM","Manuale","Documenti")))</f>
        <v>Manuale</v>
      </c>
      <c r="F113" s="34" t="s">
        <v>1006</v>
      </c>
      <c r="G113" s="34" t="s">
        <v>372</v>
      </c>
      <c r="H113" s="34" t="str">
        <f>IF(Tabella4[[#This Row],[Componente]]="Documenti","10.","9.")&amp;Tabella4[[#This Row],[Criterio]]</f>
        <v>9.2.5.8</v>
      </c>
      <c r="I113" s="34" t="s">
        <v>1023</v>
      </c>
      <c r="J113" s="34" t="s">
        <v>1032</v>
      </c>
      <c r="K113" s="34" t="s">
        <v>1033</v>
      </c>
      <c r="L113" s="34" t="s">
        <v>1034</v>
      </c>
      <c r="M113" s="34" t="s">
        <v>1035</v>
      </c>
      <c r="N113" t="s">
        <v>582</v>
      </c>
      <c r="O113" t="s">
        <v>583</v>
      </c>
      <c r="P113" t="s">
        <v>392</v>
      </c>
      <c r="R113" s="34" t="str">
        <f>IF(Tabella4[[#This Row],[Componente]]="Documenti",_xlfn.XLOOKUP(Tabella4[[#This Row],[URL]],Tabella27[URL],Tabella27[PDF ID],,0),_xlfn.XLOOKUP(Tabella4[[#This Row],[URL]],Tabella1[URL],Tabella1[Page ID],,0))</f>
        <v>#12</v>
      </c>
      <c r="S113" s="34" t="s">
        <v>1004</v>
      </c>
      <c r="T113" s="34" t="s">
        <v>518</v>
      </c>
      <c r="V113" t="s">
        <v>580</v>
      </c>
      <c r="W113" s="34" t="s">
        <v>1068</v>
      </c>
      <c r="X113"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data-parent="#accordion-posteinsurancebrokerposteinsurancebroker-moduliprivacy-policy-accordionapprofondisci" href="#item-posteinsurancebrokerposteinsurancebroker-moduliprivacy-policy-accordioncookie-policy-1" aria-expanded="false" aria-controls="item-posteinsurancebrokerposteinsurancebroker-moduliprivacy-policy-accordioncookie-policy-1" aria-label="Cookie Policy" title="Cookie Policy"&gt;</v>
      </c>
      <c r="Y113" s="34" t="str">
        <f>SUBSTITUTE(IF(Tabella4[[#This Row],[Tool]]="axe-core",MID(Tabella4[[#This Row],[Rejected Element]],3,LEN(Tabella4[[#This Row],[Rejected Element]])-4),Tabella4[[#This Row],[Rejected Element]]),"\","")</f>
        <v>a[aria-label="Cookie Policy"]</v>
      </c>
      <c r="Z113" s="34">
        <f>COUNTIFS(Tabella4[Detail univoco],Tabella4[[#This Row],[Detail univoco]],Tabella4[Rejected Element Univoco],Tabella4[[#This Row],[Rejected Element Univoco]],Tabella4[ItemsNodeLabel],Tabella4[[#This Row],[ItemsNodeLabel]])</f>
        <v>0</v>
      </c>
      <c r="AA113" s="34" t="str">
        <f>IF(Tabella4[[#This Row],[Componente]]="Documenti",VLOOKUP(Tabella4[[#This Row],[URL]],Tabella27[[URL]:[Servizio]],4,FALSE),VLOOKUP(Tabella4[[#This Row],[Page ID]],Tabella1[[Page ID]:[Servizio]],4,FALSE))</f>
        <v>S005 Privacy Policy</v>
      </c>
      <c r="AB113" s="34"/>
      <c r="AC113" s="34" t="str">
        <f>Tabella4[[#This Row],[User Impact]]</f>
        <v>2 - Serious</v>
      </c>
      <c r="AD113" s="34" t="str">
        <f>Copertina!C$2&amp;" - "&amp;Tabella4[[#This Row],[UNI CEI EN 301549]]&amp;" "&amp;VLOOKUP(Tabella4[[#This Row],[Criterio]],Tabella5[[ID]:[Criterio di successo]],2,FALSE)&amp;" - "&amp;Tabella4[[#This Row],[Servizio]]&amp;":"</f>
        <v>Insurance Brocker - 9.2.5.8 Dimensione dell'obiettivo (minimo) - S005 Privacy Policy:</v>
      </c>
      <c r="AE11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S005 Privacy Policy: (#TM0074)
S005 Privacy Policy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https://posteinsurancebroker.poste.it/privacy-policy - &lt;a class="accordion-toggle collapsed" role="button" data-toggle="collapse" data-parent="#accordion-posteinsurancebrokerposteinsurancebroker-moduliprivacy-policy-accordionapprofondisci" href="#item-posteinsurancebrokerposteinsurancebroker-moduliprivacy-policy-accordioncookie-policy-1" aria-expanded="false" aria-controls="item-posteinsurancebrokerposteinsurancebroker-moduliprivacy-policy-accordioncookie-policy-1" aria-label="Cookie Policy" title="Cookie Policy"&gt; con selettore: 
["a[aria-label=\"Cookie Policy\"]"]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10): https://posteitaliane.sharepoint.com/:x:/r/teams/ACCESSIBILITRISULTATIVERIFICHETECNICHE-PORTALEIMMIGRAZIONE/Shared%20Documents/PORTALE%20IMMIGRAZIONE/LOG/Log_2411.xlsx?d=wce770a595441461abc11f2c139111c73&amp;csf=1&amp;web=1&amp;e=tpdJfo
Link al dettaglio requisito WCAG: </v>
      </c>
      <c r="AF113" t="e">
        <f>_xlfn.XLOOKUP(Tabella4[[#This Row],[ID Silk]],outTable[ID Silk],outTable[Numero ticket  ],,0,1)</f>
        <v>#N/A</v>
      </c>
    </row>
    <row r="114" spans="1:32">
      <c r="A114" s="34" t="str">
        <f>MID(Tabella4[[#This Row],[Servizio]],1,4)&amp;Tabella4[[#This Row],[UNI CEI EN 301549]]</f>
        <v>S0059.2.5.8</v>
      </c>
      <c r="B114" s="34" t="str">
        <f>Tabella4[[#This Row],[ID Silk]]&amp;"_1"</f>
        <v>S0059.2.5.8_1</v>
      </c>
      <c r="C114" s="34" t="s">
        <v>855</v>
      </c>
      <c r="D114" s="2" t="str">
        <f>"(#"&amp;Tabella4[[#This Row],['#ID]]&amp;")"</f>
        <v>(#TM0075)</v>
      </c>
      <c r="E114" s="34" t="str">
        <f>IF(MID(Tabella4[[#This Row],['#ID]],1,1)="M","Mobile",IF(MID(Tabella4[[#This Row],['#ID]],1,1)="D","Desktop",IF(MID(Tabella4[[#This Row],['#ID]],1,2)="TM","Manuale","Documenti")))</f>
        <v>Manuale</v>
      </c>
      <c r="F114" s="34" t="s">
        <v>1006</v>
      </c>
      <c r="G114" s="34" t="s">
        <v>372</v>
      </c>
      <c r="H114" s="34" t="str">
        <f>IF(Tabella4[[#This Row],[Componente]]="Documenti","10.","9.")&amp;Tabella4[[#This Row],[Criterio]]</f>
        <v>9.2.5.8</v>
      </c>
      <c r="I114" s="34" t="s">
        <v>1023</v>
      </c>
      <c r="J114" s="34" t="s">
        <v>1032</v>
      </c>
      <c r="K114" s="34" t="s">
        <v>1033</v>
      </c>
      <c r="L114" s="34" t="s">
        <v>1034</v>
      </c>
      <c r="M114" s="34" t="s">
        <v>1035</v>
      </c>
      <c r="N114" t="s">
        <v>572</v>
      </c>
      <c r="O114" t="s">
        <v>573</v>
      </c>
      <c r="P114" t="s">
        <v>392</v>
      </c>
      <c r="R114" s="34" t="str">
        <f>IF(Tabella4[[#This Row],[Componente]]="Documenti",_xlfn.XLOOKUP(Tabella4[[#This Row],[URL]],Tabella27[URL],Tabella27[PDF ID],,0),_xlfn.XLOOKUP(Tabella4[[#This Row],[URL]],Tabella1[URL],Tabella1[Page ID],,0))</f>
        <v>#12</v>
      </c>
      <c r="S114" s="34" t="s">
        <v>1004</v>
      </c>
      <c r="T114" s="34" t="s">
        <v>518</v>
      </c>
      <c r="V114" t="s">
        <v>578</v>
      </c>
      <c r="W114" s="34" t="s">
        <v>1068</v>
      </c>
      <c r="X114" s="34" t="str">
        <f>IFERROR(IF(Tabella4[[#This Row],[Tool]]="lighthouse",Tabella4[[#This Row],[Detail]],MID(Tabella4[[#This Row],[Detail]],1,FIND("&gt;",Tabella4[[#This Row],[Detail]]))),Tabella4[[#This Row],[Detail]])</f>
        <v>&lt;div class="panel-heading" role="tab" tabindex="0" id="heading-item-posteinsurancebrokerposteinsurancebroker-moduliprivacy-policy-accordioninformative-privacy-soggetti-destinatari-dati-2-2"&gt;</v>
      </c>
      <c r="Y114" s="34" t="str">
        <f>SUBSTITUTE(IF(Tabella4[[#This Row],[Tool]]="axe-core",MID(Tabella4[[#This Row],[Rejected Element]],3,LEN(Tabella4[[#This Row],[Rejected Element]])-4),Tabella4[[#This Row],[Rejected Element]]),"\","")</f>
        <v>#heading-item-posteinsurancebrokerposteinsurancebroker-moduliprivacy-policy-accordioninformative-privacy-soggetti-destinatari-dati-2-2</v>
      </c>
      <c r="Z114" s="34">
        <f>COUNTIFS(Tabella4[Detail univoco],Tabella4[[#This Row],[Detail univoco]],Tabella4[Rejected Element Univoco],Tabella4[[#This Row],[Rejected Element Univoco]],Tabella4[ItemsNodeLabel],Tabella4[[#This Row],[ItemsNodeLabel]])</f>
        <v>0</v>
      </c>
      <c r="AA114" s="34" t="str">
        <f>IF(Tabella4[[#This Row],[Componente]]="Documenti",VLOOKUP(Tabella4[[#This Row],[URL]],Tabella27[[URL]:[Servizio]],4,FALSE),VLOOKUP(Tabella4[[#This Row],[Page ID]],Tabella1[[Page ID]:[Servizio]],4,FALSE))</f>
        <v>S005 Privacy Policy</v>
      </c>
      <c r="AB114" s="34"/>
      <c r="AC114" s="34" t="str">
        <f>Tabella4[[#This Row],[User Impact]]</f>
        <v>2 - Serious</v>
      </c>
      <c r="AD114" s="34" t="str">
        <f>Copertina!C$2&amp;" - "&amp;Tabella4[[#This Row],[UNI CEI EN 301549]]&amp;" "&amp;VLOOKUP(Tabella4[[#This Row],[Criterio]],Tabella5[[ID]:[Criterio di successo]],2,FALSE)&amp;" - "&amp;Tabella4[[#This Row],[Servizio]]&amp;":"</f>
        <v>Insurance Brocker - 9.2.5.8 Dimensione dell'obiettivo (minimo) - S005 Privacy Policy:</v>
      </c>
      <c r="AE11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S005 Privacy Policy: (#TM0075)
S005 Privacy Policy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https://posteinsurancebroker.poste.it/privacy-policy - &lt;div class="panel-heading" role="tab" tabindex="0" id="heading-item-posteinsurancebrokerposteinsurancebroker-moduliprivacy-policy-accordioninformative-privacy-soggetti-destinatari-dati-2-2"&gt; con selettore: 
["#heading-item-posteinsurancebrokerposteinsurancebroker-moduliprivacy-policy-accordioninformative-privacy-soggetti-destinatari-dati-2-2"]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10): https://posteitaliane.sharepoint.com/:x:/r/teams/ACCESSIBILITRISULTATIVERIFICHETECNICHE-PORTALEIMMIGRAZIONE/Shared%20Documents/PORTALE%20IMMIGRAZIONE/LOG/Log_2411.xlsx?d=wce770a595441461abc11f2c139111c73&amp;csf=1&amp;web=1&amp;e=tpdJfo
Link al dettaglio requisito WCAG: </v>
      </c>
      <c r="AF114" t="e">
        <f>_xlfn.XLOOKUP(Tabella4[[#This Row],[ID Silk]],outTable[ID Silk],outTable[Numero ticket  ],,0,1)</f>
        <v>#N/A</v>
      </c>
    </row>
    <row r="115" spans="1:32">
      <c r="A115" s="34" t="str">
        <f>MID(Tabella4[[#This Row],[Servizio]],1,4)&amp;Tabella4[[#This Row],[UNI CEI EN 301549]]</f>
        <v>S0059.2.5.8</v>
      </c>
      <c r="B115" s="34" t="str">
        <f>Tabella4[[#This Row],[ID Silk]]&amp;"_1"</f>
        <v>S0059.2.5.8_1</v>
      </c>
      <c r="C115" s="34" t="s">
        <v>856</v>
      </c>
      <c r="D115" s="2" t="str">
        <f>"(#"&amp;Tabella4[[#This Row],['#ID]]&amp;")"</f>
        <v>(#TM0076)</v>
      </c>
      <c r="E115" s="34" t="str">
        <f>IF(MID(Tabella4[[#This Row],['#ID]],1,1)="M","Mobile",IF(MID(Tabella4[[#This Row],['#ID]],1,1)="D","Desktop",IF(MID(Tabella4[[#This Row],['#ID]],1,2)="TM","Manuale","Documenti")))</f>
        <v>Manuale</v>
      </c>
      <c r="F115" s="34" t="s">
        <v>1006</v>
      </c>
      <c r="G115" s="34" t="s">
        <v>372</v>
      </c>
      <c r="H115" s="34" t="str">
        <f>IF(Tabella4[[#This Row],[Componente]]="Documenti","10.","9.")&amp;Tabella4[[#This Row],[Criterio]]</f>
        <v>9.2.5.8</v>
      </c>
      <c r="I115" s="34" t="s">
        <v>1023</v>
      </c>
      <c r="J115" s="34" t="s">
        <v>1032</v>
      </c>
      <c r="K115" s="34" t="s">
        <v>1033</v>
      </c>
      <c r="L115" s="34" t="s">
        <v>1034</v>
      </c>
      <c r="M115" s="34" t="s">
        <v>1035</v>
      </c>
      <c r="N115" t="s">
        <v>584</v>
      </c>
      <c r="O115" t="s">
        <v>585</v>
      </c>
      <c r="P115" t="s">
        <v>392</v>
      </c>
      <c r="R115" s="34" t="str">
        <f>IF(Tabella4[[#This Row],[Componente]]="Documenti",_xlfn.XLOOKUP(Tabella4[[#This Row],[URL]],Tabella27[URL],Tabella27[PDF ID],,0),_xlfn.XLOOKUP(Tabella4[[#This Row],[URL]],Tabella1[URL],Tabella1[Page ID],,0))</f>
        <v>#12</v>
      </c>
      <c r="S115" s="34" t="s">
        <v>1004</v>
      </c>
      <c r="T115" s="34" t="s">
        <v>518</v>
      </c>
      <c r="V115" t="s">
        <v>580</v>
      </c>
      <c r="W115" s="34" t="s">
        <v>1068</v>
      </c>
      <c r="X115"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data-parent="#accordion-posteinsurancebrokerposteinsurancebroker-moduliprivacy-policy-accordionapprofondisci" href="#item-posteinsurancebrokerposteinsurancebroker-moduliprivacy-policy-accordioninformative-privacy-soggetti-destinatari-dati-2" aria-expanded="false" aria-controls="item-posteinsurancebrokerposteinsurancebroker-moduliprivacy-policy-accordioninformative-privacy-soggetti-destinatari-dati-2" aria-label="Informative privacy e categorie di soggetti destinatari dei dati" title="Informative privacy e categorie di soggetti destinatari dei dati"&gt;</v>
      </c>
      <c r="Y115" s="34" t="str">
        <f>SUBSTITUTE(IF(Tabella4[[#This Row],[Tool]]="axe-core",MID(Tabella4[[#This Row],[Rejected Element]],3,LEN(Tabella4[[#This Row],[Rejected Element]])-4),Tabella4[[#This Row],[Rejected Element]]),"\","")</f>
        <v>#heading-item-posteinsurancebrokerposteinsurancebroker-moduliprivacy-policy-accordioninformative-privacy-soggetti-destinatari-dati-2-2 &gt; .panel-title &gt; .accordion-toggle.collapsed[role="button"]</v>
      </c>
      <c r="Z115" s="34">
        <f>COUNTIFS(Tabella4[Detail univoco],Tabella4[[#This Row],[Detail univoco]],Tabella4[Rejected Element Univoco],Tabella4[[#This Row],[Rejected Element Univoco]],Tabella4[ItemsNodeLabel],Tabella4[[#This Row],[ItemsNodeLabel]])</f>
        <v>0</v>
      </c>
      <c r="AA115" s="34" t="str">
        <f>IF(Tabella4[[#This Row],[Componente]]="Documenti",VLOOKUP(Tabella4[[#This Row],[URL]],Tabella27[[URL]:[Servizio]],4,FALSE),VLOOKUP(Tabella4[[#This Row],[Page ID]],Tabella1[[Page ID]:[Servizio]],4,FALSE))</f>
        <v>S005 Privacy Policy</v>
      </c>
      <c r="AB115" s="34"/>
      <c r="AC115" s="34" t="str">
        <f>Tabella4[[#This Row],[User Impact]]</f>
        <v>2 - Serious</v>
      </c>
      <c r="AD115" s="34" t="str">
        <f>Copertina!C$2&amp;" - "&amp;Tabella4[[#This Row],[UNI CEI EN 301549]]&amp;" "&amp;VLOOKUP(Tabella4[[#This Row],[Criterio]],Tabella5[[ID]:[Criterio di successo]],2,FALSE)&amp;" - "&amp;Tabella4[[#This Row],[Servizio]]&amp;":"</f>
        <v>Insurance Brocker - 9.2.5.8 Dimensione dell'obiettivo (minimo) - S005 Privacy Policy:</v>
      </c>
      <c r="AE11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S005 Privacy Policy: (#TM0076)
S005 Privacy Policy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https://posteinsurancebroker.poste.it/privacy-policy - &lt;a class="accordion-toggle collapsed" role="button" data-toggle="collapse" data-parent="#accordion-posteinsurancebrokerposteinsurancebroker-moduliprivacy-policy-accordionapprofondisci" href="#item-posteinsurancebrokerposteinsurancebroker-moduliprivacy-policy-accordioninformative-privacy-soggetti-destinatari-dati-2" aria-expanded="false" aria-controls="item-posteinsurancebrokerposteinsurancebroker-moduliprivacy-policy-accordioninformative-privacy-soggetti-destinatari-dati-2" aria-label="Informative privacy e categorie di soggetti destinatari dei dati" title="Informative privacy e categorie di soggetti destinatari dei dati"&gt; con selettore: 
["#heading-item-posteinsurancebrokerposteinsurancebroker-moduliprivacy-policy-accordioninformative-privacy-soggetti-destinatari-dati-2-2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10): https://posteitaliane.sharepoint.com/:x:/r/teams/ACCESSIBILITRISULTATIVERIFICHETECNICHE-PORTALEIMMIGRAZIONE/Shared%20Documents/PORTALE%20IMMIGRAZIONE/LOG/Log_2411.xlsx?d=wce770a595441461abc11f2c139111c73&amp;csf=1&amp;web=1&amp;e=tpdJfo
Link al dettaglio requisito WCAG: </v>
      </c>
      <c r="AF115" t="e">
        <f>_xlfn.XLOOKUP(Tabella4[[#This Row],[ID Silk]],outTable[ID Silk],outTable[Numero ticket  ],,0,1)</f>
        <v>#N/A</v>
      </c>
    </row>
    <row r="116" spans="1:32">
      <c r="A116" s="34" t="str">
        <f>MID(Tabella4[[#This Row],[Servizio]],1,4)&amp;Tabella4[[#This Row],[UNI CEI EN 301549]]</f>
        <v>S0059.2.5.8</v>
      </c>
      <c r="B116" s="34" t="str">
        <f>Tabella4[[#This Row],[ID Silk]]&amp;"_1"</f>
        <v>S0059.2.5.8_1</v>
      </c>
      <c r="C116" s="34" t="s">
        <v>857</v>
      </c>
      <c r="D116" s="2" t="str">
        <f>"(#"&amp;Tabella4[[#This Row],['#ID]]&amp;")"</f>
        <v>(#TM0077)</v>
      </c>
      <c r="E116" s="34" t="str">
        <f>IF(MID(Tabella4[[#This Row],['#ID]],1,1)="M","Mobile",IF(MID(Tabella4[[#This Row],['#ID]],1,1)="D","Desktop",IF(MID(Tabella4[[#This Row],['#ID]],1,2)="TM","Manuale","Documenti")))</f>
        <v>Manuale</v>
      </c>
      <c r="F116" s="34" t="s">
        <v>1006</v>
      </c>
      <c r="G116" s="34" t="s">
        <v>372</v>
      </c>
      <c r="H116" s="34" t="str">
        <f>IF(Tabella4[[#This Row],[Componente]]="Documenti","10.","9.")&amp;Tabella4[[#This Row],[Criterio]]</f>
        <v>9.2.5.8</v>
      </c>
      <c r="I116" s="34" t="s">
        <v>1023</v>
      </c>
      <c r="J116" s="34" t="s">
        <v>1032</v>
      </c>
      <c r="K116" s="34" t="s">
        <v>1033</v>
      </c>
      <c r="L116" s="34" t="s">
        <v>1034</v>
      </c>
      <c r="M116" s="34" t="s">
        <v>1035</v>
      </c>
      <c r="N116" t="s">
        <v>574</v>
      </c>
      <c r="O116" t="s">
        <v>575</v>
      </c>
      <c r="P116" t="s">
        <v>392</v>
      </c>
      <c r="R116" s="34" t="str">
        <f>IF(Tabella4[[#This Row],[Componente]]="Documenti",_xlfn.XLOOKUP(Tabella4[[#This Row],[URL]],Tabella27[URL],Tabella27[PDF ID],,0),_xlfn.XLOOKUP(Tabella4[[#This Row],[URL]],Tabella1[URL],Tabella1[Page ID],,0))</f>
        <v>#12</v>
      </c>
      <c r="S116" s="34" t="s">
        <v>1004</v>
      </c>
      <c r="T116" s="34" t="s">
        <v>518</v>
      </c>
      <c r="V116" t="s">
        <v>578</v>
      </c>
      <c r="W116" s="34" t="s">
        <v>1068</v>
      </c>
      <c r="X116" s="34" t="str">
        <f>IFERROR(IF(Tabella4[[#This Row],[Tool]]="lighthouse",Tabella4[[#This Row],[Detail]],MID(Tabella4[[#This Row],[Detail]],1,FIND("&gt;",Tabella4[[#This Row],[Detail]]))),Tabella4[[#This Row],[Detail]])</f>
        <v>&lt;div class="panel-heading" role="tab" tabindex="0" id="heading-item-posteinsurancebrokerposteinsurancebroker-moduliprivacy-policy-accordiondpo-contatti-riferimento-3-3"&gt;</v>
      </c>
      <c r="Y116" s="34" t="str">
        <f>SUBSTITUTE(IF(Tabella4[[#This Row],[Tool]]="axe-core",MID(Tabella4[[#This Row],[Rejected Element]],3,LEN(Tabella4[[#This Row],[Rejected Element]])-4),Tabella4[[#This Row],[Rejected Element]]),"\","")</f>
        <v>#heading-item-posteinsurancebrokerposteinsurancebroker-moduliprivacy-policy-accordiondpo-contatti-riferimento-3-3</v>
      </c>
      <c r="Z116" s="34">
        <f>COUNTIFS(Tabella4[Detail univoco],Tabella4[[#This Row],[Detail univoco]],Tabella4[Rejected Element Univoco],Tabella4[[#This Row],[Rejected Element Univoco]],Tabella4[ItemsNodeLabel],Tabella4[[#This Row],[ItemsNodeLabel]])</f>
        <v>0</v>
      </c>
      <c r="AA116" s="34" t="str">
        <f>IF(Tabella4[[#This Row],[Componente]]="Documenti",VLOOKUP(Tabella4[[#This Row],[URL]],Tabella27[[URL]:[Servizio]],4,FALSE),VLOOKUP(Tabella4[[#This Row],[Page ID]],Tabella1[[Page ID]:[Servizio]],4,FALSE))</f>
        <v>S005 Privacy Policy</v>
      </c>
      <c r="AB116" s="34"/>
      <c r="AC116" s="34" t="str">
        <f>Tabella4[[#This Row],[User Impact]]</f>
        <v>2 - Serious</v>
      </c>
      <c r="AD116" s="34" t="str">
        <f>Copertina!C$2&amp;" - "&amp;Tabella4[[#This Row],[UNI CEI EN 301549]]&amp;" "&amp;VLOOKUP(Tabella4[[#This Row],[Criterio]],Tabella5[[ID]:[Criterio di successo]],2,FALSE)&amp;" - "&amp;Tabella4[[#This Row],[Servizio]]&amp;":"</f>
        <v>Insurance Brocker - 9.2.5.8 Dimensione dell'obiettivo (minimo) - S005 Privacy Policy:</v>
      </c>
      <c r="AE11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S005 Privacy Policy: (#TM0077)
S005 Privacy Policy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https://posteinsurancebroker.poste.it/privacy-policy - &lt;div class="panel-heading" role="tab" tabindex="0" id="heading-item-posteinsurancebrokerposteinsurancebroker-moduliprivacy-policy-accordiondpo-contatti-riferimento-3-3"&gt; con selettore: 
["#heading-item-posteinsurancebrokerposteinsurancebroker-moduliprivacy-policy-accordiondpo-contatti-riferimento-3-3"]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10): https://posteitaliane.sharepoint.com/:x:/r/teams/ACCESSIBILITRISULTATIVERIFICHETECNICHE-PORTALEIMMIGRAZIONE/Shared%20Documents/PORTALE%20IMMIGRAZIONE/LOG/Log_2411.xlsx?d=wce770a595441461abc11f2c139111c73&amp;csf=1&amp;web=1&amp;e=tpdJfo
Link al dettaglio requisito WCAG: </v>
      </c>
      <c r="AF116" t="e">
        <f>_xlfn.XLOOKUP(Tabella4[[#This Row],[ID Silk]],outTable[ID Silk],outTable[Numero ticket  ],,0,1)</f>
        <v>#N/A</v>
      </c>
    </row>
    <row r="117" spans="1:32">
      <c r="A117" s="34" t="str">
        <f>MID(Tabella4[[#This Row],[Servizio]],1,4)&amp;Tabella4[[#This Row],[UNI CEI EN 301549]]</f>
        <v>S0059.2.5.8</v>
      </c>
      <c r="B117" s="34" t="str">
        <f>Tabella4[[#This Row],[ID Silk]]&amp;"_1"</f>
        <v>S0059.2.5.8_1</v>
      </c>
      <c r="C117" s="34" t="s">
        <v>858</v>
      </c>
      <c r="D117" s="2" t="str">
        <f>"(#"&amp;Tabella4[[#This Row],['#ID]]&amp;")"</f>
        <v>(#TM0078)</v>
      </c>
      <c r="E117" s="34" t="str">
        <f>IF(MID(Tabella4[[#This Row],['#ID]],1,1)="M","Mobile",IF(MID(Tabella4[[#This Row],['#ID]],1,1)="D","Desktop",IF(MID(Tabella4[[#This Row],['#ID]],1,2)="TM","Manuale","Documenti")))</f>
        <v>Manuale</v>
      </c>
      <c r="F117" s="34" t="s">
        <v>1006</v>
      </c>
      <c r="G117" s="34" t="s">
        <v>372</v>
      </c>
      <c r="H117" s="34" t="str">
        <f>IF(Tabella4[[#This Row],[Componente]]="Documenti","10.","9.")&amp;Tabella4[[#This Row],[Criterio]]</f>
        <v>9.2.5.8</v>
      </c>
      <c r="I117" s="34" t="s">
        <v>1023</v>
      </c>
      <c r="J117" s="34" t="s">
        <v>1032</v>
      </c>
      <c r="K117" s="34" t="s">
        <v>1033</v>
      </c>
      <c r="L117" s="34" t="s">
        <v>1034</v>
      </c>
      <c r="M117" s="34" t="s">
        <v>1035</v>
      </c>
      <c r="N117" t="s">
        <v>586</v>
      </c>
      <c r="O117" t="s">
        <v>587</v>
      </c>
      <c r="P117" t="s">
        <v>392</v>
      </c>
      <c r="R117" s="34" t="str">
        <f>IF(Tabella4[[#This Row],[Componente]]="Documenti",_xlfn.XLOOKUP(Tabella4[[#This Row],[URL]],Tabella27[URL],Tabella27[PDF ID],,0),_xlfn.XLOOKUP(Tabella4[[#This Row],[URL]],Tabella1[URL],Tabella1[Page ID],,0))</f>
        <v>#12</v>
      </c>
      <c r="S117" s="34" t="s">
        <v>1004</v>
      </c>
      <c r="T117" s="34" t="s">
        <v>518</v>
      </c>
      <c r="V117" t="s">
        <v>580</v>
      </c>
      <c r="W117" s="34" t="s">
        <v>1068</v>
      </c>
      <c r="X117"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data-parent="#accordion-posteinsurancebrokerposteinsurancebroker-moduliprivacy-policy-accordionapprofondisci" href="#item-posteinsurancebrokerposteinsurancebroker-moduliprivacy-policy-accordiondpo-contatti-riferimento-3" aria-expanded="false" aria-controls="item-posteinsurancebrokerposteinsurancebroker-moduliprivacy-policy-accordiondpo-contatti-riferimento-3" aria-label="DPO Contatti di Riferimento" title="DPO Contatti di Riferimento"&gt;</v>
      </c>
      <c r="Y117" s="34" t="str">
        <f>SUBSTITUTE(IF(Tabella4[[#This Row],[Tool]]="axe-core",MID(Tabella4[[#This Row],[Rejected Element]],3,LEN(Tabella4[[#This Row],[Rejected Element]])-4),Tabella4[[#This Row],[Rejected Element]]),"\","")</f>
        <v>a[aria-label="DPO Contatti di Riferimento"]</v>
      </c>
      <c r="Z117" s="34">
        <f>COUNTIFS(Tabella4[Detail univoco],Tabella4[[#This Row],[Detail univoco]],Tabella4[Rejected Element Univoco],Tabella4[[#This Row],[Rejected Element Univoco]],Tabella4[ItemsNodeLabel],Tabella4[[#This Row],[ItemsNodeLabel]])</f>
        <v>0</v>
      </c>
      <c r="AA117" s="34" t="str">
        <f>IF(Tabella4[[#This Row],[Componente]]="Documenti",VLOOKUP(Tabella4[[#This Row],[URL]],Tabella27[[URL]:[Servizio]],4,FALSE),VLOOKUP(Tabella4[[#This Row],[Page ID]],Tabella1[[Page ID]:[Servizio]],4,FALSE))</f>
        <v>S005 Privacy Policy</v>
      </c>
      <c r="AB117" s="34"/>
      <c r="AC117" s="34" t="str">
        <f>Tabella4[[#This Row],[User Impact]]</f>
        <v>2 - Serious</v>
      </c>
      <c r="AD117" s="34" t="str">
        <f>Copertina!C$2&amp;" - "&amp;Tabella4[[#This Row],[UNI CEI EN 301549]]&amp;" "&amp;VLOOKUP(Tabella4[[#This Row],[Criterio]],Tabella5[[ID]:[Criterio di successo]],2,FALSE)&amp;" - "&amp;Tabella4[[#This Row],[Servizio]]&amp;":"</f>
        <v>Insurance Brocker - 9.2.5.8 Dimensione dell'obiettivo (minimo) - S005 Privacy Policy:</v>
      </c>
      <c r="AE11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S005 Privacy Policy: (#TM0078)
S005 Privacy Policy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https://posteinsurancebroker.poste.it/privacy-policy - &lt;a class="accordion-toggle collapsed" role="button" data-toggle="collapse" data-parent="#accordion-posteinsurancebrokerposteinsurancebroker-moduliprivacy-policy-accordionapprofondisci" href="#item-posteinsurancebrokerposteinsurancebroker-moduliprivacy-policy-accordiondpo-contatti-riferimento-3" aria-expanded="false" aria-controls="item-posteinsurancebrokerposteinsurancebroker-moduliprivacy-policy-accordiondpo-contatti-riferimento-3" aria-label="DPO Contatti di Riferimento" title="DPO Contatti di Riferimento"&gt; con selettore: 
["a[aria-label=\"DPO Contatti di Riferimento\"]"]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10): https://posteitaliane.sharepoint.com/:x:/r/teams/ACCESSIBILITRISULTATIVERIFICHETECNICHE-PORTALEIMMIGRAZIONE/Shared%20Documents/PORTALE%20IMMIGRAZIONE/LOG/Log_2411.xlsx?d=wce770a595441461abc11f2c139111c73&amp;csf=1&amp;web=1&amp;e=tpdJfo
Link al dettaglio requisito WCAG: </v>
      </c>
      <c r="AF117" t="e">
        <f>_xlfn.XLOOKUP(Tabella4[[#This Row],[ID Silk]],outTable[ID Silk],outTable[Numero ticket  ],,0,1)</f>
        <v>#N/A</v>
      </c>
    </row>
    <row r="118" spans="1:32">
      <c r="A118" s="34" t="str">
        <f>MID(Tabella4[[#This Row],[Servizio]],1,4)&amp;Tabella4[[#This Row],[UNI CEI EN 301549]]</f>
        <v>S0059.2.5.8</v>
      </c>
      <c r="B118" s="34" t="str">
        <f>Tabella4[[#This Row],[ID Silk]]&amp;"_1"</f>
        <v>S0059.2.5.8_1</v>
      </c>
      <c r="C118" s="34" t="s">
        <v>859</v>
      </c>
      <c r="D118" s="2" t="str">
        <f>"(#"&amp;Tabella4[[#This Row],['#ID]]&amp;")"</f>
        <v>(#TM0079)</v>
      </c>
      <c r="E118" s="34" t="str">
        <f>IF(MID(Tabella4[[#This Row],['#ID]],1,1)="M","Mobile",IF(MID(Tabella4[[#This Row],['#ID]],1,1)="D","Desktop",IF(MID(Tabella4[[#This Row],['#ID]],1,2)="TM","Manuale","Documenti")))</f>
        <v>Manuale</v>
      </c>
      <c r="F118" s="34" t="s">
        <v>1006</v>
      </c>
      <c r="G118" s="34" t="s">
        <v>372</v>
      </c>
      <c r="H118" s="34" t="str">
        <f>IF(Tabella4[[#This Row],[Componente]]="Documenti","10.","9.")&amp;Tabella4[[#This Row],[Criterio]]</f>
        <v>9.2.5.8</v>
      </c>
      <c r="I118" s="34" t="s">
        <v>1023</v>
      </c>
      <c r="J118" s="34" t="s">
        <v>1032</v>
      </c>
      <c r="K118" s="34" t="s">
        <v>1033</v>
      </c>
      <c r="L118" s="34" t="s">
        <v>1034</v>
      </c>
      <c r="M118" s="34" t="s">
        <v>1035</v>
      </c>
      <c r="N118" t="s">
        <v>576</v>
      </c>
      <c r="O118" t="s">
        <v>577</v>
      </c>
      <c r="P118" t="s">
        <v>392</v>
      </c>
      <c r="R118" s="34" t="str">
        <f>IF(Tabella4[[#This Row],[Componente]]="Documenti",_xlfn.XLOOKUP(Tabella4[[#This Row],[URL]],Tabella27[URL],Tabella27[PDF ID],,0),_xlfn.XLOOKUP(Tabella4[[#This Row],[URL]],Tabella1[URL],Tabella1[Page ID],,0))</f>
        <v>#12</v>
      </c>
      <c r="S118" s="34" t="s">
        <v>1004</v>
      </c>
      <c r="T118" s="34" t="s">
        <v>518</v>
      </c>
      <c r="V118" t="s">
        <v>578</v>
      </c>
      <c r="W118" s="34" t="s">
        <v>1068</v>
      </c>
      <c r="X118" s="34" t="str">
        <f>IFERROR(IF(Tabella4[[#This Row],[Tool]]="lighthouse",Tabella4[[#This Row],[Detail]],MID(Tabella4[[#This Row],[Detail]],1,FIND("&gt;",Tabella4[[#This Row],[Detail]]))),Tabella4[[#This Row],[Detail]])</f>
        <v>&lt;div class="panel-heading" role="tab" tabindex="0" id="heading-item-posteinsurancebrokerposteinsurancebroker-moduliprivacy-policy-accordionglossario-privacy-4-4"&gt;</v>
      </c>
      <c r="Y118" s="34" t="str">
        <f>SUBSTITUTE(IF(Tabella4[[#This Row],[Tool]]="axe-core",MID(Tabella4[[#This Row],[Rejected Element]],3,LEN(Tabella4[[#This Row],[Rejected Element]])-4),Tabella4[[#This Row],[Rejected Element]]),"\","")</f>
        <v>#heading-item-posteinsurancebrokerposteinsurancebroker-moduliprivacy-policy-accordionglossario-privacy-4-4</v>
      </c>
      <c r="Z118" s="34">
        <f>COUNTIFS(Tabella4[Detail univoco],Tabella4[[#This Row],[Detail univoco]],Tabella4[Rejected Element Univoco],Tabella4[[#This Row],[Rejected Element Univoco]],Tabella4[ItemsNodeLabel],Tabella4[[#This Row],[ItemsNodeLabel]])</f>
        <v>0</v>
      </c>
      <c r="AA118" s="34" t="str">
        <f>IF(Tabella4[[#This Row],[Componente]]="Documenti",VLOOKUP(Tabella4[[#This Row],[URL]],Tabella27[[URL]:[Servizio]],4,FALSE),VLOOKUP(Tabella4[[#This Row],[Page ID]],Tabella1[[Page ID]:[Servizio]],4,FALSE))</f>
        <v>S005 Privacy Policy</v>
      </c>
      <c r="AB118" s="34"/>
      <c r="AC118" s="34" t="str">
        <f>Tabella4[[#This Row],[User Impact]]</f>
        <v>2 - Serious</v>
      </c>
      <c r="AD118" s="34" t="str">
        <f>Copertina!C$2&amp;" - "&amp;Tabella4[[#This Row],[UNI CEI EN 301549]]&amp;" "&amp;VLOOKUP(Tabella4[[#This Row],[Criterio]],Tabella5[[ID]:[Criterio di successo]],2,FALSE)&amp;" - "&amp;Tabella4[[#This Row],[Servizio]]&amp;":"</f>
        <v>Insurance Brocker - 9.2.5.8 Dimensione dell'obiettivo (minimo) - S005 Privacy Policy:</v>
      </c>
      <c r="AE11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S005 Privacy Policy: (#TM0079)
S005 Privacy Policy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https://posteinsurancebroker.poste.it/privacy-policy - &lt;div class="panel-heading" role="tab" tabindex="0" id="heading-item-posteinsurancebrokerposteinsurancebroker-moduliprivacy-policy-accordionglossario-privacy-4-4"&gt; con selettore: 
["#heading-item-posteinsurancebrokerposteinsurancebroker-moduliprivacy-policy-accordionglossario-privacy-4-4"]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10): https://posteitaliane.sharepoint.com/:x:/r/teams/ACCESSIBILITRISULTATIVERIFICHETECNICHE-PORTALEIMMIGRAZIONE/Shared%20Documents/PORTALE%20IMMIGRAZIONE/LOG/Log_2411.xlsx?d=wce770a595441461abc11f2c139111c73&amp;csf=1&amp;web=1&amp;e=tpdJfo
Link al dettaglio requisito WCAG: </v>
      </c>
      <c r="AF118" t="e">
        <f>_xlfn.XLOOKUP(Tabella4[[#This Row],[ID Silk]],outTable[ID Silk],outTable[Numero ticket  ],,0,1)</f>
        <v>#N/A</v>
      </c>
    </row>
    <row r="119" spans="1:32">
      <c r="A119" s="34" t="str">
        <f>MID(Tabella4[[#This Row],[Servizio]],1,4)&amp;Tabella4[[#This Row],[UNI CEI EN 301549]]</f>
        <v>S0059.2.5.8</v>
      </c>
      <c r="B119" s="34" t="str">
        <f>Tabella4[[#This Row],[ID Silk]]&amp;"_1"</f>
        <v>S0059.2.5.8_1</v>
      </c>
      <c r="C119" s="34" t="s">
        <v>860</v>
      </c>
      <c r="D119" s="2" t="str">
        <f>"(#"&amp;Tabella4[[#This Row],['#ID]]&amp;")"</f>
        <v>(#TM0080)</v>
      </c>
      <c r="E119" s="34" t="str">
        <f>IF(MID(Tabella4[[#This Row],['#ID]],1,1)="M","Mobile",IF(MID(Tabella4[[#This Row],['#ID]],1,1)="D","Desktop",IF(MID(Tabella4[[#This Row],['#ID]],1,2)="TM","Manuale","Documenti")))</f>
        <v>Manuale</v>
      </c>
      <c r="F119" s="34" t="s">
        <v>1006</v>
      </c>
      <c r="G119" s="34" t="s">
        <v>372</v>
      </c>
      <c r="H119" s="34" t="str">
        <f>IF(Tabella4[[#This Row],[Componente]]="Documenti","10.","9.")&amp;Tabella4[[#This Row],[Criterio]]</f>
        <v>9.2.5.8</v>
      </c>
      <c r="I119" s="34" t="s">
        <v>1023</v>
      </c>
      <c r="J119" s="34" t="s">
        <v>1032</v>
      </c>
      <c r="K119" s="34" t="s">
        <v>1033</v>
      </c>
      <c r="L119" s="34" t="s">
        <v>1034</v>
      </c>
      <c r="M119" s="34" t="s">
        <v>1035</v>
      </c>
      <c r="N119" t="s">
        <v>588</v>
      </c>
      <c r="O119" t="s">
        <v>589</v>
      </c>
      <c r="P119" t="s">
        <v>392</v>
      </c>
      <c r="R119" s="34" t="str">
        <f>IF(Tabella4[[#This Row],[Componente]]="Documenti",_xlfn.XLOOKUP(Tabella4[[#This Row],[URL]],Tabella27[URL],Tabella27[PDF ID],,0),_xlfn.XLOOKUP(Tabella4[[#This Row],[URL]],Tabella1[URL],Tabella1[Page ID],,0))</f>
        <v>#12</v>
      </c>
      <c r="S119" s="34" t="s">
        <v>1004</v>
      </c>
      <c r="T119" s="34" t="s">
        <v>518</v>
      </c>
      <c r="V119" t="s">
        <v>580</v>
      </c>
      <c r="W119" s="34" t="s">
        <v>1068</v>
      </c>
      <c r="X119"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data-parent="#accordion-posteinsurancebrokerposteinsurancebroker-moduliprivacy-policy-accordionapprofondisci" href="#item-posteinsurancebrokerposteinsurancebroker-moduliprivacy-policy-accordionglossario-privacy-4" aria-expanded="false" aria-controls="item-posteinsurancebrokerposteinsurancebroker-moduliprivacy-policy-accordionglossario-privacy-4" aria-label="Glossario Privacy" title="Glossario Privacy"&gt;</v>
      </c>
      <c r="Y119" s="34" t="str">
        <f>SUBSTITUTE(IF(Tabella4[[#This Row],[Tool]]="axe-core",MID(Tabella4[[#This Row],[Rejected Element]],3,LEN(Tabella4[[#This Row],[Rejected Element]])-4),Tabella4[[#This Row],[Rejected Element]]),"\","")</f>
        <v>a[aria-label="Glossario Privacy"]</v>
      </c>
      <c r="Z119" s="34">
        <f>COUNTIFS(Tabella4[Detail univoco],Tabella4[[#This Row],[Detail univoco]],Tabella4[Rejected Element Univoco],Tabella4[[#This Row],[Rejected Element Univoco]],Tabella4[ItemsNodeLabel],Tabella4[[#This Row],[ItemsNodeLabel]])</f>
        <v>0</v>
      </c>
      <c r="AA119" s="34" t="str">
        <f>IF(Tabella4[[#This Row],[Componente]]="Documenti",VLOOKUP(Tabella4[[#This Row],[URL]],Tabella27[[URL]:[Servizio]],4,FALSE),VLOOKUP(Tabella4[[#This Row],[Page ID]],Tabella1[[Page ID]:[Servizio]],4,FALSE))</f>
        <v>S005 Privacy Policy</v>
      </c>
      <c r="AB119" s="34"/>
      <c r="AC119" s="34" t="str">
        <f>Tabella4[[#This Row],[User Impact]]</f>
        <v>2 - Serious</v>
      </c>
      <c r="AD119" s="34" t="str">
        <f>Copertina!C$2&amp;" - "&amp;Tabella4[[#This Row],[UNI CEI EN 301549]]&amp;" "&amp;VLOOKUP(Tabella4[[#This Row],[Criterio]],Tabella5[[ID]:[Criterio di successo]],2,FALSE)&amp;" - "&amp;Tabella4[[#This Row],[Servizio]]&amp;":"</f>
        <v>Insurance Brocker - 9.2.5.8 Dimensione dell'obiettivo (minimo) - S005 Privacy Policy:</v>
      </c>
      <c r="AE11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S005 Privacy Policy: (#TM0080)
S005 Privacy Policy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https://posteinsurancebroker.poste.it/privacy-policy - &lt;a class="accordion-toggle collapsed" role="button" data-toggle="collapse" data-parent="#accordion-posteinsurancebrokerposteinsurancebroker-moduliprivacy-policy-accordionapprofondisci" href="#item-posteinsurancebrokerposteinsurancebroker-moduliprivacy-policy-accordionglossario-privacy-4" aria-expanded="false" aria-controls="item-posteinsurancebrokerposteinsurancebroker-moduliprivacy-policy-accordionglossario-privacy-4" aria-label="Glossario Privacy" title="Glossario Privacy"&gt; con selettore: 
["a[aria-label=\"Glossario Privacy\"]"]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10): https://posteitaliane.sharepoint.com/:x:/r/teams/ACCESSIBILITRISULTATIVERIFICHETECNICHE-PORTALEIMMIGRAZIONE/Shared%20Documents/PORTALE%20IMMIGRAZIONE/LOG/Log_2411.xlsx?d=wce770a595441461abc11f2c139111c73&amp;csf=1&amp;web=1&amp;e=tpdJfo
Link al dettaglio requisito WCAG: </v>
      </c>
      <c r="AF119" t="e">
        <f>_xlfn.XLOOKUP(Tabella4[[#This Row],[ID Silk]],outTable[ID Silk],outTable[Numero ticket  ],,0,1)</f>
        <v>#N/A</v>
      </c>
    </row>
    <row r="120" spans="1:32">
      <c r="A120" s="34" t="str">
        <f>MID(Tabella4[[#This Row],[Servizio]],1,4)&amp;Tabella4[[#This Row],[UNI CEI EN 301549]]</f>
        <v>S0059.1.4.3</v>
      </c>
      <c r="B120" s="34" t="str">
        <f>Tabella4[[#This Row],[ID Silk]]&amp;"_1"</f>
        <v>S0059.1.4.3_1</v>
      </c>
      <c r="C120" s="34" t="s">
        <v>861</v>
      </c>
      <c r="D120" s="2" t="str">
        <f>"(#"&amp;Tabella4[[#This Row],['#ID]]&amp;")"</f>
        <v>(#TM0081)</v>
      </c>
      <c r="E120" s="34" t="str">
        <f>IF(MID(Tabella4[[#This Row],['#ID]],1,1)="M","Mobile",IF(MID(Tabella4[[#This Row],['#ID]],1,1)="D","Desktop",IF(MID(Tabella4[[#This Row],['#ID]],1,2)="TM","Manuale","Documenti")))</f>
        <v>Manuale</v>
      </c>
      <c r="F120" s="34" t="s">
        <v>1006</v>
      </c>
      <c r="G120" s="34" t="s">
        <v>228</v>
      </c>
      <c r="H120" s="34" t="str">
        <f>IF(Tabella4[[#This Row],[Componente]]="Documenti","10.","9.")&amp;Tabella4[[#This Row],[Criterio]]</f>
        <v>9.1.4.3</v>
      </c>
      <c r="I120" s="34" t="s">
        <v>1023</v>
      </c>
      <c r="J120" s="34" t="s">
        <v>1037</v>
      </c>
      <c r="K120" s="34" t="s">
        <v>549</v>
      </c>
      <c r="L120" s="34" t="s">
        <v>1038</v>
      </c>
      <c r="M120" s="34" t="s">
        <v>1039</v>
      </c>
      <c r="N120" t="s">
        <v>550</v>
      </c>
      <c r="O120" t="s">
        <v>551</v>
      </c>
      <c r="P120" t="s">
        <v>392</v>
      </c>
      <c r="R120" s="34" t="str">
        <f>IF(Tabella4[[#This Row],[Componente]]="Documenti",_xlfn.XLOOKUP(Tabella4[[#This Row],[URL]],Tabella27[URL],Tabella27[PDF ID],,0),_xlfn.XLOOKUP(Tabella4[[#This Row],[URL]],Tabella1[URL],Tabella1[Page ID],,0))</f>
        <v>#12</v>
      </c>
      <c r="S120" s="34" t="s">
        <v>1004</v>
      </c>
      <c r="T120" s="34" t="s">
        <v>547</v>
      </c>
      <c r="V120" t="s">
        <v>548</v>
      </c>
      <c r="W120" s="34" t="s">
        <v>1069</v>
      </c>
      <c r="X120" s="34" t="str">
        <f>IFERROR(IF(Tabella4[[#This Row],[Tool]]="lighthouse",Tabella4[[#This Row],[Detail]],MID(Tabella4[[#This Row],[Detail]],1,FIND("&gt;",Tabella4[[#This Row],[Detail]]))),Tabella4[[#This Row],[Detail]])</f>
        <v>&lt;a tabindex="0" class="skip-link sr-only-focusable-abs" href="#accessibility-anchor"&gt;</v>
      </c>
      <c r="Y120" s="34" t="str">
        <f>SUBSTITUTE(IF(Tabella4[[#This Row],[Tool]]="axe-core",MID(Tabella4[[#This Row],[Rejected Element]],3,LEN(Tabella4[[#This Row],[Rejected Element]])-4),Tabella4[[#This Row],[Rejected Element]]),"\","")</f>
        <v>body#page &gt; nav#skiplink:nth-of-type(1) &gt; ul:nth-of-type(1) &gt; li:nth-of-type(1) &gt; a.skip-link.sr-only-focusable-abs:nth-of-type(1)</v>
      </c>
      <c r="Z120" s="34">
        <f>COUNTIFS(Tabella4[Detail univoco],Tabella4[[#This Row],[Detail univoco]],Tabella4[Rejected Element Univoco],Tabella4[[#This Row],[Rejected Element Univoco]],Tabella4[ItemsNodeLabel],Tabella4[[#This Row],[ItemsNodeLabel]])</f>
        <v>0</v>
      </c>
      <c r="AA120" s="34" t="str">
        <f>IF(Tabella4[[#This Row],[Componente]]="Documenti",VLOOKUP(Tabella4[[#This Row],[URL]],Tabella27[[URL]:[Servizio]],4,FALSE),VLOOKUP(Tabella4[[#This Row],[Page ID]],Tabella1[[Page ID]:[Servizio]],4,FALSE))</f>
        <v>S005 Privacy Policy</v>
      </c>
      <c r="AB120" s="34"/>
      <c r="AC120" s="34" t="str">
        <f>Tabella4[[#This Row],[User Impact]]</f>
        <v>2 - Serious</v>
      </c>
      <c r="AD120" s="34" t="str">
        <f>Copertina!C$2&amp;" - "&amp;Tabella4[[#This Row],[UNI CEI EN 301549]]&amp;" "&amp;VLOOKUP(Tabella4[[#This Row],[Criterio]],Tabella5[[ID]:[Criterio di successo]],2,FALSE)&amp;" - "&amp;Tabella4[[#This Row],[Servizio]]&amp;":"</f>
        <v>Insurance Brocker - 9.1.4.3 Contrasto (minimo) - S005 Privacy Policy:</v>
      </c>
      <c r="AE12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S005 Privacy Policy: (#TM0081)
S005 Privacy Policy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https://posteinsurancebroker.poste.it/privacy-policy - &lt;a tabindex="0" class="skip-link sr-only-focusable-abs" href="#accessibility-anchor"&gt;Passa al contenuto principale&lt;/a&gt; con selettore: 
["body#page &gt; nav#skiplink:nth-of-type(1) &gt; ul:nth-of-type(1) &gt; li:nth-of-type(1)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20">
        <f>_xlfn.XLOOKUP(Tabella4[[#This Row],[ID Silk]],outTable[ID Silk],outTable[Numero ticket  ],,0,1)</f>
        <v>5982</v>
      </c>
    </row>
    <row r="121" spans="1:32">
      <c r="A121" s="34" t="str">
        <f>MID(Tabella4[[#This Row],[Servizio]],1,4)&amp;Tabella4[[#This Row],[UNI CEI EN 301549]]</f>
        <v>S0059.1.4.3</v>
      </c>
      <c r="B121" s="34" t="str">
        <f>Tabella4[[#This Row],[ID Silk]]&amp;"_1"</f>
        <v>S0059.1.4.3_1</v>
      </c>
      <c r="C121" s="34" t="s">
        <v>862</v>
      </c>
      <c r="D121" s="2" t="str">
        <f>"(#"&amp;Tabella4[[#This Row],['#ID]]&amp;")"</f>
        <v>(#TM0082)</v>
      </c>
      <c r="E121" s="34" t="str">
        <f>IF(MID(Tabella4[[#This Row],['#ID]],1,1)="M","Mobile",IF(MID(Tabella4[[#This Row],['#ID]],1,1)="D","Desktop",IF(MID(Tabella4[[#This Row],['#ID]],1,2)="TM","Manuale","Documenti")))</f>
        <v>Manuale</v>
      </c>
      <c r="F121" s="34" t="s">
        <v>1006</v>
      </c>
      <c r="G121" s="34" t="s">
        <v>228</v>
      </c>
      <c r="H121" s="34" t="str">
        <f>IF(Tabella4[[#This Row],[Componente]]="Documenti","10.","9.")&amp;Tabella4[[#This Row],[Criterio]]</f>
        <v>9.1.4.3</v>
      </c>
      <c r="I121" s="34" t="s">
        <v>1023</v>
      </c>
      <c r="J121" s="34" t="s">
        <v>1037</v>
      </c>
      <c r="K121" s="34" t="s">
        <v>549</v>
      </c>
      <c r="L121" s="34" t="s">
        <v>1038</v>
      </c>
      <c r="M121" s="34" t="s">
        <v>1039</v>
      </c>
      <c r="N121" t="s">
        <v>552</v>
      </c>
      <c r="O121" t="s">
        <v>553</v>
      </c>
      <c r="P121" t="s">
        <v>392</v>
      </c>
      <c r="R121" s="34" t="str">
        <f>IF(Tabella4[[#This Row],[Componente]]="Documenti",_xlfn.XLOOKUP(Tabella4[[#This Row],[URL]],Tabella27[URL],Tabella27[PDF ID],,0),_xlfn.XLOOKUP(Tabella4[[#This Row],[URL]],Tabella1[URL],Tabella1[Page ID],,0))</f>
        <v>#12</v>
      </c>
      <c r="S121" s="34" t="s">
        <v>1004</v>
      </c>
      <c r="T121" s="34" t="s">
        <v>547</v>
      </c>
      <c r="V121" t="s">
        <v>548</v>
      </c>
      <c r="W121" s="34" t="s">
        <v>1069</v>
      </c>
      <c r="X121" s="34" t="str">
        <f>IFERROR(IF(Tabella4[[#This Row],[Tool]]="lighthouse",Tabella4[[#This Row],[Detail]],MID(Tabella4[[#This Row],[Detail]],1,FIND("&gt;",Tabella4[[#This Row],[Detail]]))),Tabella4[[#This Row],[Detail]])</f>
        <v>&lt;a class="skip-link sr-only-focusable-abs" href="#footer"&gt;</v>
      </c>
      <c r="Y121" s="34" t="str">
        <f>SUBSTITUTE(IF(Tabella4[[#This Row],[Tool]]="axe-core",MID(Tabella4[[#This Row],[Rejected Element]],3,LEN(Tabella4[[#This Row],[Rejected Element]])-4),Tabella4[[#This Row],[Rejected Element]]),"\","")</f>
        <v>body#page &gt; nav#skiplink:nth-of-type(1) &gt; ul:nth-of-type(1) &gt; li:nth-of-type(3) &gt; a.skip-link.sr-only-focusable-abs:nth-of-type(1)</v>
      </c>
      <c r="Z121" s="34">
        <f>COUNTIFS(Tabella4[Detail univoco],Tabella4[[#This Row],[Detail univoco]],Tabella4[Rejected Element Univoco],Tabella4[[#This Row],[Rejected Element Univoco]],Tabella4[ItemsNodeLabel],Tabella4[[#This Row],[ItemsNodeLabel]])</f>
        <v>0</v>
      </c>
      <c r="AA121" s="34" t="str">
        <f>IF(Tabella4[[#This Row],[Componente]]="Documenti",VLOOKUP(Tabella4[[#This Row],[URL]],Tabella27[[URL]:[Servizio]],4,FALSE),VLOOKUP(Tabella4[[#This Row],[Page ID]],Tabella1[[Page ID]:[Servizio]],4,FALSE))</f>
        <v>S005 Privacy Policy</v>
      </c>
      <c r="AB121" s="34"/>
      <c r="AC121" s="34" t="str">
        <f>Tabella4[[#This Row],[User Impact]]</f>
        <v>2 - Serious</v>
      </c>
      <c r="AD121" s="34" t="str">
        <f>Copertina!C$2&amp;" - "&amp;Tabella4[[#This Row],[UNI CEI EN 301549]]&amp;" "&amp;VLOOKUP(Tabella4[[#This Row],[Criterio]],Tabella5[[ID]:[Criterio di successo]],2,FALSE)&amp;" - "&amp;Tabella4[[#This Row],[Servizio]]&amp;":"</f>
        <v>Insurance Brocker - 9.1.4.3 Contrasto (minimo) - S005 Privacy Policy:</v>
      </c>
      <c r="AE12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S005 Privacy Policy: (#TM0082)
S005 Privacy Policy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https://posteinsurancebroker.poste.it/privacy-policy - &lt;a class="skip-link sr-only-focusable-abs" href="#footer"&gt;Passa al footer di pagina&lt;/a&gt; con selettore: 
["body#page &gt; nav#skiplink:nth-of-type(1) &gt; ul:nth-of-type(1) &gt; li:nth-of-type(3)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21">
        <f>_xlfn.XLOOKUP(Tabella4[[#This Row],[ID Silk]],outTable[ID Silk],outTable[Numero ticket  ],,0,1)</f>
        <v>5982</v>
      </c>
    </row>
    <row r="122" spans="1:32">
      <c r="A122" s="34" t="str">
        <f>MID(Tabella4[[#This Row],[Servizio]],1,4)&amp;Tabella4[[#This Row],[UNI CEI EN 301549]]</f>
        <v>S0059.1.4.3</v>
      </c>
      <c r="B122" s="34" t="str">
        <f>Tabella4[[#This Row],[ID Silk]]&amp;"_1"</f>
        <v>S0059.1.4.3_1</v>
      </c>
      <c r="C122" s="34" t="s">
        <v>863</v>
      </c>
      <c r="D122" s="2" t="str">
        <f>"(#"&amp;Tabella4[[#This Row],['#ID]]&amp;")"</f>
        <v>(#TM0083)</v>
      </c>
      <c r="E122" s="34" t="str">
        <f>IF(MID(Tabella4[[#This Row],['#ID]],1,1)="M","Mobile",IF(MID(Tabella4[[#This Row],['#ID]],1,1)="D","Desktop",IF(MID(Tabella4[[#This Row],['#ID]],1,2)="TM","Manuale","Documenti")))</f>
        <v>Manuale</v>
      </c>
      <c r="F122" s="34" t="s">
        <v>1006</v>
      </c>
      <c r="G122" s="34" t="s">
        <v>228</v>
      </c>
      <c r="H122" s="34" t="str">
        <f>IF(Tabella4[[#This Row],[Componente]]="Documenti","10.","9.")&amp;Tabella4[[#This Row],[Criterio]]</f>
        <v>9.1.4.3</v>
      </c>
      <c r="I122" s="34" t="s">
        <v>1023</v>
      </c>
      <c r="J122" s="34" t="s">
        <v>1037</v>
      </c>
      <c r="K122" s="34" t="s">
        <v>549</v>
      </c>
      <c r="L122" s="34" t="s">
        <v>1038</v>
      </c>
      <c r="M122" s="34" t="s">
        <v>1039</v>
      </c>
      <c r="N122" t="s">
        <v>590</v>
      </c>
      <c r="O122" t="s">
        <v>591</v>
      </c>
      <c r="P122" t="s">
        <v>392</v>
      </c>
      <c r="R122" s="34" t="str">
        <f>IF(Tabella4[[#This Row],[Componente]]="Documenti",_xlfn.XLOOKUP(Tabella4[[#This Row],[URL]],Tabella27[URL],Tabella27[PDF ID],,0),_xlfn.XLOOKUP(Tabella4[[#This Row],[URL]],Tabella1[URL],Tabella1[Page ID],,0))</f>
        <v>#12</v>
      </c>
      <c r="S122" s="34" t="s">
        <v>1004</v>
      </c>
      <c r="T122" s="34" t="s">
        <v>547</v>
      </c>
      <c r="V122" t="s">
        <v>548</v>
      </c>
      <c r="W122" s="34" t="s">
        <v>1069</v>
      </c>
      <c r="X122" s="34" t="str">
        <f>IFERROR(IF(Tabella4[[#This Row],[Tool]]="lighthouse",Tabella4[[#This Row],[Detail]],MID(Tabella4[[#This Row],[Detail]],1,FIND("&gt;",Tabella4[[#This Row],[Detail]]))),Tabella4[[#This Row],[Detail]])</f>
        <v>&lt;a title="Vai alla pagina dedicata ai Podcast - Cookie e privacy policy" href="https://www.posteitaliane.it/it/cookie-privacy-policy-podcast.html" target="_self" class="" data-activity-linkid="Podcast - Cookie e privacy policy-moduli-postevita-condivisi-privacy-policy-link-utili-podcast-cookieeprivacypolicy"&gt;</v>
      </c>
      <c r="Y122" s="34" t="str">
        <f>SUBSTITUTE(IF(Tabella4[[#This Row],[Tool]]="axe-core",MID(Tabella4[[#This Row],[Rejected Element]],3,LEN(Tabella4[[#This Row],[Rejected Element]])-4),Tabella4[[#This Row],[Rejected Element]]),"\","")</f>
        <v>body#page &gt; main#accessibility-anchor:nth-of-type(1) &gt; div.content.display-pop:nth-of-type(3) &gt; div.content-wrap:nth-of-type(1) &gt; div.container:nth-of-type(1) &gt; div.row:nth-of-type(1) &gt; div.col-md-10.col-md-push-1.col-structure:nth-of-type(1) &gt; div#moduli-postevita-condivisi-privacy-policy-link-utili.row.row-fix:nth-of-type(1) &gt; div.col-xs-12.pi-links:nth-of-type(1) &gt; div.main-pills:nth-of-type(1) &gt; div.main-pills-wrap:nth-of-type(1) &gt; div.row:nth-of-type(1) &gt; div.col-md-12:nth-of-type(2) &gt; ul.list-tailback.list-arrow.list-arrow-large.fw-semibold.mt-3:nth-of-type(1) &gt; li.col-sm-6.col-md-6:nth-of-type(1) &gt; a:nth-of-type(1)</v>
      </c>
      <c r="Z122" s="34">
        <f>COUNTIFS(Tabella4[Detail univoco],Tabella4[[#This Row],[Detail univoco]],Tabella4[Rejected Element Univoco],Tabella4[[#This Row],[Rejected Element Univoco]],Tabella4[ItemsNodeLabel],Tabella4[[#This Row],[ItemsNodeLabel]])</f>
        <v>0</v>
      </c>
      <c r="AA122" s="34" t="str">
        <f>IF(Tabella4[[#This Row],[Componente]]="Documenti",VLOOKUP(Tabella4[[#This Row],[URL]],Tabella27[[URL]:[Servizio]],4,FALSE),VLOOKUP(Tabella4[[#This Row],[Page ID]],Tabella1[[Page ID]:[Servizio]],4,FALSE))</f>
        <v>S005 Privacy Policy</v>
      </c>
      <c r="AB122" s="34"/>
      <c r="AC122" s="34" t="str">
        <f>Tabella4[[#This Row],[User Impact]]</f>
        <v>2 - Serious</v>
      </c>
      <c r="AD122" s="34" t="str">
        <f>Copertina!C$2&amp;" - "&amp;Tabella4[[#This Row],[UNI CEI EN 301549]]&amp;" "&amp;VLOOKUP(Tabella4[[#This Row],[Criterio]],Tabella5[[ID]:[Criterio di successo]],2,FALSE)&amp;" - "&amp;Tabella4[[#This Row],[Servizio]]&amp;":"</f>
        <v>Insurance Brocker - 9.1.4.3 Contrasto (minimo) - S005 Privacy Policy:</v>
      </c>
      <c r="AE12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S005 Privacy Policy: (#TM0083)
S005 Privacy Policy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https://posteinsurancebroker.poste.it/privacy-policy - &lt;a title="Vai alla pagina dedicata ai Podcast - Cookie e privacy policy" href="https://www.posteitaliane.it/it/cookie-privacy-policy-podcast.html" target="_self" class="" data-activity-linkid="Podcast - Cookie e privacy policy-moduli-postevita-condivisi-privacy-policy-link-utili-podcast-cookieeprivacypolicy"&gt; con selettore: 
["body#page &gt; main#accessibility-anchor:nth-of-type(1) &gt; div.content.display-pop:nth-of-type(3) &gt; div.content-wrap:nth-of-type(1) &gt; div.container:nth-of-type(1) &gt; div.row:nth-of-type(1) &gt; div.col-md-10.col-md-push-1.col-structure:nth-of-type(1) &gt; div#moduli-postevita-condivisi-privacy-policy-link-utili.row.row-fix:nth-of-type(1) &gt; div.col-xs-12.pi-links:nth-of-type(1) &gt; div.main-pills:nth-of-type(1) &gt; div.main-pills-wrap:nth-of-type(1) &gt; div.row:nth-of-type(1) &gt; div.col-md-12:nth-of-type(2) &gt; ul.list-tailback.list-arrow.list-arrow-large.fw-semibold.mt-3:nth-of-type(1) &gt; li.col-sm-6.col-md-6:nth-of-type(1)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22">
        <f>_xlfn.XLOOKUP(Tabella4[[#This Row],[ID Silk]],outTable[ID Silk],outTable[Numero ticket  ],,0,1)</f>
        <v>5982</v>
      </c>
    </row>
    <row r="123" spans="1:32">
      <c r="A123" s="34" t="str">
        <f>MID(Tabella4[[#This Row],[Servizio]],1,4)&amp;Tabella4[[#This Row],[UNI CEI EN 301549]]</f>
        <v>S0059.1.3.1</v>
      </c>
      <c r="B123" s="34" t="str">
        <f>Tabella4[[#This Row],[ID Silk]]&amp;"_1"</f>
        <v>S0059.1.3.1_1</v>
      </c>
      <c r="C123" s="34" t="s">
        <v>864</v>
      </c>
      <c r="D123" s="2" t="str">
        <f>"(#"&amp;Tabella4[[#This Row],['#ID]]&amp;")"</f>
        <v>(#TM0084)</v>
      </c>
      <c r="E123" s="34" t="str">
        <f>IF(MID(Tabella4[[#This Row],['#ID]],1,1)="M","Mobile",IF(MID(Tabella4[[#This Row],['#ID]],1,1)="D","Desktop",IF(MID(Tabella4[[#This Row],['#ID]],1,2)="TM","Manuale","Documenti")))</f>
        <v>Manuale</v>
      </c>
      <c r="F123" s="34" t="s">
        <v>1005</v>
      </c>
      <c r="G123" s="34" t="s">
        <v>184</v>
      </c>
      <c r="H123" s="34" t="str">
        <f>IF(Tabella4[[#This Row],[Componente]]="Documenti","10.","9.")&amp;Tabella4[[#This Row],[Criterio]]</f>
        <v>9.1.3.1</v>
      </c>
      <c r="I123" s="34" t="s">
        <v>1036</v>
      </c>
      <c r="J123" s="34" t="s">
        <v>1008</v>
      </c>
      <c r="K123" s="34" t="s">
        <v>558</v>
      </c>
      <c r="L123" s="34" t="s">
        <v>1040</v>
      </c>
      <c r="M123" s="34" t="s">
        <v>1041</v>
      </c>
      <c r="N123" t="s">
        <v>559</v>
      </c>
      <c r="O123" t="s">
        <v>560</v>
      </c>
      <c r="P123" t="s">
        <v>392</v>
      </c>
      <c r="R123" s="34" t="str">
        <f>IF(Tabella4[[#This Row],[Componente]]="Documenti",_xlfn.XLOOKUP(Tabella4[[#This Row],[URL]],Tabella27[URL],Tabella27[PDF ID],,0),_xlfn.XLOOKUP(Tabella4[[#This Row],[URL]],Tabella1[URL],Tabella1[Page ID],,0))</f>
        <v>#12</v>
      </c>
      <c r="S123" s="34" t="s">
        <v>1004</v>
      </c>
      <c r="T123" s="34" t="s">
        <v>556</v>
      </c>
      <c r="V123" t="s">
        <v>557</v>
      </c>
      <c r="W123" s="34" t="s">
        <v>1070</v>
      </c>
      <c r="X123" s="34" t="str">
        <f>IFERROR(IF(Tabella4[[#This Row],[Tool]]="lighthouse",Tabella4[[#This Row],[Detail]],MID(Tabella4[[#This Row],[Detail]],1,FIND("&gt;",Tabella4[[#This Row],[Detail]]))),Tabella4[[#This Row],[Detail]])</f>
        <v>&lt;ul&gt;</v>
      </c>
      <c r="Y123" s="34" t="str">
        <f>SUBSTITUTE(IF(Tabella4[[#This Row],[Tool]]="axe-core",MID(Tabella4[[#This Row],[Rejected Element]],3,LEN(Tabella4[[#This Row],[Rejected Element]])-4),Tabella4[[#This Row],[Rejected Element]]),"\","")</f>
        <v>body#page &gt; nav#skiplink:nth-of-type(1) &gt; ul:nth-of-type(1)</v>
      </c>
      <c r="Z123" s="34">
        <f>COUNTIFS(Tabella4[Detail univoco],Tabella4[[#This Row],[Detail univoco]],Tabella4[Rejected Element Univoco],Tabella4[[#This Row],[Rejected Element Univoco]],Tabella4[ItemsNodeLabel],Tabella4[[#This Row],[ItemsNodeLabel]])</f>
        <v>0</v>
      </c>
      <c r="AA123" s="34" t="str">
        <f>IF(Tabella4[[#This Row],[Componente]]="Documenti",VLOOKUP(Tabella4[[#This Row],[URL]],Tabella27[[URL]:[Servizio]],4,FALSE),VLOOKUP(Tabella4[[#This Row],[Page ID]],Tabella1[[Page ID]:[Servizio]],4,FALSE))</f>
        <v>S005 Privacy Policy</v>
      </c>
      <c r="AB123" s="34"/>
      <c r="AC123" s="34" t="str">
        <f>Tabella4[[#This Row],[User Impact]]</f>
        <v>3 - Moderate</v>
      </c>
      <c r="AD123" s="34" t="str">
        <f>Copertina!C$2&amp;" - "&amp;Tabella4[[#This Row],[UNI CEI EN 301549]]&amp;" "&amp;VLOOKUP(Tabella4[[#This Row],[Criterio]],Tabella5[[ID]:[Criterio di successo]],2,FALSE)&amp;" - "&amp;Tabella4[[#This Row],[Servizio]]&amp;":"</f>
        <v>Insurance Brocker - 9.1.3.1 Informazioni e correlazioni - S005 Privacy Policy:</v>
      </c>
      <c r="AE12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S005 Privacy Policy: (#TM0084)
S005 Privacy Policy
Requisito: WCAG 1.3.1
Disabilità afflitte: Blind;Deafblind
Impatto Utente: 3 - Moderate
Descrizione: Il contenuto non è una list, ma è contrassegnato come tale - Il contenuto non è una list, ma è contrassegnato come tale. [Ulteriori informazioni] (https://docs.deque.com/issue-help/1.0.0/en/semantic-list-used-for-presentation)
Esempio di violazione individuata sull'oggetto: 
https://posteinsurancebroker.poste.it/privacy-policy - &lt;ul&gt; con selettore: 
["body#page &gt; nav#skiplink:nth-of-type(1) &gt; ul:nth-of-type(1)"]
Dettaglio + screenshot (accedere con le seguenti credenziali: user, axeposte@gmail.com; password, Poste2024!): 
Possibile metodologia risolutiva:
Usa elementi di lista come &lt;ul&gt;, &lt;ol&gt;, e &lt;li&gt; solo per contenuti che devono essere presentati in forma di elenco. Assicurati che le liste siano semanticamente corrette per evitare confusione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123">
        <f>_xlfn.XLOOKUP(Tabella4[[#This Row],[ID Silk]],outTable[ID Silk],outTable[Numero ticket  ],,0,1)</f>
        <v>5981</v>
      </c>
    </row>
    <row r="124" spans="1:32">
      <c r="A124" s="34" t="str">
        <f>MID(Tabella4[[#This Row],[Servizio]],1,4)&amp;Tabella4[[#This Row],[UNI CEI EN 301549]]</f>
        <v>S0029.2.5.3</v>
      </c>
      <c r="B124" s="34" t="str">
        <f>Tabella4[[#This Row],[ID Silk]]&amp;"_1"</f>
        <v>S0029.2.5.3_1</v>
      </c>
      <c r="C124" s="34" t="s">
        <v>865</v>
      </c>
      <c r="D124" s="2" t="str">
        <f>"(#"&amp;Tabella4[[#This Row],['#ID]]&amp;")"</f>
        <v>(#TM0085)</v>
      </c>
      <c r="E124" s="34" t="str">
        <f>IF(MID(Tabella4[[#This Row],['#ID]],1,1)="M","Mobile",IF(MID(Tabella4[[#This Row],['#ID]],1,1)="D","Desktop",IF(MID(Tabella4[[#This Row],['#ID]],1,2)="TM","Manuale","Documenti")))</f>
        <v>Manuale</v>
      </c>
      <c r="F124" s="34" t="s">
        <v>1005</v>
      </c>
      <c r="G124" s="34" t="s">
        <v>324</v>
      </c>
      <c r="H124" s="34" t="str">
        <f>IF(Tabella4[[#This Row],[Componente]]="Documenti","10.","9.")&amp;Tabella4[[#This Row],[Criterio]]</f>
        <v>9.2.5.3</v>
      </c>
      <c r="I124" s="34" t="s">
        <v>1023</v>
      </c>
      <c r="J124" s="34" t="s">
        <v>1024</v>
      </c>
      <c r="K124" s="34" t="s">
        <v>1025</v>
      </c>
      <c r="L124" s="34" t="s">
        <v>1026</v>
      </c>
      <c r="M124" s="34" t="s">
        <v>1027</v>
      </c>
      <c r="N124" t="s">
        <v>483</v>
      </c>
      <c r="O124" t="s">
        <v>485</v>
      </c>
      <c r="P124" t="s">
        <v>391</v>
      </c>
      <c r="R124" s="34" t="str">
        <f>IF(Tabella4[[#This Row],[Componente]]="Documenti",_xlfn.XLOOKUP(Tabella4[[#This Row],[URL]],Tabella27[URL],Tabella27[PDF ID],,0),_xlfn.XLOOKUP(Tabella4[[#This Row],[URL]],Tabella1[URL],Tabella1[Page ID],,0))</f>
        <v>#11</v>
      </c>
      <c r="S124" s="34" t="s">
        <v>1004</v>
      </c>
      <c r="T124" s="34" t="s">
        <v>481</v>
      </c>
      <c r="V124" t="s">
        <v>484</v>
      </c>
      <c r="W124" s="34" t="s">
        <v>1066</v>
      </c>
      <c r="X124" s="34" t="str">
        <f>IFERROR(IF(Tabella4[[#This Row],[Tool]]="lighthouse",Tabella4[[#This Row],[Detail]],MID(Tabella4[[#This Row],[Detail]],1,FIND("&gt;",Tabella4[[#This Row],[Detail]]))),Tabella4[[#This Row],[Detail]])</f>
        <v>&lt;button id="business-button-open" class="offcanvas-toggle pi-targetarea" aria-label="Business" type="button" aria-haspopup="true" aria-controls="menu-siti" aria-expanded="false"&gt;</v>
      </c>
      <c r="Y124" s="34" t="str">
        <f>SUBSTITUTE(IF(Tabella4[[#This Row],[Tool]]="axe-core",MID(Tabella4[[#This Row],[Rejected Element]],3,LEN(Tabella4[[#This Row],[Rejected Element]])-4),Tabella4[[#This Row],[Rejected Element]]),"\","")</f>
        <v>#business-button-open</v>
      </c>
      <c r="Z124" s="34">
        <f>COUNTIFS(Tabella4[Detail univoco],Tabella4[[#This Row],[Detail univoco]],Tabella4[Rejected Element Univoco],Tabella4[[#This Row],[Rejected Element Univoco]],Tabella4[ItemsNodeLabel],Tabella4[[#This Row],[ItemsNodeLabel]])</f>
        <v>0</v>
      </c>
      <c r="AA124" s="34" t="str">
        <f>IF(Tabella4[[#This Row],[Componente]]="Documenti",VLOOKUP(Tabella4[[#This Row],[URL]],Tabella27[[URL]:[Servizio]],4,FALSE),VLOOKUP(Tabella4[[#This Row],[Page ID]],Tabella1[[Page ID]:[Servizio]],4,FALSE))</f>
        <v>S002 Poste Guidare Sicuri</v>
      </c>
      <c r="AB124" s="34"/>
      <c r="AC124" s="34" t="str">
        <f>Tabella4[[#This Row],[User Impact]]</f>
        <v>2 - Serious</v>
      </c>
      <c r="AD124" s="34" t="str">
        <f>Copertina!C$2&amp;" - "&amp;Tabella4[[#This Row],[UNI CEI EN 301549]]&amp;" "&amp;VLOOKUP(Tabella4[[#This Row],[Criterio]],Tabella5[[ID]:[Criterio di successo]],2,FALSE)&amp;" - "&amp;Tabella4[[#This Row],[Servizio]]&amp;":"</f>
        <v>Insurance Brocker - 9.2.5.3 Etichetta nel nome - S002 Poste Guidare Sicuri:</v>
      </c>
      <c r="AE12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S002 Poste Guidare Sicuri: (#TM0085)
S002 Poste Guidare Sicuri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https://posteinsurancebroker.poste.it/poste-guidare-sicuri/ - &lt;button id="business-button-open" class="offcanvas-toggle pi-targetarea" aria-label="Business" type="button" aria-haspopup="true" aria-controls="menu-siti" aria-expanded="false"&gt; con selettore: 
["#business-button-open"]
Dettaglio + screenshot (accedere con le seguenti credenziali: user, axeposte@gmail.com; password, Poste2024!): 
Possibile metodologia risolutiva:
Correggi uno dei seguenti problemi:
Il testo all'interno dell'elemento non è incluso nel nome accessibile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124">
        <f>_xlfn.XLOOKUP(Tabella4[[#This Row],[ID Silk]],outTable[ID Silk],outTable[Numero ticket  ],,0,1)</f>
        <v>6014</v>
      </c>
    </row>
    <row r="125" spans="1:32">
      <c r="A125" s="34" t="str">
        <f>MID(Tabella4[[#This Row],[Servizio]],1,4)&amp;Tabella4[[#This Row],[UNI CEI EN 301549]]</f>
        <v>S0029.2.5.3</v>
      </c>
      <c r="B125" s="34" t="str">
        <f>Tabella4[[#This Row],[ID Silk]]&amp;"_1"</f>
        <v>S0029.2.5.3_1</v>
      </c>
      <c r="C125" s="34" t="s">
        <v>866</v>
      </c>
      <c r="D125" s="2" t="str">
        <f>"(#"&amp;Tabella4[[#This Row],['#ID]]&amp;")"</f>
        <v>(#TM0086)</v>
      </c>
      <c r="E125" s="34" t="str">
        <f>IF(MID(Tabella4[[#This Row],['#ID]],1,1)="M","Mobile",IF(MID(Tabella4[[#This Row],['#ID]],1,1)="D","Desktop",IF(MID(Tabella4[[#This Row],['#ID]],1,2)="TM","Manuale","Documenti")))</f>
        <v>Manuale</v>
      </c>
      <c r="F125" s="34" t="s">
        <v>1005</v>
      </c>
      <c r="G125" s="34" t="s">
        <v>324</v>
      </c>
      <c r="H125" s="34" t="str">
        <f>IF(Tabella4[[#This Row],[Componente]]="Documenti","10.","9.")&amp;Tabella4[[#This Row],[Criterio]]</f>
        <v>9.2.5.3</v>
      </c>
      <c r="I125" s="34" t="s">
        <v>1023</v>
      </c>
      <c r="J125" s="34" t="s">
        <v>1024</v>
      </c>
      <c r="K125" s="34" t="s">
        <v>1025</v>
      </c>
      <c r="L125" s="34" t="s">
        <v>1026</v>
      </c>
      <c r="M125" s="34" t="s">
        <v>1027</v>
      </c>
      <c r="N125" t="s">
        <v>486</v>
      </c>
      <c r="O125" t="s">
        <v>487</v>
      </c>
      <c r="P125" t="s">
        <v>391</v>
      </c>
      <c r="R125" s="34" t="str">
        <f>IF(Tabella4[[#This Row],[Componente]]="Documenti",_xlfn.XLOOKUP(Tabella4[[#This Row],[URL]],Tabella27[URL],Tabella27[PDF ID],,0),_xlfn.XLOOKUP(Tabella4[[#This Row],[URL]],Tabella1[URL],Tabella1[Page ID],,0))</f>
        <v>#11</v>
      </c>
      <c r="S125" s="34" t="s">
        <v>1004</v>
      </c>
      <c r="T125" s="34" t="s">
        <v>481</v>
      </c>
      <c r="V125" t="s">
        <v>484</v>
      </c>
      <c r="W125" s="34" t="s">
        <v>1066</v>
      </c>
      <c r="X125" s="34" t="str">
        <f>IFERROR(IF(Tabella4[[#This Row],[Tool]]="lighthouse",Tabella4[[#This Row],[Detail]],MID(Tabella4[[#This Row],[Detail]],1,FIND("&gt;",Tabella4[[#This Row],[Detail]]))),Tabella4[[#This Row],[Detail]])</f>
        <v>&lt;button id="assistenza-cta" class="fedbar-object offcanvas-toggle" aria-label="assistenza" aria-controls="assistenza-side" aria-expanded="false" data-menu-pnl="assistenza-default-panel" aria-haspopup="true" title="Assistenza" data-activity-linkid="header-assistenza-btn"&gt;</v>
      </c>
      <c r="Y125" s="34" t="str">
        <f>SUBSTITUTE(IF(Tabella4[[#This Row],[Tool]]="axe-core",MID(Tabella4[[#This Row],[Rejected Element]],3,LEN(Tabella4[[#This Row],[Rejected Element]])-4),Tabella4[[#This Row],[Rejected Element]]),"\","")</f>
        <v>#assistenza-cta</v>
      </c>
      <c r="Z125" s="34">
        <f>COUNTIFS(Tabella4[Detail univoco],Tabella4[[#This Row],[Detail univoco]],Tabella4[Rejected Element Univoco],Tabella4[[#This Row],[Rejected Element Univoco]],Tabella4[ItemsNodeLabel],Tabella4[[#This Row],[ItemsNodeLabel]])</f>
        <v>0</v>
      </c>
      <c r="AA125" s="34" t="str">
        <f>IF(Tabella4[[#This Row],[Componente]]="Documenti",VLOOKUP(Tabella4[[#This Row],[URL]],Tabella27[[URL]:[Servizio]],4,FALSE),VLOOKUP(Tabella4[[#This Row],[Page ID]],Tabella1[[Page ID]:[Servizio]],4,FALSE))</f>
        <v>S002 Poste Guidare Sicuri</v>
      </c>
      <c r="AB125" s="34"/>
      <c r="AC125" s="34" t="str">
        <f>Tabella4[[#This Row],[User Impact]]</f>
        <v>2 - Serious</v>
      </c>
      <c r="AD125" s="34" t="str">
        <f>Copertina!C$2&amp;" - "&amp;Tabella4[[#This Row],[UNI CEI EN 301549]]&amp;" "&amp;VLOOKUP(Tabella4[[#This Row],[Criterio]],Tabella5[[ID]:[Criterio di successo]],2,FALSE)&amp;" - "&amp;Tabella4[[#This Row],[Servizio]]&amp;":"</f>
        <v>Insurance Brocker - 9.2.5.3 Etichetta nel nome - S002 Poste Guidare Sicuri:</v>
      </c>
      <c r="AE12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S002 Poste Guidare Sicuri: (#TM0086)
S002 Poste Guidare Sicuri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https://posteinsurancebroker.poste.it/poste-guidare-sicuri/ - &lt;button id="assistenza-cta" class="fedbar-object offcanvas-toggle" aria-label="assistenza" aria-controls="assistenza-side" aria-expanded="false" data-menu-pnl="assistenza-default-panel" aria-haspopup="true" title="Assistenza" data-activity-linkid="header-assistenza-btn"&gt; con selettore: 
["#assistenza-cta"]
Dettaglio + screenshot (accedere con le seguenti credenziali: user, axeposte@gmail.com; password, Poste2024!): 
Possibile metodologia risolutiva:
Correggi uno dei seguenti problemi:
Il testo all'interno dell'elemento non è incluso nel nome accessibile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125">
        <f>_xlfn.XLOOKUP(Tabella4[[#This Row],[ID Silk]],outTable[ID Silk],outTable[Numero ticket  ],,0,1)</f>
        <v>6014</v>
      </c>
    </row>
    <row r="126" spans="1:32">
      <c r="A126" s="34" t="str">
        <f>MID(Tabella4[[#This Row],[Servizio]],1,4)&amp;Tabella4[[#This Row],[UNI CEI EN 301549]]</f>
        <v>S0029.2.5.3</v>
      </c>
      <c r="B126" s="34" t="str">
        <f>Tabella4[[#This Row],[ID Silk]]&amp;"_1"</f>
        <v>S0029.2.5.3_1</v>
      </c>
      <c r="C126" s="34" t="s">
        <v>867</v>
      </c>
      <c r="D126" s="2" t="str">
        <f>"(#"&amp;Tabella4[[#This Row],['#ID]]&amp;")"</f>
        <v>(#TM0087)</v>
      </c>
      <c r="E126" s="34" t="str">
        <f>IF(MID(Tabella4[[#This Row],['#ID]],1,1)="M","Mobile",IF(MID(Tabella4[[#This Row],['#ID]],1,1)="D","Desktop",IF(MID(Tabella4[[#This Row],['#ID]],1,2)="TM","Manuale","Documenti")))</f>
        <v>Manuale</v>
      </c>
      <c r="F126" s="34" t="s">
        <v>1005</v>
      </c>
      <c r="G126" s="34" t="s">
        <v>324</v>
      </c>
      <c r="H126" s="34" t="str">
        <f>IF(Tabella4[[#This Row],[Componente]]="Documenti","10.","9.")&amp;Tabella4[[#This Row],[Criterio]]</f>
        <v>9.2.5.3</v>
      </c>
      <c r="I126" s="34" t="s">
        <v>1023</v>
      </c>
      <c r="J126" s="34" t="s">
        <v>1024</v>
      </c>
      <c r="K126" s="34" t="s">
        <v>1025</v>
      </c>
      <c r="L126" s="34" t="s">
        <v>1026</v>
      </c>
      <c r="M126" s="34" t="s">
        <v>1027</v>
      </c>
      <c r="N126" t="s">
        <v>488</v>
      </c>
      <c r="O126" t="s">
        <v>489</v>
      </c>
      <c r="P126" t="s">
        <v>391</v>
      </c>
      <c r="R126" s="34" t="str">
        <f>IF(Tabella4[[#This Row],[Componente]]="Documenti",_xlfn.XLOOKUP(Tabella4[[#This Row],[URL]],Tabella27[URL],Tabella27[PDF ID],,0),_xlfn.XLOOKUP(Tabella4[[#This Row],[URL]],Tabella1[URL],Tabella1[Page ID],,0))</f>
        <v>#11</v>
      </c>
      <c r="S126" s="34" t="s">
        <v>1004</v>
      </c>
      <c r="T126" s="34" t="s">
        <v>481</v>
      </c>
      <c r="V126" t="s">
        <v>484</v>
      </c>
      <c r="W126" s="34" t="s">
        <v>1066</v>
      </c>
      <c r="X126" s="34" t="str">
        <f>IFERROR(IF(Tabella4[[#This Row],[Tool]]="lighthouse",Tabella4[[#This Row],[Detail]],MID(Tabella4[[#This Row],[Detail]],1,FIND("&gt;",Tabella4[[#This Row],[Detail]]))),Tabella4[[#This Row],[Detail]])</f>
        <v>&lt;button class="navbar-object offcanvas-toggle" id="mn-ctrl" type="button" aria-haspopup="true" aria-controls="menu-navigazione" aria-expanded="false" aria-label="Apre il menu di navigazione" data-activity-linkid="Btn Menu Mobile"&gt;</v>
      </c>
      <c r="Y126" s="34" t="str">
        <f>SUBSTITUTE(IF(Tabella4[[#This Row],[Tool]]="axe-core",MID(Tabella4[[#This Row],[Rejected Element]],3,LEN(Tabella4[[#This Row],[Rejected Element]])-4),Tabella4[[#This Row],[Rejected Element]]),"\","")</f>
        <v>#mn-ctrl</v>
      </c>
      <c r="Z126" s="34">
        <f>COUNTIFS(Tabella4[Detail univoco],Tabella4[[#This Row],[Detail univoco]],Tabella4[Rejected Element Univoco],Tabella4[[#This Row],[Rejected Element Univoco]],Tabella4[ItemsNodeLabel],Tabella4[[#This Row],[ItemsNodeLabel]])</f>
        <v>0</v>
      </c>
      <c r="AA126" s="34" t="str">
        <f>IF(Tabella4[[#This Row],[Componente]]="Documenti",VLOOKUP(Tabella4[[#This Row],[URL]],Tabella27[[URL]:[Servizio]],4,FALSE),VLOOKUP(Tabella4[[#This Row],[Page ID]],Tabella1[[Page ID]:[Servizio]],4,FALSE))</f>
        <v>S002 Poste Guidare Sicuri</v>
      </c>
      <c r="AB126" s="34"/>
      <c r="AC126" s="34" t="str">
        <f>Tabella4[[#This Row],[User Impact]]</f>
        <v>2 - Serious</v>
      </c>
      <c r="AD126" s="34" t="str">
        <f>Copertina!C$2&amp;" - "&amp;Tabella4[[#This Row],[UNI CEI EN 301549]]&amp;" "&amp;VLOOKUP(Tabella4[[#This Row],[Criterio]],Tabella5[[ID]:[Criterio di successo]],2,FALSE)&amp;" - "&amp;Tabella4[[#This Row],[Servizio]]&amp;":"</f>
        <v>Insurance Brocker - 9.2.5.3 Etichetta nel nome - S002 Poste Guidare Sicuri:</v>
      </c>
      <c r="AE12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S002 Poste Guidare Sicuri: (#TM0087)
S002 Poste Guidare Sicuri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https://posteinsurancebroker.poste.it/poste-guidare-sicuri/ - &lt;button class="navbar-object offcanvas-toggle" id="mn-ctrl" type="button" aria-haspopup="true" aria-controls="menu-navigazione" aria-expanded="false" aria-label="Apre il menu di navigazione" data-activity-linkid="Btn Menu Mobile"&gt; con selettore: 
["#mn-ctrl"]
Dettaglio + screenshot (accedere con le seguenti credenziali: user, axeposte@gmail.com; password, Poste2024!): 
Possibile metodologia risolutiva:
Correggi uno dei seguenti problemi:
Il testo all'interno dell'elemento non è incluso nel nome accessibile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126">
        <f>_xlfn.XLOOKUP(Tabella4[[#This Row],[ID Silk]],outTable[ID Silk],outTable[Numero ticket  ],,0,1)</f>
        <v>6014</v>
      </c>
    </row>
    <row r="127" spans="1:32">
      <c r="A127" s="34" t="str">
        <f>MID(Tabella4[[#This Row],[Servizio]],1,4)&amp;Tabella4[[#This Row],[UNI CEI EN 301549]]</f>
        <v>S0029.4.1.2</v>
      </c>
      <c r="B127" s="34" t="str">
        <f>Tabella4[[#This Row],[ID Silk]]&amp;"_1"</f>
        <v>S0029.4.1.2_1</v>
      </c>
      <c r="C127" s="34" t="s">
        <v>868</v>
      </c>
      <c r="D127" s="2" t="str">
        <f>"(#"&amp;Tabella4[[#This Row],['#ID]]&amp;")"</f>
        <v>(#TM0088)</v>
      </c>
      <c r="E127" s="34" t="str">
        <f>IF(MID(Tabella4[[#This Row],['#ID]],1,1)="M","Mobile",IF(MID(Tabella4[[#This Row],['#ID]],1,1)="D","Desktop",IF(MID(Tabella4[[#This Row],['#ID]],1,2)="TM","Manuale","Documenti")))</f>
        <v>Manuale</v>
      </c>
      <c r="F127" s="34" t="s">
        <v>1005</v>
      </c>
      <c r="G127" s="34" t="s">
        <v>368</v>
      </c>
      <c r="H127" s="34" t="str">
        <f>IF(Tabella4[[#This Row],[Componente]]="Documenti","10.","9.")&amp;Tabella4[[#This Row],[Criterio]]</f>
        <v>9.4.1.2</v>
      </c>
      <c r="I127" s="34" t="s">
        <v>1023</v>
      </c>
      <c r="J127" s="34" t="s">
        <v>1028</v>
      </c>
      <c r="K127" s="34" t="s">
        <v>1029</v>
      </c>
      <c r="L127" s="34" t="s">
        <v>1030</v>
      </c>
      <c r="M127" s="34" t="s">
        <v>1031</v>
      </c>
      <c r="N127" t="s">
        <v>592</v>
      </c>
      <c r="O127" t="s">
        <v>593</v>
      </c>
      <c r="P127" t="s">
        <v>391</v>
      </c>
      <c r="R127" s="34" t="str">
        <f>IF(Tabella4[[#This Row],[Componente]]="Documenti",_xlfn.XLOOKUP(Tabella4[[#This Row],[URL]],Tabella27[URL],Tabella27[PDF ID],,0),_xlfn.XLOOKUP(Tabella4[[#This Row],[URL]],Tabella1[URL],Tabella1[Page ID],,0))</f>
        <v>#11</v>
      </c>
      <c r="S127" s="34" t="s">
        <v>1004</v>
      </c>
      <c r="T127" s="34" t="s">
        <v>490</v>
      </c>
      <c r="V127" t="s">
        <v>492</v>
      </c>
      <c r="W127" s="34" t="s">
        <v>1067</v>
      </c>
      <c r="X127" s="34" t="str">
        <f>IFERROR(IF(Tabella4[[#This Row],[Tool]]="lighthouse",Tabella4[[#This Row],[Detail]],MID(Tabella4[[#This Row],[Detail]],1,FIND("&gt;",Tabella4[[#This Row],[Detail]]))),Tabella4[[#This Row],[Detail]])</f>
        <v>&lt;div class="content concept-b content-bg display-pop mode-dark  mb-2 mb-sm-5" id="content-abstract" style="background-image: url(https://www.media.poste.it/9436e52d-f659-4318-8742-50b60b289b54/bg/svg/conceptb-background-posteguidaresicuri@1x);" role="img" aria-label="Una mano che mette uno scudo sull'auto"&gt;</v>
      </c>
      <c r="Y127" s="34" t="str">
        <f>SUBSTITUTE(IF(Tabella4[[#This Row],[Tool]]="axe-core",MID(Tabella4[[#This Row],[Rejected Element]],3,LEN(Tabella4[[#This Row],[Rejected Element]])-4),Tabella4[[#This Row],[Rejected Element]]),"\","")</f>
        <v>#content-abstract</v>
      </c>
      <c r="Z127" s="34">
        <f>COUNTIFS(Tabella4[Detail univoco],Tabella4[[#This Row],[Detail univoco]],Tabella4[Rejected Element Univoco],Tabella4[[#This Row],[Rejected Element Univoco]],Tabella4[ItemsNodeLabel],Tabella4[[#This Row],[ItemsNodeLabel]])</f>
        <v>0</v>
      </c>
      <c r="AA127" s="34" t="str">
        <f>IF(Tabella4[[#This Row],[Componente]]="Documenti",VLOOKUP(Tabella4[[#This Row],[URL]],Tabella27[[URL]:[Servizio]],4,FALSE),VLOOKUP(Tabella4[[#This Row],[Page ID]],Tabella1[[Page ID]:[Servizio]],4,FALSE))</f>
        <v>S002 Poste Guidare Sicuri</v>
      </c>
      <c r="AB127" s="34"/>
      <c r="AC127" s="34" t="str">
        <f>Tabella4[[#This Row],[User Impact]]</f>
        <v>2 - Serious</v>
      </c>
      <c r="AD127" s="34" t="str">
        <f>Copertina!C$2&amp;" - "&amp;Tabella4[[#This Row],[UNI CEI EN 301549]]&amp;" "&amp;VLOOKUP(Tabella4[[#This Row],[Criterio]],Tabella5[[ID]:[Criterio di successo]],2,FALSE)&amp;" - "&amp;Tabella4[[#This Row],[Servizio]]&amp;":"</f>
        <v>Insurance Brocker - 9.4.1.2 Nome, ruolo, valore - S002 Poste Guidare Sicuri:</v>
      </c>
      <c r="AE12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(#TM0088)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class="content concept-b content-bg display-pop mode-dark  mb-2 mb-sm-5" id="content-abstract" style="background-image: url(https://www.media.poste.it/9436e52d-f659-4318-8742-50b60b289b54/bg/svg/conceptb-background-posteguidaresicuri@1x);" role="img" aria-label="Una mano che mette uno scudo sull'auto"&gt; con selettore: 
["#content-abstract"]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27">
        <f>_xlfn.XLOOKUP(Tabella4[[#This Row],[ID Silk]],outTable[ID Silk],outTable[Numero ticket  ],,0,1)</f>
        <v>6016</v>
      </c>
    </row>
    <row r="128" spans="1:32">
      <c r="A128" s="34" t="str">
        <f>MID(Tabella4[[#This Row],[Servizio]],1,4)&amp;Tabella4[[#This Row],[UNI CEI EN 301549]]</f>
        <v>S0029.4.1.2</v>
      </c>
      <c r="B128" s="34" t="str">
        <f>Tabella4[[#This Row],[ID Silk]]&amp;"_1"</f>
        <v>S0029.4.1.2_1</v>
      </c>
      <c r="C128" s="34" t="s">
        <v>869</v>
      </c>
      <c r="D128" s="2" t="str">
        <f>"(#"&amp;Tabella4[[#This Row],['#ID]]&amp;")"</f>
        <v>(#TM0089)</v>
      </c>
      <c r="E128" s="34" t="str">
        <f>IF(MID(Tabella4[[#This Row],['#ID]],1,1)="M","Mobile",IF(MID(Tabella4[[#This Row],['#ID]],1,1)="D","Desktop",IF(MID(Tabella4[[#This Row],['#ID]],1,2)="TM","Manuale","Documenti")))</f>
        <v>Manuale</v>
      </c>
      <c r="F128" s="34" t="s">
        <v>1005</v>
      </c>
      <c r="G128" s="34" t="s">
        <v>368</v>
      </c>
      <c r="H128" s="34" t="str">
        <f>IF(Tabella4[[#This Row],[Componente]]="Documenti","10.","9.")&amp;Tabella4[[#This Row],[Criterio]]</f>
        <v>9.4.1.2</v>
      </c>
      <c r="I128" s="34" t="s">
        <v>1023</v>
      </c>
      <c r="J128" s="34" t="s">
        <v>1028</v>
      </c>
      <c r="K128" s="34" t="s">
        <v>1029</v>
      </c>
      <c r="L128" s="34" t="s">
        <v>1030</v>
      </c>
      <c r="M128" s="34" t="s">
        <v>1031</v>
      </c>
      <c r="N128" t="s">
        <v>594</v>
      </c>
      <c r="O128" t="s">
        <v>595</v>
      </c>
      <c r="P128" t="s">
        <v>391</v>
      </c>
      <c r="R128" s="34" t="str">
        <f>IF(Tabella4[[#This Row],[Componente]]="Documenti",_xlfn.XLOOKUP(Tabella4[[#This Row],[URL]],Tabella27[URL],Tabella27[PDF ID],,0),_xlfn.XLOOKUP(Tabella4[[#This Row],[URL]],Tabella1[URL],Tabella1[Page ID],,0))</f>
        <v>#11</v>
      </c>
      <c r="S128" s="34" t="s">
        <v>1004</v>
      </c>
      <c r="T128" s="34" t="s">
        <v>490</v>
      </c>
      <c r="V128" t="s">
        <v>492</v>
      </c>
      <c r="W128" s="34" t="s">
        <v>1067</v>
      </c>
      <c r="X128"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id="heading-item-posteinsurancebrokerposteinsurancebroker-moduliposte-guidare-sicuri-accordion-gestione-polizzainstallazione-dispositivo-satellitare-0-0"&gt;</v>
      </c>
      <c r="Y128" s="34" t="str">
        <f>SUBSTITUTE(IF(Tabella4[[#This Row],[Tool]]="axe-core",MID(Tabella4[[#This Row],[Rejected Element]],3,LEN(Tabella4[[#This Row],[Rejected Element]])-4),Tabella4[[#This Row],[Rejected Element]]),"\","")</f>
        <v>#heading-item-posteinsurancebrokerposteinsurancebroker-moduliposte-guidare-sicuri-accordion-gestione-polizzainstallazione-dispositivo-satellitare-0-0</v>
      </c>
      <c r="Z128" s="34">
        <f>COUNTIFS(Tabella4[Detail univoco],Tabella4[[#This Row],[Detail univoco]],Tabella4[Rejected Element Univoco],Tabella4[[#This Row],[Rejected Element Univoco]],Tabella4[ItemsNodeLabel],Tabella4[[#This Row],[ItemsNodeLabel]])</f>
        <v>0</v>
      </c>
      <c r="AA128" s="34" t="str">
        <f>IF(Tabella4[[#This Row],[Componente]]="Documenti",VLOOKUP(Tabella4[[#This Row],[URL]],Tabella27[[URL]:[Servizio]],4,FALSE),VLOOKUP(Tabella4[[#This Row],[Page ID]],Tabella1[[Page ID]:[Servizio]],4,FALSE))</f>
        <v>S002 Poste Guidare Sicuri</v>
      </c>
      <c r="AB128" s="34"/>
      <c r="AC128" s="34" t="str">
        <f>Tabella4[[#This Row],[User Impact]]</f>
        <v>2 - Serious</v>
      </c>
      <c r="AD128" s="34" t="str">
        <f>Copertina!C$2&amp;" - "&amp;Tabella4[[#This Row],[UNI CEI EN 301549]]&amp;" "&amp;VLOOKUP(Tabella4[[#This Row],[Criterio]],Tabella5[[ID]:[Criterio di successo]],2,FALSE)&amp;" - "&amp;Tabella4[[#This Row],[Servizio]]&amp;":"</f>
        <v>Insurance Brocker - 9.4.1.2 Nome, ruolo, valore - S002 Poste Guidare Sicuri:</v>
      </c>
      <c r="AE12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(#TM0089)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id="heading-item-posteinsurancebrokerposteinsurancebroker-moduliposte-guidare-sicuri-accordion-gestione-polizzainstallazione-dispositivo-satellitare-0-0"&gt; con selettore: 
["#heading-item-posteinsurancebrokerposteinsurancebroker-moduliposte-guidare-sicuri-accordion-gestione-polizzainstallazione-dispositivo-satellitare-0-0"]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28">
        <f>_xlfn.XLOOKUP(Tabella4[[#This Row],[ID Silk]],outTable[ID Silk],outTable[Numero ticket  ],,0,1)</f>
        <v>6016</v>
      </c>
    </row>
    <row r="129" spans="1:32">
      <c r="A129" s="34" t="str">
        <f>MID(Tabella4[[#This Row],[Servizio]],1,4)&amp;Tabella4[[#This Row],[UNI CEI EN 301549]]</f>
        <v>S0029.4.1.2</v>
      </c>
      <c r="B129" s="34" t="str">
        <f>Tabella4[[#This Row],[ID Silk]]&amp;"_1"</f>
        <v>S0029.4.1.2_1</v>
      </c>
      <c r="C129" s="34" t="s">
        <v>870</v>
      </c>
      <c r="D129" s="2" t="str">
        <f>"(#"&amp;Tabella4[[#This Row],['#ID]]&amp;")"</f>
        <v>(#TM0090)</v>
      </c>
      <c r="E129" s="34" t="str">
        <f>IF(MID(Tabella4[[#This Row],['#ID]],1,1)="M","Mobile",IF(MID(Tabella4[[#This Row],['#ID]],1,1)="D","Desktop",IF(MID(Tabella4[[#This Row],['#ID]],1,2)="TM","Manuale","Documenti")))</f>
        <v>Manuale</v>
      </c>
      <c r="F129" s="34" t="s">
        <v>1005</v>
      </c>
      <c r="G129" s="34" t="s">
        <v>368</v>
      </c>
      <c r="H129" s="34" t="str">
        <f>IF(Tabella4[[#This Row],[Componente]]="Documenti","10.","9.")&amp;Tabella4[[#This Row],[Criterio]]</f>
        <v>9.4.1.2</v>
      </c>
      <c r="I129" s="34" t="s">
        <v>1023</v>
      </c>
      <c r="J129" s="34" t="s">
        <v>1028</v>
      </c>
      <c r="K129" s="34" t="s">
        <v>1029</v>
      </c>
      <c r="L129" s="34" t="s">
        <v>1030</v>
      </c>
      <c r="M129" s="34" t="s">
        <v>1031</v>
      </c>
      <c r="N129" t="s">
        <v>596</v>
      </c>
      <c r="O129" t="s">
        <v>597</v>
      </c>
      <c r="P129" t="s">
        <v>391</v>
      </c>
      <c r="R129" s="34" t="str">
        <f>IF(Tabella4[[#This Row],[Componente]]="Documenti",_xlfn.XLOOKUP(Tabella4[[#This Row],[URL]],Tabella27[URL],Tabella27[PDF ID],,0),_xlfn.XLOOKUP(Tabella4[[#This Row],[URL]],Tabella1[URL],Tabella1[Page ID],,0))</f>
        <v>#11</v>
      </c>
      <c r="S129" s="34" t="s">
        <v>1004</v>
      </c>
      <c r="T129" s="34" t="s">
        <v>490</v>
      </c>
      <c r="V129" t="s">
        <v>492</v>
      </c>
      <c r="W129" s="34" t="s">
        <v>1067</v>
      </c>
      <c r="X129"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id="heading-item-posteinsurancebrokerposteinsurancebroker-moduliposte-guidare-sicuri-accordion-gestione-polizzaassistenza-installazione-dispositivo-satellitare-1-1"&gt;</v>
      </c>
      <c r="Y129" s="34" t="str">
        <f>SUBSTITUTE(IF(Tabella4[[#This Row],[Tool]]="axe-core",MID(Tabella4[[#This Row],[Rejected Element]],3,LEN(Tabella4[[#This Row],[Rejected Element]])-4),Tabella4[[#This Row],[Rejected Element]]),"\","")</f>
        <v>#heading-item-posteinsurancebrokerposteinsurancebroker-moduliposte-guidare-sicuri-accordion-gestione-polizzaassistenza-installazione-dispositivo-satellitare-1-1</v>
      </c>
      <c r="Z129" s="34">
        <f>COUNTIFS(Tabella4[Detail univoco],Tabella4[[#This Row],[Detail univoco]],Tabella4[Rejected Element Univoco],Tabella4[[#This Row],[Rejected Element Univoco]],Tabella4[ItemsNodeLabel],Tabella4[[#This Row],[ItemsNodeLabel]])</f>
        <v>0</v>
      </c>
      <c r="AA129" s="34" t="str">
        <f>IF(Tabella4[[#This Row],[Componente]]="Documenti",VLOOKUP(Tabella4[[#This Row],[URL]],Tabella27[[URL]:[Servizio]],4,FALSE),VLOOKUP(Tabella4[[#This Row],[Page ID]],Tabella1[[Page ID]:[Servizio]],4,FALSE))</f>
        <v>S002 Poste Guidare Sicuri</v>
      </c>
      <c r="AB129" s="34"/>
      <c r="AC129" s="34" t="str">
        <f>Tabella4[[#This Row],[User Impact]]</f>
        <v>2 - Serious</v>
      </c>
      <c r="AD129" s="34" t="str">
        <f>Copertina!C$2&amp;" - "&amp;Tabella4[[#This Row],[UNI CEI EN 301549]]&amp;" "&amp;VLOOKUP(Tabella4[[#This Row],[Criterio]],Tabella5[[ID]:[Criterio di successo]],2,FALSE)&amp;" - "&amp;Tabella4[[#This Row],[Servizio]]&amp;":"</f>
        <v>Insurance Brocker - 9.4.1.2 Nome, ruolo, valore - S002 Poste Guidare Sicuri:</v>
      </c>
      <c r="AE12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(#TM0090)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id="heading-item-posteinsurancebrokerposteinsurancebroker-moduliposte-guidare-sicuri-accordion-gestione-polizzaassistenza-installazione-dispositivo-satellitare-1-1"&gt; con selettore: 
["#heading-item-posteinsurancebrokerposteinsurancebroker-moduliposte-guidare-sicuri-accordion-gestione-polizzaassistenza-installazione-dispositivo-satellitare-1-1"]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29">
        <f>_xlfn.XLOOKUP(Tabella4[[#This Row],[ID Silk]],outTable[ID Silk],outTable[Numero ticket  ],,0,1)</f>
        <v>6016</v>
      </c>
    </row>
    <row r="130" spans="1:32">
      <c r="A130" s="34" t="str">
        <f>MID(Tabella4[[#This Row],[Servizio]],1,4)&amp;Tabella4[[#This Row],[UNI CEI EN 301549]]</f>
        <v>S0029.4.1.2</v>
      </c>
      <c r="B130" s="34" t="str">
        <f>Tabella4[[#This Row],[ID Silk]]&amp;"_1"</f>
        <v>S0029.4.1.2_1</v>
      </c>
      <c r="C130" s="34" t="s">
        <v>871</v>
      </c>
      <c r="D130" s="2" t="str">
        <f>"(#"&amp;Tabella4[[#This Row],['#ID]]&amp;")"</f>
        <v>(#TM0091)</v>
      </c>
      <c r="E130" s="34" t="str">
        <f>IF(MID(Tabella4[[#This Row],['#ID]],1,1)="M","Mobile",IF(MID(Tabella4[[#This Row],['#ID]],1,1)="D","Desktop",IF(MID(Tabella4[[#This Row],['#ID]],1,2)="TM","Manuale","Documenti")))</f>
        <v>Manuale</v>
      </c>
      <c r="F130" s="34" t="s">
        <v>1005</v>
      </c>
      <c r="G130" s="34" t="s">
        <v>368</v>
      </c>
      <c r="H130" s="34" t="str">
        <f>IF(Tabella4[[#This Row],[Componente]]="Documenti","10.","9.")&amp;Tabella4[[#This Row],[Criterio]]</f>
        <v>9.4.1.2</v>
      </c>
      <c r="I130" s="34" t="s">
        <v>1023</v>
      </c>
      <c r="J130" s="34" t="s">
        <v>1028</v>
      </c>
      <c r="K130" s="34" t="s">
        <v>1029</v>
      </c>
      <c r="L130" s="34" t="s">
        <v>1030</v>
      </c>
      <c r="M130" s="34" t="s">
        <v>1031</v>
      </c>
      <c r="N130" t="s">
        <v>598</v>
      </c>
      <c r="O130" t="s">
        <v>599</v>
      </c>
      <c r="P130" t="s">
        <v>391</v>
      </c>
      <c r="R130" s="34" t="str">
        <f>IF(Tabella4[[#This Row],[Componente]]="Documenti",_xlfn.XLOOKUP(Tabella4[[#This Row],[URL]],Tabella27[URL],Tabella27[PDF ID],,0),_xlfn.XLOOKUP(Tabella4[[#This Row],[URL]],Tabella1[URL],Tabella1[Page ID],,0))</f>
        <v>#11</v>
      </c>
      <c r="S130" s="34" t="s">
        <v>1004</v>
      </c>
      <c r="T130" s="34" t="s">
        <v>490</v>
      </c>
      <c r="V130" t="s">
        <v>492</v>
      </c>
      <c r="W130" s="34" t="s">
        <v>1067</v>
      </c>
      <c r="X130"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id="heading-item-posteinsurancebrokerposteinsurancebroker-moduliposte-guidare-sicuri-accordion-gestione-polizzaapp-utilizzo-servizi-dispositivo-satellitare-2-2"&gt;</v>
      </c>
      <c r="Y130" s="34" t="str">
        <f>SUBSTITUTE(IF(Tabella4[[#This Row],[Tool]]="axe-core",MID(Tabella4[[#This Row],[Rejected Element]],3,LEN(Tabella4[[#This Row],[Rejected Element]])-4),Tabella4[[#This Row],[Rejected Element]]),"\","")</f>
        <v>#heading-item-posteinsurancebrokerposteinsurancebroker-moduliposte-guidare-sicuri-accordion-gestione-polizzaapp-utilizzo-servizi-dispositivo-satellitare-2-2</v>
      </c>
      <c r="Z130" s="34">
        <f>COUNTIFS(Tabella4[Detail univoco],Tabella4[[#This Row],[Detail univoco]],Tabella4[Rejected Element Univoco],Tabella4[[#This Row],[Rejected Element Univoco]],Tabella4[ItemsNodeLabel],Tabella4[[#This Row],[ItemsNodeLabel]])</f>
        <v>0</v>
      </c>
      <c r="AA130" s="34" t="str">
        <f>IF(Tabella4[[#This Row],[Componente]]="Documenti",VLOOKUP(Tabella4[[#This Row],[URL]],Tabella27[[URL]:[Servizio]],4,FALSE),VLOOKUP(Tabella4[[#This Row],[Page ID]],Tabella1[[Page ID]:[Servizio]],4,FALSE))</f>
        <v>S002 Poste Guidare Sicuri</v>
      </c>
      <c r="AB130" s="34"/>
      <c r="AC130" s="34" t="str">
        <f>Tabella4[[#This Row],[User Impact]]</f>
        <v>2 - Serious</v>
      </c>
      <c r="AD130" s="34" t="str">
        <f>Copertina!C$2&amp;" - "&amp;Tabella4[[#This Row],[UNI CEI EN 301549]]&amp;" "&amp;VLOOKUP(Tabella4[[#This Row],[Criterio]],Tabella5[[ID]:[Criterio di successo]],2,FALSE)&amp;" - "&amp;Tabella4[[#This Row],[Servizio]]&amp;":"</f>
        <v>Insurance Brocker - 9.4.1.2 Nome, ruolo, valore - S002 Poste Guidare Sicuri:</v>
      </c>
      <c r="AE13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(#TM0091)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id="heading-item-posteinsurancebrokerposteinsurancebroker-moduliposte-guidare-sicuri-accordion-gestione-polizzaapp-utilizzo-servizi-dispositivo-satellitare-2-2"&gt; con selettore: 
["#heading-item-posteinsurancebrokerposteinsurancebroker-moduliposte-guidare-sicuri-accordion-gestione-polizzaapp-utilizzo-servizi-dispositivo-satellitare-2-2"]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30">
        <f>_xlfn.XLOOKUP(Tabella4[[#This Row],[ID Silk]],outTable[ID Silk],outTable[Numero ticket  ],,0,1)</f>
        <v>6016</v>
      </c>
    </row>
    <row r="131" spans="1:32">
      <c r="A131" s="34" t="str">
        <f>MID(Tabella4[[#This Row],[Servizio]],1,4)&amp;Tabella4[[#This Row],[UNI CEI EN 301549]]</f>
        <v>S0029.4.1.2</v>
      </c>
      <c r="B131" s="34" t="str">
        <f>Tabella4[[#This Row],[ID Silk]]&amp;"_1"</f>
        <v>S0029.4.1.2_1</v>
      </c>
      <c r="C131" s="34" t="s">
        <v>872</v>
      </c>
      <c r="D131" s="2" t="str">
        <f>"(#"&amp;Tabella4[[#This Row],['#ID]]&amp;")"</f>
        <v>(#TM0092)</v>
      </c>
      <c r="E131" s="34" t="str">
        <f>IF(MID(Tabella4[[#This Row],['#ID]],1,1)="M","Mobile",IF(MID(Tabella4[[#This Row],['#ID]],1,1)="D","Desktop",IF(MID(Tabella4[[#This Row],['#ID]],1,2)="TM","Manuale","Documenti")))</f>
        <v>Manuale</v>
      </c>
      <c r="F131" s="34" t="s">
        <v>1005</v>
      </c>
      <c r="G131" s="34" t="s">
        <v>368</v>
      </c>
      <c r="H131" s="34" t="str">
        <f>IF(Tabella4[[#This Row],[Componente]]="Documenti","10.","9.")&amp;Tabella4[[#This Row],[Criterio]]</f>
        <v>9.4.1.2</v>
      </c>
      <c r="I131" s="34" t="s">
        <v>1023</v>
      </c>
      <c r="J131" s="34" t="s">
        <v>1028</v>
      </c>
      <c r="K131" s="34" t="s">
        <v>1029</v>
      </c>
      <c r="L131" s="34" t="s">
        <v>1030</v>
      </c>
      <c r="M131" s="34" t="s">
        <v>1031</v>
      </c>
      <c r="N131" t="s">
        <v>600</v>
      </c>
      <c r="O131" t="s">
        <v>601</v>
      </c>
      <c r="P131" t="s">
        <v>391</v>
      </c>
      <c r="R131" s="34" t="str">
        <f>IF(Tabella4[[#This Row],[Componente]]="Documenti",_xlfn.XLOOKUP(Tabella4[[#This Row],[URL]],Tabella27[URL],Tabella27[PDF ID],,0),_xlfn.XLOOKUP(Tabella4[[#This Row],[URL]],Tabella1[URL],Tabella1[Page ID],,0))</f>
        <v>#11</v>
      </c>
      <c r="S131" s="34" t="s">
        <v>1004</v>
      </c>
      <c r="T131" s="34" t="s">
        <v>490</v>
      </c>
      <c r="V131" t="s">
        <v>492</v>
      </c>
      <c r="W131" s="34" t="s">
        <v>1067</v>
      </c>
      <c r="X131"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id="heading-item-posteinsurancebrokerposteinsurancebroker-moduliposte-guidare-sicuri-accordion-gestione-polizzapagamento-seconda-rata-semestrale-3-3"&gt;</v>
      </c>
      <c r="Y131" s="34" t="str">
        <f>SUBSTITUTE(IF(Tabella4[[#This Row],[Tool]]="axe-core",MID(Tabella4[[#This Row],[Rejected Element]],3,LEN(Tabella4[[#This Row],[Rejected Element]])-4),Tabella4[[#This Row],[Rejected Element]]),"\","")</f>
        <v>#heading-item-posteinsurancebrokerposteinsurancebroker-moduliposte-guidare-sicuri-accordion-gestione-polizzapagamento-seconda-rata-semestrale-3-3</v>
      </c>
      <c r="Z131" s="34">
        <f>COUNTIFS(Tabella4[Detail univoco],Tabella4[[#This Row],[Detail univoco]],Tabella4[Rejected Element Univoco],Tabella4[[#This Row],[Rejected Element Univoco]],Tabella4[ItemsNodeLabel],Tabella4[[#This Row],[ItemsNodeLabel]])</f>
        <v>0</v>
      </c>
      <c r="AA131" s="34" t="str">
        <f>IF(Tabella4[[#This Row],[Componente]]="Documenti",VLOOKUP(Tabella4[[#This Row],[URL]],Tabella27[[URL]:[Servizio]],4,FALSE),VLOOKUP(Tabella4[[#This Row],[Page ID]],Tabella1[[Page ID]:[Servizio]],4,FALSE))</f>
        <v>S002 Poste Guidare Sicuri</v>
      </c>
      <c r="AB131" s="34"/>
      <c r="AC131" s="34" t="str">
        <f>Tabella4[[#This Row],[User Impact]]</f>
        <v>2 - Serious</v>
      </c>
      <c r="AD131" s="34" t="str">
        <f>Copertina!C$2&amp;" - "&amp;Tabella4[[#This Row],[UNI CEI EN 301549]]&amp;" "&amp;VLOOKUP(Tabella4[[#This Row],[Criterio]],Tabella5[[ID]:[Criterio di successo]],2,FALSE)&amp;" - "&amp;Tabella4[[#This Row],[Servizio]]&amp;":"</f>
        <v>Insurance Brocker - 9.4.1.2 Nome, ruolo, valore - S002 Poste Guidare Sicuri:</v>
      </c>
      <c r="AE13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(#TM0092)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id="heading-item-posteinsurancebrokerposteinsurancebroker-moduliposte-guidare-sicuri-accordion-gestione-polizzapagamento-seconda-rata-semestrale-3-3"&gt; con selettore: 
["#heading-item-posteinsurancebrokerposteinsurancebroker-moduliposte-guidare-sicuri-accordion-gestione-polizzapagamento-seconda-rata-semestrale-3-3"]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31">
        <f>_xlfn.XLOOKUP(Tabella4[[#This Row],[ID Silk]],outTable[ID Silk],outTable[Numero ticket  ],,0,1)</f>
        <v>6016</v>
      </c>
    </row>
    <row r="132" spans="1:32">
      <c r="A132" s="34" t="str">
        <f>MID(Tabella4[[#This Row],[Servizio]],1,4)&amp;Tabella4[[#This Row],[UNI CEI EN 301549]]</f>
        <v>S0029.4.1.2</v>
      </c>
      <c r="B132" s="34" t="str">
        <f>Tabella4[[#This Row],[ID Silk]]&amp;"_1"</f>
        <v>S0029.4.1.2_1</v>
      </c>
      <c r="C132" s="34" t="s">
        <v>873</v>
      </c>
      <c r="D132" s="2" t="str">
        <f>"(#"&amp;Tabella4[[#This Row],['#ID]]&amp;")"</f>
        <v>(#TM0093)</v>
      </c>
      <c r="E132" s="34" t="str">
        <f>IF(MID(Tabella4[[#This Row],['#ID]],1,1)="M","Mobile",IF(MID(Tabella4[[#This Row],['#ID]],1,1)="D","Desktop",IF(MID(Tabella4[[#This Row],['#ID]],1,2)="TM","Manuale","Documenti")))</f>
        <v>Manuale</v>
      </c>
      <c r="F132" s="34" t="s">
        <v>1005</v>
      </c>
      <c r="G132" s="34" t="s">
        <v>368</v>
      </c>
      <c r="H132" s="34" t="str">
        <f>IF(Tabella4[[#This Row],[Componente]]="Documenti","10.","9.")&amp;Tabella4[[#This Row],[Criterio]]</f>
        <v>9.4.1.2</v>
      </c>
      <c r="I132" s="34" t="s">
        <v>1023</v>
      </c>
      <c r="J132" s="34" t="s">
        <v>1028</v>
      </c>
      <c r="K132" s="34" t="s">
        <v>1029</v>
      </c>
      <c r="L132" s="34" t="s">
        <v>1030</v>
      </c>
      <c r="M132" s="34" t="s">
        <v>1031</v>
      </c>
      <c r="N132" t="s">
        <v>602</v>
      </c>
      <c r="O132" t="s">
        <v>603</v>
      </c>
      <c r="P132" t="s">
        <v>391</v>
      </c>
      <c r="R132" s="34" t="str">
        <f>IF(Tabella4[[#This Row],[Componente]]="Documenti",_xlfn.XLOOKUP(Tabella4[[#This Row],[URL]],Tabella27[URL],Tabella27[PDF ID],,0),_xlfn.XLOOKUP(Tabella4[[#This Row],[URL]],Tabella1[URL],Tabella1[Page ID],,0))</f>
        <v>#11</v>
      </c>
      <c r="S132" s="34" t="s">
        <v>1004</v>
      </c>
      <c r="T132" s="34" t="s">
        <v>490</v>
      </c>
      <c r="V132" t="s">
        <v>492</v>
      </c>
      <c r="W132" s="34" t="s">
        <v>1067</v>
      </c>
      <c r="X132"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id="heading-item-posteinsurancebrokerposteinsurancebroker-moduliposte-guidare-sicuri-accordion-gestione-polizzasinistri-4-4"&gt;</v>
      </c>
      <c r="Y132" s="34" t="str">
        <f>SUBSTITUTE(IF(Tabella4[[#This Row],[Tool]]="axe-core",MID(Tabella4[[#This Row],[Rejected Element]],3,LEN(Tabella4[[#This Row],[Rejected Element]])-4),Tabella4[[#This Row],[Rejected Element]]),"\","")</f>
        <v>#heading-item-posteinsurancebrokerposteinsurancebroker-moduliposte-guidare-sicuri-accordion-gestione-polizzasinistri-4-4</v>
      </c>
      <c r="Z132" s="34">
        <f>COUNTIFS(Tabella4[Detail univoco],Tabella4[[#This Row],[Detail univoco]],Tabella4[Rejected Element Univoco],Tabella4[[#This Row],[Rejected Element Univoco]],Tabella4[ItemsNodeLabel],Tabella4[[#This Row],[ItemsNodeLabel]])</f>
        <v>0</v>
      </c>
      <c r="AA132" s="34" t="str">
        <f>IF(Tabella4[[#This Row],[Componente]]="Documenti",VLOOKUP(Tabella4[[#This Row],[URL]],Tabella27[[URL]:[Servizio]],4,FALSE),VLOOKUP(Tabella4[[#This Row],[Page ID]],Tabella1[[Page ID]:[Servizio]],4,FALSE))</f>
        <v>S002 Poste Guidare Sicuri</v>
      </c>
      <c r="AB132" s="34"/>
      <c r="AC132" s="34" t="str">
        <f>Tabella4[[#This Row],[User Impact]]</f>
        <v>2 - Serious</v>
      </c>
      <c r="AD132" s="34" t="str">
        <f>Copertina!C$2&amp;" - "&amp;Tabella4[[#This Row],[UNI CEI EN 301549]]&amp;" "&amp;VLOOKUP(Tabella4[[#This Row],[Criterio]],Tabella5[[ID]:[Criterio di successo]],2,FALSE)&amp;" - "&amp;Tabella4[[#This Row],[Servizio]]&amp;":"</f>
        <v>Insurance Brocker - 9.4.1.2 Nome, ruolo, valore - S002 Poste Guidare Sicuri:</v>
      </c>
      <c r="AE13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(#TM0093)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id="heading-item-posteinsurancebrokerposteinsurancebroker-moduliposte-guidare-sicuri-accordion-gestione-polizzasinistri-4-4"&gt; con selettore: 
["#heading-item-posteinsurancebrokerposteinsurancebroker-moduliposte-guidare-sicuri-accordion-gestione-polizzasinistri-4-4"]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32">
        <f>_xlfn.XLOOKUP(Tabella4[[#This Row],[ID Silk]],outTable[ID Silk],outTable[Numero ticket  ],,0,1)</f>
        <v>6016</v>
      </c>
    </row>
    <row r="133" spans="1:32">
      <c r="A133" s="34" t="str">
        <f>MID(Tabella4[[#This Row],[Servizio]],1,4)&amp;Tabella4[[#This Row],[UNI CEI EN 301549]]</f>
        <v>S0029.4.1.2</v>
      </c>
      <c r="B133" s="34" t="str">
        <f>Tabella4[[#This Row],[ID Silk]]&amp;"_1"</f>
        <v>S0029.4.1.2_1</v>
      </c>
      <c r="C133" s="34" t="s">
        <v>874</v>
      </c>
      <c r="D133" s="2" t="str">
        <f>"(#"&amp;Tabella4[[#This Row],['#ID]]&amp;")"</f>
        <v>(#TM0094)</v>
      </c>
      <c r="E133" s="34" t="str">
        <f>IF(MID(Tabella4[[#This Row],['#ID]],1,1)="M","Mobile",IF(MID(Tabella4[[#This Row],['#ID]],1,1)="D","Desktop",IF(MID(Tabella4[[#This Row],['#ID]],1,2)="TM","Manuale","Documenti")))</f>
        <v>Manuale</v>
      </c>
      <c r="F133" s="34" t="s">
        <v>1005</v>
      </c>
      <c r="G133" s="34" t="s">
        <v>368</v>
      </c>
      <c r="H133" s="34" t="str">
        <f>IF(Tabella4[[#This Row],[Componente]]="Documenti","10.","9.")&amp;Tabella4[[#This Row],[Criterio]]</f>
        <v>9.4.1.2</v>
      </c>
      <c r="I133" s="34" t="s">
        <v>1023</v>
      </c>
      <c r="J133" s="34" t="s">
        <v>1028</v>
      </c>
      <c r="K133" s="34" t="s">
        <v>1029</v>
      </c>
      <c r="L133" s="34" t="s">
        <v>1030</v>
      </c>
      <c r="M133" s="34" t="s">
        <v>1031</v>
      </c>
      <c r="N133" t="s">
        <v>604</v>
      </c>
      <c r="O133" t="s">
        <v>605</v>
      </c>
      <c r="P133" t="s">
        <v>391</v>
      </c>
      <c r="R133" s="34" t="str">
        <f>IF(Tabella4[[#This Row],[Componente]]="Documenti",_xlfn.XLOOKUP(Tabella4[[#This Row],[URL]],Tabella27[URL],Tabella27[PDF ID],,0),_xlfn.XLOOKUP(Tabella4[[#This Row],[URL]],Tabella1[URL],Tabella1[Page ID],,0))</f>
        <v>#11</v>
      </c>
      <c r="S133" s="34" t="s">
        <v>1004</v>
      </c>
      <c r="T133" s="34" t="s">
        <v>490</v>
      </c>
      <c r="V133" t="s">
        <v>492</v>
      </c>
      <c r="W133" s="34" t="s">
        <v>1067</v>
      </c>
      <c r="X133"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id="heading-item-posteinsurancebrokerposteinsurancebroker-moduliposte-guidare-sicuri-accordion-gestione-polizzaassistenza-stradale-5-5"&gt;</v>
      </c>
      <c r="Y133" s="34" t="str">
        <f>SUBSTITUTE(IF(Tabella4[[#This Row],[Tool]]="axe-core",MID(Tabella4[[#This Row],[Rejected Element]],3,LEN(Tabella4[[#This Row],[Rejected Element]])-4),Tabella4[[#This Row],[Rejected Element]]),"\","")</f>
        <v>#heading-item-posteinsurancebrokerposteinsurancebroker-moduliposte-guidare-sicuri-accordion-gestione-polizzaassistenza-stradale-5-5</v>
      </c>
      <c r="Z133" s="34">
        <f>COUNTIFS(Tabella4[Detail univoco],Tabella4[[#This Row],[Detail univoco]],Tabella4[Rejected Element Univoco],Tabella4[[#This Row],[Rejected Element Univoco]],Tabella4[ItemsNodeLabel],Tabella4[[#This Row],[ItemsNodeLabel]])</f>
        <v>0</v>
      </c>
      <c r="AA133" s="34" t="str">
        <f>IF(Tabella4[[#This Row],[Componente]]="Documenti",VLOOKUP(Tabella4[[#This Row],[URL]],Tabella27[[URL]:[Servizio]],4,FALSE),VLOOKUP(Tabella4[[#This Row],[Page ID]],Tabella1[[Page ID]:[Servizio]],4,FALSE))</f>
        <v>S002 Poste Guidare Sicuri</v>
      </c>
      <c r="AB133" s="34"/>
      <c r="AC133" s="34" t="str">
        <f>Tabella4[[#This Row],[User Impact]]</f>
        <v>2 - Serious</v>
      </c>
      <c r="AD133" s="34" t="str">
        <f>Copertina!C$2&amp;" - "&amp;Tabella4[[#This Row],[UNI CEI EN 301549]]&amp;" "&amp;VLOOKUP(Tabella4[[#This Row],[Criterio]],Tabella5[[ID]:[Criterio di successo]],2,FALSE)&amp;" - "&amp;Tabella4[[#This Row],[Servizio]]&amp;":"</f>
        <v>Insurance Brocker - 9.4.1.2 Nome, ruolo, valore - S002 Poste Guidare Sicuri:</v>
      </c>
      <c r="AE13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(#TM0094)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id="heading-item-posteinsurancebrokerposteinsurancebroker-moduliposte-guidare-sicuri-accordion-gestione-polizzaassistenza-stradale-5-5"&gt; con selettore: 
["#heading-item-posteinsurancebrokerposteinsurancebroker-moduliposte-guidare-sicuri-accordion-gestione-polizzaassistenza-stradale-5-5"]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33">
        <f>_xlfn.XLOOKUP(Tabella4[[#This Row],[ID Silk]],outTable[ID Silk],outTable[Numero ticket  ],,0,1)</f>
        <v>6016</v>
      </c>
    </row>
    <row r="134" spans="1:32">
      <c r="A134" s="34" t="str">
        <f>MID(Tabella4[[#This Row],[Servizio]],1,4)&amp;Tabella4[[#This Row],[UNI CEI EN 301549]]</f>
        <v>S0029.4.1.2</v>
      </c>
      <c r="B134" s="34" t="str">
        <f>Tabella4[[#This Row],[ID Silk]]&amp;"_1"</f>
        <v>S0029.4.1.2_1</v>
      </c>
      <c r="C134" s="34" t="s">
        <v>875</v>
      </c>
      <c r="D134" s="2" t="str">
        <f>"(#"&amp;Tabella4[[#This Row],['#ID]]&amp;")"</f>
        <v>(#TM0095)</v>
      </c>
      <c r="E134" s="34" t="str">
        <f>IF(MID(Tabella4[[#This Row],['#ID]],1,1)="M","Mobile",IF(MID(Tabella4[[#This Row],['#ID]],1,1)="D","Desktop",IF(MID(Tabella4[[#This Row],['#ID]],1,2)="TM","Manuale","Documenti")))</f>
        <v>Manuale</v>
      </c>
      <c r="F134" s="34" t="s">
        <v>1005</v>
      </c>
      <c r="G134" s="34" t="s">
        <v>368</v>
      </c>
      <c r="H134" s="34" t="str">
        <f>IF(Tabella4[[#This Row],[Componente]]="Documenti","10.","9.")&amp;Tabella4[[#This Row],[Criterio]]</f>
        <v>9.4.1.2</v>
      </c>
      <c r="I134" s="34" t="s">
        <v>1023</v>
      </c>
      <c r="J134" s="34" t="s">
        <v>1028</v>
      </c>
      <c r="K134" s="34" t="s">
        <v>1029</v>
      </c>
      <c r="L134" s="34" t="s">
        <v>1030</v>
      </c>
      <c r="M134" s="34" t="s">
        <v>1031</v>
      </c>
      <c r="N134" t="s">
        <v>606</v>
      </c>
      <c r="O134" t="s">
        <v>607</v>
      </c>
      <c r="P134" t="s">
        <v>391</v>
      </c>
      <c r="R134" s="34" t="str">
        <f>IF(Tabella4[[#This Row],[Componente]]="Documenti",_xlfn.XLOOKUP(Tabella4[[#This Row],[URL]],Tabella27[URL],Tabella27[PDF ID],,0),_xlfn.XLOOKUP(Tabella4[[#This Row],[URL]],Tabella1[URL],Tabella1[Page ID],,0))</f>
        <v>#11</v>
      </c>
      <c r="S134" s="34" t="s">
        <v>1004</v>
      </c>
      <c r="T134" s="34" t="s">
        <v>490</v>
      </c>
      <c r="V134" t="s">
        <v>492</v>
      </c>
      <c r="W134" s="34" t="s">
        <v>1067</v>
      </c>
      <c r="X134"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id="heading-item-posteinsurancebrokerposteinsurancebroker-moduliposte-guidare-sicuri-accordion-gestione-polizzarinnovo-polizza-6-6"&gt;</v>
      </c>
      <c r="Y134" s="34" t="str">
        <f>SUBSTITUTE(IF(Tabella4[[#This Row],[Tool]]="axe-core",MID(Tabella4[[#This Row],[Rejected Element]],3,LEN(Tabella4[[#This Row],[Rejected Element]])-4),Tabella4[[#This Row],[Rejected Element]]),"\","")</f>
        <v>#heading-item-posteinsurancebrokerposteinsurancebroker-moduliposte-guidare-sicuri-accordion-gestione-polizzarinnovo-polizza-6-6</v>
      </c>
      <c r="Z134" s="34">
        <f>COUNTIFS(Tabella4[Detail univoco],Tabella4[[#This Row],[Detail univoco]],Tabella4[Rejected Element Univoco],Tabella4[[#This Row],[Rejected Element Univoco]],Tabella4[ItemsNodeLabel],Tabella4[[#This Row],[ItemsNodeLabel]])</f>
        <v>0</v>
      </c>
      <c r="AA134" s="34" t="str">
        <f>IF(Tabella4[[#This Row],[Componente]]="Documenti",VLOOKUP(Tabella4[[#This Row],[URL]],Tabella27[[URL]:[Servizio]],4,FALSE),VLOOKUP(Tabella4[[#This Row],[Page ID]],Tabella1[[Page ID]:[Servizio]],4,FALSE))</f>
        <v>S002 Poste Guidare Sicuri</v>
      </c>
      <c r="AB134" s="34"/>
      <c r="AC134" s="34" t="str">
        <f>Tabella4[[#This Row],[User Impact]]</f>
        <v>2 - Serious</v>
      </c>
      <c r="AD134" s="34" t="str">
        <f>Copertina!C$2&amp;" - "&amp;Tabella4[[#This Row],[UNI CEI EN 301549]]&amp;" "&amp;VLOOKUP(Tabella4[[#This Row],[Criterio]],Tabella5[[ID]:[Criterio di successo]],2,FALSE)&amp;" - "&amp;Tabella4[[#This Row],[Servizio]]&amp;":"</f>
        <v>Insurance Brocker - 9.4.1.2 Nome, ruolo, valore - S002 Poste Guidare Sicuri:</v>
      </c>
      <c r="AE13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(#TM0095)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id="heading-item-posteinsurancebrokerposteinsurancebroker-moduliposte-guidare-sicuri-accordion-gestione-polizzarinnovo-polizza-6-6"&gt; con selettore: 
["#heading-item-posteinsurancebrokerposteinsurancebroker-moduliposte-guidare-sicuri-accordion-gestione-polizzarinnovo-polizza-6-6"]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34">
        <f>_xlfn.XLOOKUP(Tabella4[[#This Row],[ID Silk]],outTable[ID Silk],outTable[Numero ticket  ],,0,1)</f>
        <v>6016</v>
      </c>
    </row>
    <row r="135" spans="1:32">
      <c r="A135" s="34" t="str">
        <f>MID(Tabella4[[#This Row],[Servizio]],1,4)&amp;Tabella4[[#This Row],[UNI CEI EN 301549]]</f>
        <v>S0029.4.1.2</v>
      </c>
      <c r="B135" s="34" t="str">
        <f>Tabella4[[#This Row],[ID Silk]]&amp;"_1"</f>
        <v>S0029.4.1.2_1</v>
      </c>
      <c r="C135" s="34" t="s">
        <v>876</v>
      </c>
      <c r="D135" s="2" t="str">
        <f>"(#"&amp;Tabella4[[#This Row],['#ID]]&amp;")"</f>
        <v>(#TM0096)</v>
      </c>
      <c r="E135" s="34" t="str">
        <f>IF(MID(Tabella4[[#This Row],['#ID]],1,1)="M","Mobile",IF(MID(Tabella4[[#This Row],['#ID]],1,1)="D","Desktop",IF(MID(Tabella4[[#This Row],['#ID]],1,2)="TM","Manuale","Documenti")))</f>
        <v>Manuale</v>
      </c>
      <c r="F135" s="34" t="s">
        <v>1005</v>
      </c>
      <c r="G135" s="34" t="s">
        <v>368</v>
      </c>
      <c r="H135" s="34" t="str">
        <f>IF(Tabella4[[#This Row],[Componente]]="Documenti","10.","9.")&amp;Tabella4[[#This Row],[Criterio]]</f>
        <v>9.4.1.2</v>
      </c>
      <c r="I135" s="34" t="s">
        <v>1023</v>
      </c>
      <c r="J135" s="34" t="s">
        <v>1028</v>
      </c>
      <c r="K135" s="34" t="s">
        <v>1029</v>
      </c>
      <c r="L135" s="34" t="s">
        <v>1030</v>
      </c>
      <c r="M135" s="34" t="s">
        <v>1031</v>
      </c>
      <c r="N135" t="s">
        <v>608</v>
      </c>
      <c r="O135" t="s">
        <v>609</v>
      </c>
      <c r="P135" t="s">
        <v>391</v>
      </c>
      <c r="R135" s="34" t="str">
        <f>IF(Tabella4[[#This Row],[Componente]]="Documenti",_xlfn.XLOOKUP(Tabella4[[#This Row],[URL]],Tabella27[URL],Tabella27[PDF ID],,0),_xlfn.XLOOKUP(Tabella4[[#This Row],[URL]],Tabella1[URL],Tabella1[Page ID],,0))</f>
        <v>#11</v>
      </c>
      <c r="S135" s="34" t="s">
        <v>1004</v>
      </c>
      <c r="T135" s="34" t="s">
        <v>490</v>
      </c>
      <c r="V135" t="s">
        <v>492</v>
      </c>
      <c r="W135" s="34" t="s">
        <v>1067</v>
      </c>
      <c r="X135"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id="heading-item-posteinsurancebrokerposteinsurancebroker-moduliposte-guidare-sicuri-accordion-gestione-polizzasospensione-riattivazione-contratto-7-7"&gt;</v>
      </c>
      <c r="Y135" s="34" t="str">
        <f>SUBSTITUTE(IF(Tabella4[[#This Row],[Tool]]="axe-core",MID(Tabella4[[#This Row],[Rejected Element]],3,LEN(Tabella4[[#This Row],[Rejected Element]])-4),Tabella4[[#This Row],[Rejected Element]]),"\","")</f>
        <v>#heading-item-posteinsurancebrokerposteinsurancebroker-moduliposte-guidare-sicuri-accordion-gestione-polizzasospensione-riattivazione-contratto-7-7</v>
      </c>
      <c r="Z135" s="34">
        <f>COUNTIFS(Tabella4[Detail univoco],Tabella4[[#This Row],[Detail univoco]],Tabella4[Rejected Element Univoco],Tabella4[[#This Row],[Rejected Element Univoco]],Tabella4[ItemsNodeLabel],Tabella4[[#This Row],[ItemsNodeLabel]])</f>
        <v>0</v>
      </c>
      <c r="AA135" s="34" t="str">
        <f>IF(Tabella4[[#This Row],[Componente]]="Documenti",VLOOKUP(Tabella4[[#This Row],[URL]],Tabella27[[URL]:[Servizio]],4,FALSE),VLOOKUP(Tabella4[[#This Row],[Page ID]],Tabella1[[Page ID]:[Servizio]],4,FALSE))</f>
        <v>S002 Poste Guidare Sicuri</v>
      </c>
      <c r="AB135" s="34"/>
      <c r="AC135" s="34" t="str">
        <f>Tabella4[[#This Row],[User Impact]]</f>
        <v>2 - Serious</v>
      </c>
      <c r="AD135" s="34" t="str">
        <f>Copertina!C$2&amp;" - "&amp;Tabella4[[#This Row],[UNI CEI EN 301549]]&amp;" "&amp;VLOOKUP(Tabella4[[#This Row],[Criterio]],Tabella5[[ID]:[Criterio di successo]],2,FALSE)&amp;" - "&amp;Tabella4[[#This Row],[Servizio]]&amp;":"</f>
        <v>Insurance Brocker - 9.4.1.2 Nome, ruolo, valore - S002 Poste Guidare Sicuri:</v>
      </c>
      <c r="AE13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(#TM0096)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id="heading-item-posteinsurancebrokerposteinsurancebroker-moduliposte-guidare-sicuri-accordion-gestione-polizzasospensione-riattivazione-contratto-7-7"&gt; con selettore: 
["#heading-item-posteinsurancebrokerposteinsurancebroker-moduliposte-guidare-sicuri-accordion-gestione-polizzasospensione-riattivazione-contratto-7-7"]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35">
        <f>_xlfn.XLOOKUP(Tabella4[[#This Row],[ID Silk]],outTable[ID Silk],outTable[Numero ticket  ],,0,1)</f>
        <v>6016</v>
      </c>
    </row>
    <row r="136" spans="1:32">
      <c r="A136" s="34" t="str">
        <f>MID(Tabella4[[#This Row],[Servizio]],1,4)&amp;Tabella4[[#This Row],[UNI CEI EN 301549]]</f>
        <v>S0029.4.1.2</v>
      </c>
      <c r="B136" s="34" t="str">
        <f>Tabella4[[#This Row],[ID Silk]]&amp;"_1"</f>
        <v>S0029.4.1.2_1</v>
      </c>
      <c r="C136" s="34" t="s">
        <v>877</v>
      </c>
      <c r="D136" s="2" t="str">
        <f>"(#"&amp;Tabella4[[#This Row],['#ID]]&amp;")"</f>
        <v>(#TM0097)</v>
      </c>
      <c r="E136" s="34" t="str">
        <f>IF(MID(Tabella4[[#This Row],['#ID]],1,1)="M","Mobile",IF(MID(Tabella4[[#This Row],['#ID]],1,1)="D","Desktop",IF(MID(Tabella4[[#This Row],['#ID]],1,2)="TM","Manuale","Documenti")))</f>
        <v>Manuale</v>
      </c>
      <c r="F136" s="34" t="s">
        <v>1005</v>
      </c>
      <c r="G136" s="34" t="s">
        <v>368</v>
      </c>
      <c r="H136" s="34" t="str">
        <f>IF(Tabella4[[#This Row],[Componente]]="Documenti","10.","9.")&amp;Tabella4[[#This Row],[Criterio]]</f>
        <v>9.4.1.2</v>
      </c>
      <c r="I136" s="34" t="s">
        <v>1023</v>
      </c>
      <c r="J136" s="34" t="s">
        <v>1028</v>
      </c>
      <c r="K136" s="34" t="s">
        <v>1029</v>
      </c>
      <c r="L136" s="34" t="s">
        <v>1030</v>
      </c>
      <c r="M136" s="34" t="s">
        <v>1031</v>
      </c>
      <c r="N136" t="s">
        <v>610</v>
      </c>
      <c r="O136" t="s">
        <v>611</v>
      </c>
      <c r="P136" t="s">
        <v>391</v>
      </c>
      <c r="R136" s="34" t="str">
        <f>IF(Tabella4[[#This Row],[Componente]]="Documenti",_xlfn.XLOOKUP(Tabella4[[#This Row],[URL]],Tabella27[URL],Tabella27[PDF ID],,0),_xlfn.XLOOKUP(Tabella4[[#This Row],[URL]],Tabella1[URL],Tabella1[Page ID],,0))</f>
        <v>#11</v>
      </c>
      <c r="S136" s="34" t="s">
        <v>1004</v>
      </c>
      <c r="T136" s="34" t="s">
        <v>490</v>
      </c>
      <c r="V136" t="s">
        <v>492</v>
      </c>
      <c r="W136" s="34" t="s">
        <v>1067</v>
      </c>
      <c r="X136"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id="heading-item-posteinsurancebrokerposteinsurancebroker-moduliposte-guidare-sicuri-accordion-gestione-polizzaaltre-attivita-post-vendita-8-8"&gt;</v>
      </c>
      <c r="Y136" s="34" t="str">
        <f>SUBSTITUTE(IF(Tabella4[[#This Row],[Tool]]="axe-core",MID(Tabella4[[#This Row],[Rejected Element]],3,LEN(Tabella4[[#This Row],[Rejected Element]])-4),Tabella4[[#This Row],[Rejected Element]]),"\","")</f>
        <v>#heading-item-posteinsurancebrokerposteinsurancebroker-moduliposte-guidare-sicuri-accordion-gestione-polizzaaltre-attivita-post-vendita-8-8</v>
      </c>
      <c r="Z136" s="34">
        <f>COUNTIFS(Tabella4[Detail univoco],Tabella4[[#This Row],[Detail univoco]],Tabella4[Rejected Element Univoco],Tabella4[[#This Row],[Rejected Element Univoco]],Tabella4[ItemsNodeLabel],Tabella4[[#This Row],[ItemsNodeLabel]])</f>
        <v>0</v>
      </c>
      <c r="AA136" s="34" t="str">
        <f>IF(Tabella4[[#This Row],[Componente]]="Documenti",VLOOKUP(Tabella4[[#This Row],[URL]],Tabella27[[URL]:[Servizio]],4,FALSE),VLOOKUP(Tabella4[[#This Row],[Page ID]],Tabella1[[Page ID]:[Servizio]],4,FALSE))</f>
        <v>S002 Poste Guidare Sicuri</v>
      </c>
      <c r="AB136" s="34"/>
      <c r="AC136" s="34" t="str">
        <f>Tabella4[[#This Row],[User Impact]]</f>
        <v>2 - Serious</v>
      </c>
      <c r="AD136" s="34" t="str">
        <f>Copertina!C$2&amp;" - "&amp;Tabella4[[#This Row],[UNI CEI EN 301549]]&amp;" "&amp;VLOOKUP(Tabella4[[#This Row],[Criterio]],Tabella5[[ID]:[Criterio di successo]],2,FALSE)&amp;" - "&amp;Tabella4[[#This Row],[Servizio]]&amp;":"</f>
        <v>Insurance Brocker - 9.4.1.2 Nome, ruolo, valore - S002 Poste Guidare Sicuri:</v>
      </c>
      <c r="AE13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(#TM0097)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id="heading-item-posteinsurancebrokerposteinsurancebroker-moduliposte-guidare-sicuri-accordion-gestione-polizzaaltre-attivita-post-vendita-8-8"&gt; con selettore: 
["#heading-item-posteinsurancebrokerposteinsurancebroker-moduliposte-guidare-sicuri-accordion-gestione-polizzaaltre-attivita-post-vendita-8-8"]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36">
        <f>_xlfn.XLOOKUP(Tabella4[[#This Row],[ID Silk]],outTable[ID Silk],outTable[Numero ticket  ],,0,1)</f>
        <v>6016</v>
      </c>
    </row>
    <row r="137" spans="1:32">
      <c r="A137" s="34" t="str">
        <f>MID(Tabella4[[#This Row],[Servizio]],1,4)&amp;Tabella4[[#This Row],[UNI CEI EN 301549]]</f>
        <v>S0029.4.1.2</v>
      </c>
      <c r="B137" s="34" t="str">
        <f>Tabella4[[#This Row],[ID Silk]]&amp;"_1"</f>
        <v>S0029.4.1.2_1</v>
      </c>
      <c r="C137" s="34" t="s">
        <v>878</v>
      </c>
      <c r="D137" s="2" t="str">
        <f>"(#"&amp;Tabella4[[#This Row],['#ID]]&amp;")"</f>
        <v>(#TM0098)</v>
      </c>
      <c r="E137" s="34" t="str">
        <f>IF(MID(Tabella4[[#This Row],['#ID]],1,1)="M","Mobile",IF(MID(Tabella4[[#This Row],['#ID]],1,1)="D","Desktop",IF(MID(Tabella4[[#This Row],['#ID]],1,2)="TM","Manuale","Documenti")))</f>
        <v>Manuale</v>
      </c>
      <c r="F137" s="34" t="s">
        <v>1005</v>
      </c>
      <c r="G137" s="34" t="s">
        <v>368</v>
      </c>
      <c r="H137" s="34" t="str">
        <f>IF(Tabella4[[#This Row],[Componente]]="Documenti","10.","9.")&amp;Tabella4[[#This Row],[Criterio]]</f>
        <v>9.4.1.2</v>
      </c>
      <c r="I137" s="34" t="s">
        <v>1023</v>
      </c>
      <c r="J137" s="34" t="s">
        <v>1028</v>
      </c>
      <c r="K137" s="34" t="s">
        <v>1029</v>
      </c>
      <c r="L137" s="34" t="s">
        <v>1030</v>
      </c>
      <c r="M137" s="34" t="s">
        <v>1031</v>
      </c>
      <c r="N137" t="s">
        <v>612</v>
      </c>
      <c r="O137" t="s">
        <v>613</v>
      </c>
      <c r="P137" t="s">
        <v>391</v>
      </c>
      <c r="R137" s="34" t="str">
        <f>IF(Tabella4[[#This Row],[Componente]]="Documenti",_xlfn.XLOOKUP(Tabella4[[#This Row],[URL]],Tabella27[URL],Tabella27[PDF ID],,0),_xlfn.XLOOKUP(Tabella4[[#This Row],[URL]],Tabella1[URL],Tabella1[Page ID],,0))</f>
        <v>#11</v>
      </c>
      <c r="S137" s="34" t="s">
        <v>1004</v>
      </c>
      <c r="T137" s="34" t="s">
        <v>490</v>
      </c>
      <c r="V137" t="s">
        <v>492</v>
      </c>
      <c r="W137" s="34" t="s">
        <v>1067</v>
      </c>
      <c r="X137" s="34" t="str">
        <f>IFERROR(IF(Tabella4[[#This Row],[Tool]]="lighthouse",Tabella4[[#This Row],[Detail]],MID(Tabella4[[#This Row],[Detail]],1,FIND("&gt;",Tabella4[[#This Row],[Detail]]))),Tabella4[[#This Row],[Detail]])</f>
        <v>&lt;div class="panel-heading" role="tab" tabindex="0" id="heading-item-posteinsurancebrokerposteinsurancebroker-moduliposte-guidare-sicuri-approfondisci-accordionchisonolecompagnieassicurativepartner-0-0"&gt;</v>
      </c>
      <c r="Y137" s="34" t="str">
        <f>SUBSTITUTE(IF(Tabella4[[#This Row],[Tool]]="axe-core",MID(Tabella4[[#This Row],[Rejected Element]],3,LEN(Tabella4[[#This Row],[Rejected Element]])-4),Tabella4[[#This Row],[Rejected Element]]),"\","")</f>
        <v>#heading-item-posteinsurancebrokerposteinsurancebroker-moduliposte-guidare-sicuri-approfondisci-accordionchisonolecompagnieassicurativepartner-0-0</v>
      </c>
      <c r="Z137" s="34">
        <f>COUNTIFS(Tabella4[Detail univoco],Tabella4[[#This Row],[Detail univoco]],Tabella4[Rejected Element Univoco],Tabella4[[#This Row],[Rejected Element Univoco]],Tabella4[ItemsNodeLabel],Tabella4[[#This Row],[ItemsNodeLabel]])</f>
        <v>0</v>
      </c>
      <c r="AA137" s="34" t="str">
        <f>IF(Tabella4[[#This Row],[Componente]]="Documenti",VLOOKUP(Tabella4[[#This Row],[URL]],Tabella27[[URL]:[Servizio]],4,FALSE),VLOOKUP(Tabella4[[#This Row],[Page ID]],Tabella1[[Page ID]:[Servizio]],4,FALSE))</f>
        <v>S002 Poste Guidare Sicuri</v>
      </c>
      <c r="AB137" s="34"/>
      <c r="AC137" s="34" t="str">
        <f>Tabella4[[#This Row],[User Impact]]</f>
        <v>2 - Serious</v>
      </c>
      <c r="AD137" s="34" t="str">
        <f>Copertina!C$2&amp;" - "&amp;Tabella4[[#This Row],[UNI CEI EN 301549]]&amp;" "&amp;VLOOKUP(Tabella4[[#This Row],[Criterio]],Tabella5[[ID]:[Criterio di successo]],2,FALSE)&amp;" - "&amp;Tabella4[[#This Row],[Servizio]]&amp;":"</f>
        <v>Insurance Brocker - 9.4.1.2 Nome, ruolo, valore - S002 Poste Guidare Sicuri:</v>
      </c>
      <c r="AE13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(#TM0098)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id="heading-item-posteinsurancebrokerposteinsurancebroker-moduliposte-guidare-sicuri-approfondisci-accordionchisonolecompagnieassicurativepartner-0-0"&gt; con selettore: 
["#heading-item-posteinsurancebrokerposteinsurancebroker-moduliposte-guidare-sicuri-approfondisci-accordionchisonolecompagnieassicurativepartner-0-0"]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37">
        <f>_xlfn.XLOOKUP(Tabella4[[#This Row],[ID Silk]],outTable[ID Silk],outTable[Numero ticket  ],,0,1)</f>
        <v>6016</v>
      </c>
    </row>
    <row r="138" spans="1:32">
      <c r="A138" s="34" t="str">
        <f>MID(Tabella4[[#This Row],[Servizio]],1,4)&amp;Tabella4[[#This Row],[UNI CEI EN 301549]]</f>
        <v>S0029.4.1.2</v>
      </c>
      <c r="B138" s="34" t="str">
        <f>Tabella4[[#This Row],[ID Silk]]&amp;"_1"</f>
        <v>S0029.4.1.2_1</v>
      </c>
      <c r="C138" s="34" t="s">
        <v>879</v>
      </c>
      <c r="D138" s="2" t="str">
        <f>"(#"&amp;Tabella4[[#This Row],['#ID]]&amp;")"</f>
        <v>(#TM0099)</v>
      </c>
      <c r="E138" s="34" t="str">
        <f>IF(MID(Tabella4[[#This Row],['#ID]],1,1)="M","Mobile",IF(MID(Tabella4[[#This Row],['#ID]],1,1)="D","Desktop",IF(MID(Tabella4[[#This Row],['#ID]],1,2)="TM","Manuale","Documenti")))</f>
        <v>Manuale</v>
      </c>
      <c r="F138" s="34" t="s">
        <v>1005</v>
      </c>
      <c r="G138" s="34" t="s">
        <v>368</v>
      </c>
      <c r="H138" s="34" t="str">
        <f>IF(Tabella4[[#This Row],[Componente]]="Documenti","10.","9.")&amp;Tabella4[[#This Row],[Criterio]]</f>
        <v>9.4.1.2</v>
      </c>
      <c r="I138" s="34" t="s">
        <v>1023</v>
      </c>
      <c r="J138" s="34" t="s">
        <v>1028</v>
      </c>
      <c r="K138" s="34" t="s">
        <v>1029</v>
      </c>
      <c r="L138" s="34" t="s">
        <v>1030</v>
      </c>
      <c r="M138" s="34" t="s">
        <v>1031</v>
      </c>
      <c r="N138" t="s">
        <v>614</v>
      </c>
      <c r="O138" t="s">
        <v>615</v>
      </c>
      <c r="P138" t="s">
        <v>391</v>
      </c>
      <c r="R138" s="34" t="str">
        <f>IF(Tabella4[[#This Row],[Componente]]="Documenti",_xlfn.XLOOKUP(Tabella4[[#This Row],[URL]],Tabella27[URL],Tabella27[PDF ID],,0),_xlfn.XLOOKUP(Tabella4[[#This Row],[URL]],Tabella1[URL],Tabella1[Page ID],,0))</f>
        <v>#11</v>
      </c>
      <c r="S138" s="34" t="s">
        <v>1004</v>
      </c>
      <c r="T138" s="34" t="s">
        <v>490</v>
      </c>
      <c r="V138" t="s">
        <v>492</v>
      </c>
      <c r="W138" s="34" t="s">
        <v>1067</v>
      </c>
      <c r="X138" s="34" t="str">
        <f>IFERROR(IF(Tabella4[[#This Row],[Tool]]="lighthouse",Tabella4[[#This Row],[Detail]],MID(Tabella4[[#This Row],[Detail]],1,FIND("&gt;",Tabella4[[#This Row],[Detail]]))),Tabella4[[#This Row],[Detail]])</f>
        <v>&lt;div class="panel-heading" role="tab" tabindex="0" id="heading-item-posteinsurancebrokerposteinsurancebroker-moduliposte-guidare-sicuri-approfondisci-accordioncomescegliamoilprodottoperte-1-1"&gt;</v>
      </c>
      <c r="Y138" s="34" t="str">
        <f>SUBSTITUTE(IF(Tabella4[[#This Row],[Tool]]="axe-core",MID(Tabella4[[#This Row],[Rejected Element]],3,LEN(Tabella4[[#This Row],[Rejected Element]])-4),Tabella4[[#This Row],[Rejected Element]]),"\","")</f>
        <v>#heading-item-posteinsurancebrokerposteinsurancebroker-moduliposte-guidare-sicuri-approfondisci-accordioncomescegliamoilprodottoperte-1-1</v>
      </c>
      <c r="Z138" s="34">
        <f>COUNTIFS(Tabella4[Detail univoco],Tabella4[[#This Row],[Detail univoco]],Tabella4[Rejected Element Univoco],Tabella4[[#This Row],[Rejected Element Univoco]],Tabella4[ItemsNodeLabel],Tabella4[[#This Row],[ItemsNodeLabel]])</f>
        <v>0</v>
      </c>
      <c r="AA138" s="34" t="str">
        <f>IF(Tabella4[[#This Row],[Componente]]="Documenti",VLOOKUP(Tabella4[[#This Row],[URL]],Tabella27[[URL]:[Servizio]],4,FALSE),VLOOKUP(Tabella4[[#This Row],[Page ID]],Tabella1[[Page ID]:[Servizio]],4,FALSE))</f>
        <v>S002 Poste Guidare Sicuri</v>
      </c>
      <c r="AB138" s="34"/>
      <c r="AC138" s="34" t="str">
        <f>Tabella4[[#This Row],[User Impact]]</f>
        <v>2 - Serious</v>
      </c>
      <c r="AD138" s="34" t="str">
        <f>Copertina!C$2&amp;" - "&amp;Tabella4[[#This Row],[UNI CEI EN 301549]]&amp;" "&amp;VLOOKUP(Tabella4[[#This Row],[Criterio]],Tabella5[[ID]:[Criterio di successo]],2,FALSE)&amp;" - "&amp;Tabella4[[#This Row],[Servizio]]&amp;":"</f>
        <v>Insurance Brocker - 9.4.1.2 Nome, ruolo, valore - S002 Poste Guidare Sicuri:</v>
      </c>
      <c r="AE13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(#TM0099)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id="heading-item-posteinsurancebrokerposteinsurancebroker-moduliposte-guidare-sicuri-approfondisci-accordioncomescegliamoilprodottoperte-1-1"&gt; con selettore: 
["#heading-item-posteinsurancebrokerposteinsurancebroker-moduliposte-guidare-sicuri-approfondisci-accordioncomescegliamoilprodottoperte-1-1"]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38">
        <f>_xlfn.XLOOKUP(Tabella4[[#This Row],[ID Silk]],outTable[ID Silk],outTable[Numero ticket  ],,0,1)</f>
        <v>6016</v>
      </c>
    </row>
    <row r="139" spans="1:32">
      <c r="A139" s="34" t="str">
        <f>MID(Tabella4[[#This Row],[Servizio]],1,4)&amp;Tabella4[[#This Row],[UNI CEI EN 301549]]</f>
        <v>S0029.4.1.2</v>
      </c>
      <c r="B139" s="34" t="str">
        <f>Tabella4[[#This Row],[ID Silk]]&amp;"_1"</f>
        <v>S0029.4.1.2_1</v>
      </c>
      <c r="C139" s="34" t="s">
        <v>880</v>
      </c>
      <c r="D139" s="2" t="str">
        <f>"(#"&amp;Tabella4[[#This Row],['#ID]]&amp;")"</f>
        <v>(#TM0100)</v>
      </c>
      <c r="E139" s="34" t="str">
        <f>IF(MID(Tabella4[[#This Row],['#ID]],1,1)="M","Mobile",IF(MID(Tabella4[[#This Row],['#ID]],1,1)="D","Desktop",IF(MID(Tabella4[[#This Row],['#ID]],1,2)="TM","Manuale","Documenti")))</f>
        <v>Manuale</v>
      </c>
      <c r="F139" s="34" t="s">
        <v>1005</v>
      </c>
      <c r="G139" s="34" t="s">
        <v>368</v>
      </c>
      <c r="H139" s="34" t="str">
        <f>IF(Tabella4[[#This Row],[Componente]]="Documenti","10.","9.")&amp;Tabella4[[#This Row],[Criterio]]</f>
        <v>9.4.1.2</v>
      </c>
      <c r="I139" s="34" t="s">
        <v>1023</v>
      </c>
      <c r="J139" s="34" t="s">
        <v>1028</v>
      </c>
      <c r="K139" s="34" t="s">
        <v>1029</v>
      </c>
      <c r="L139" s="34" t="s">
        <v>1030</v>
      </c>
      <c r="M139" s="34" t="s">
        <v>1031</v>
      </c>
      <c r="N139" t="s">
        <v>616</v>
      </c>
      <c r="O139" t="s">
        <v>617</v>
      </c>
      <c r="P139" t="s">
        <v>391</v>
      </c>
      <c r="R139" s="34" t="str">
        <f>IF(Tabella4[[#This Row],[Componente]]="Documenti",_xlfn.XLOOKUP(Tabella4[[#This Row],[URL]],Tabella27[URL],Tabella27[PDF ID],,0),_xlfn.XLOOKUP(Tabella4[[#This Row],[URL]],Tabella1[URL],Tabella1[Page ID],,0))</f>
        <v>#11</v>
      </c>
      <c r="S139" s="34" t="s">
        <v>1004</v>
      </c>
      <c r="T139" s="34" t="s">
        <v>490</v>
      </c>
      <c r="V139" t="s">
        <v>492</v>
      </c>
      <c r="W139" s="34" t="s">
        <v>1067</v>
      </c>
      <c r="X139" s="34" t="str">
        <f>IFERROR(IF(Tabella4[[#This Row],[Tool]]="lighthouse",Tabella4[[#This Row],[Detail]],MID(Tabella4[[#This Row],[Detail]],1,FIND("&gt;",Tabella4[[#This Row],[Detail]]))),Tabella4[[#This Row],[Detail]])</f>
        <v>&lt;div class="panel-heading" role="tab" tabindex="0" id="heading-item-posteinsurancebrokerposteinsurancebroker-moduliposte-guidare-sicuri-set-informativo-accordionset-informativo-genertel-spa-0-0"&gt;</v>
      </c>
      <c r="Y139" s="34" t="str">
        <f>SUBSTITUTE(IF(Tabella4[[#This Row],[Tool]]="axe-core",MID(Tabella4[[#This Row],[Rejected Element]],3,LEN(Tabella4[[#This Row],[Rejected Element]])-4),Tabella4[[#This Row],[Rejected Element]]),"\","")</f>
        <v>#heading-item-posteinsurancebrokerposteinsurancebroker-moduliposte-guidare-sicuri-set-informativo-accordionset-informativo-genertel-spa-0-0</v>
      </c>
      <c r="Z139" s="34">
        <f>COUNTIFS(Tabella4[Detail univoco],Tabella4[[#This Row],[Detail univoco]],Tabella4[Rejected Element Univoco],Tabella4[[#This Row],[Rejected Element Univoco]],Tabella4[ItemsNodeLabel],Tabella4[[#This Row],[ItemsNodeLabel]])</f>
        <v>0</v>
      </c>
      <c r="AA139" s="34" t="str">
        <f>IF(Tabella4[[#This Row],[Componente]]="Documenti",VLOOKUP(Tabella4[[#This Row],[URL]],Tabella27[[URL]:[Servizio]],4,FALSE),VLOOKUP(Tabella4[[#This Row],[Page ID]],Tabella1[[Page ID]:[Servizio]],4,FALSE))</f>
        <v>S002 Poste Guidare Sicuri</v>
      </c>
      <c r="AB139" s="34"/>
      <c r="AC139" s="34" t="str">
        <f>Tabella4[[#This Row],[User Impact]]</f>
        <v>2 - Serious</v>
      </c>
      <c r="AD139" s="34" t="str">
        <f>Copertina!C$2&amp;" - "&amp;Tabella4[[#This Row],[UNI CEI EN 301549]]&amp;" "&amp;VLOOKUP(Tabella4[[#This Row],[Criterio]],Tabella5[[ID]:[Criterio di successo]],2,FALSE)&amp;" - "&amp;Tabella4[[#This Row],[Servizio]]&amp;":"</f>
        <v>Insurance Brocker - 9.4.1.2 Nome, ruolo, valore - S002 Poste Guidare Sicuri:</v>
      </c>
      <c r="AE13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(#TM0100)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id="heading-item-posteinsurancebrokerposteinsurancebroker-moduliposte-guidare-sicuri-set-informativo-accordionset-informativo-genertel-spa-0-0"&gt; con selettore: 
["#heading-item-posteinsurancebrokerposteinsurancebroker-moduliposte-guidare-sicuri-set-informativo-accordionset-informativo-genertel-spa-0-0"]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39">
        <f>_xlfn.XLOOKUP(Tabella4[[#This Row],[ID Silk]],outTable[ID Silk],outTable[Numero ticket  ],,0,1)</f>
        <v>6016</v>
      </c>
    </row>
    <row r="140" spans="1:32">
      <c r="A140" s="34" t="str">
        <f>MID(Tabella4[[#This Row],[Servizio]],1,4)&amp;Tabella4[[#This Row],[UNI CEI EN 301549]]</f>
        <v>S0029.4.1.2</v>
      </c>
      <c r="B140" s="34" t="str">
        <f>Tabella4[[#This Row],[ID Silk]]&amp;"_1"</f>
        <v>S0029.4.1.2_1</v>
      </c>
      <c r="C140" s="34" t="s">
        <v>881</v>
      </c>
      <c r="D140" s="2" t="str">
        <f>"(#"&amp;Tabella4[[#This Row],['#ID]]&amp;")"</f>
        <v>(#TM0101)</v>
      </c>
      <c r="E140" s="34" t="str">
        <f>IF(MID(Tabella4[[#This Row],['#ID]],1,1)="M","Mobile",IF(MID(Tabella4[[#This Row],['#ID]],1,1)="D","Desktop",IF(MID(Tabella4[[#This Row],['#ID]],1,2)="TM","Manuale","Documenti")))</f>
        <v>Manuale</v>
      </c>
      <c r="F140" s="34" t="s">
        <v>1005</v>
      </c>
      <c r="G140" s="34" t="s">
        <v>368</v>
      </c>
      <c r="H140" s="34" t="str">
        <f>IF(Tabella4[[#This Row],[Componente]]="Documenti","10.","9.")&amp;Tabella4[[#This Row],[Criterio]]</f>
        <v>9.4.1.2</v>
      </c>
      <c r="I140" s="34" t="s">
        <v>1023</v>
      </c>
      <c r="J140" s="34" t="s">
        <v>1028</v>
      </c>
      <c r="K140" s="34" t="s">
        <v>1029</v>
      </c>
      <c r="L140" s="34" t="s">
        <v>1030</v>
      </c>
      <c r="M140" s="34" t="s">
        <v>1031</v>
      </c>
      <c r="N140" t="s">
        <v>618</v>
      </c>
      <c r="O140" t="s">
        <v>619</v>
      </c>
      <c r="P140" t="s">
        <v>391</v>
      </c>
      <c r="R140" s="34" t="str">
        <f>IF(Tabella4[[#This Row],[Componente]]="Documenti",_xlfn.XLOOKUP(Tabella4[[#This Row],[URL]],Tabella27[URL],Tabella27[PDF ID],,0),_xlfn.XLOOKUP(Tabella4[[#This Row],[URL]],Tabella1[URL],Tabella1[Page ID],,0))</f>
        <v>#11</v>
      </c>
      <c r="S140" s="34" t="s">
        <v>1004</v>
      </c>
      <c r="T140" s="34" t="s">
        <v>490</v>
      </c>
      <c r="V140" t="s">
        <v>492</v>
      </c>
      <c r="W140" s="34" t="s">
        <v>1067</v>
      </c>
      <c r="X140" s="34" t="str">
        <f>IFERROR(IF(Tabella4[[#This Row],[Tool]]="lighthouse",Tabella4[[#This Row],[Detail]],MID(Tabella4[[#This Row],[Detail]],1,FIND("&gt;",Tabella4[[#This Row],[Detail]]))),Tabella4[[#This Row],[Detail]])</f>
        <v>&lt;div class="panel-heading" role="tab" tabindex="0" id="heading-item-posteinsurancebrokerposteinsurancebroker-moduliposte-guidare-sicuri-set-informativo-accordionset-informativo-linear-assicurazioni-1-1"&gt;</v>
      </c>
      <c r="Y140" s="34" t="str">
        <f>SUBSTITUTE(IF(Tabella4[[#This Row],[Tool]]="axe-core",MID(Tabella4[[#This Row],[Rejected Element]],3,LEN(Tabella4[[#This Row],[Rejected Element]])-4),Tabella4[[#This Row],[Rejected Element]]),"\","")</f>
        <v>#heading-item-posteinsurancebrokerposteinsurancebroker-moduliposte-guidare-sicuri-set-informativo-accordionset-informativo-linear-assicurazioni-1-1</v>
      </c>
      <c r="Z140" s="34">
        <f>COUNTIFS(Tabella4[Detail univoco],Tabella4[[#This Row],[Detail univoco]],Tabella4[Rejected Element Univoco],Tabella4[[#This Row],[Rejected Element Univoco]],Tabella4[ItemsNodeLabel],Tabella4[[#This Row],[ItemsNodeLabel]])</f>
        <v>0</v>
      </c>
      <c r="AA140" s="34" t="str">
        <f>IF(Tabella4[[#This Row],[Componente]]="Documenti",VLOOKUP(Tabella4[[#This Row],[URL]],Tabella27[[URL]:[Servizio]],4,FALSE),VLOOKUP(Tabella4[[#This Row],[Page ID]],Tabella1[[Page ID]:[Servizio]],4,FALSE))</f>
        <v>S002 Poste Guidare Sicuri</v>
      </c>
      <c r="AB140" s="34"/>
      <c r="AC140" s="34" t="str">
        <f>Tabella4[[#This Row],[User Impact]]</f>
        <v>2 - Serious</v>
      </c>
      <c r="AD140" s="34" t="str">
        <f>Copertina!C$2&amp;" - "&amp;Tabella4[[#This Row],[UNI CEI EN 301549]]&amp;" "&amp;VLOOKUP(Tabella4[[#This Row],[Criterio]],Tabella5[[ID]:[Criterio di successo]],2,FALSE)&amp;" - "&amp;Tabella4[[#This Row],[Servizio]]&amp;":"</f>
        <v>Insurance Brocker - 9.4.1.2 Nome, ruolo, valore - S002 Poste Guidare Sicuri:</v>
      </c>
      <c r="AE14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(#TM0101)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https://posteinsurancebroker.poste.it/poste-guidare-sicuri/ - &lt;div class="panel-heading" role="tab" tabindex="0" id="heading-item-posteinsurancebrokerposteinsurancebroker-moduliposte-guidare-sicuri-set-informativo-accordionset-informativo-linear-assicurazioni-1-1"&gt; con selettore: 
["#heading-item-posteinsurancebrokerposteinsurancebroker-moduliposte-guidare-sicuri-set-informativo-accordionset-informativo-linear-assicurazioni-1-1"]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40">
        <f>_xlfn.XLOOKUP(Tabella4[[#This Row],[ID Silk]],outTable[ID Silk],outTable[Numero ticket  ],,0,1)</f>
        <v>6016</v>
      </c>
    </row>
    <row r="141" spans="1:32">
      <c r="A141" s="34" t="str">
        <f>MID(Tabella4[[#This Row],[Servizio]],1,4)&amp;Tabella4[[#This Row],[UNI CEI EN 301549]]</f>
        <v>S0029.2.5.8</v>
      </c>
      <c r="B141" s="34" t="str">
        <f>Tabella4[[#This Row],[ID Silk]]&amp;"_1"</f>
        <v>S0029.2.5.8_1</v>
      </c>
      <c r="C141" s="34" t="s">
        <v>882</v>
      </c>
      <c r="D141" s="2" t="str">
        <f>"(#"&amp;Tabella4[[#This Row],['#ID]]&amp;")"</f>
        <v>(#TM0102)</v>
      </c>
      <c r="E141" s="34" t="str">
        <f>IF(MID(Tabella4[[#This Row],['#ID]],1,1)="M","Mobile",IF(MID(Tabella4[[#This Row],['#ID]],1,1)="D","Desktop",IF(MID(Tabella4[[#This Row],['#ID]],1,2)="TM","Manuale","Documenti")))</f>
        <v>Manuale</v>
      </c>
      <c r="F141" s="34" t="s">
        <v>1006</v>
      </c>
      <c r="G141" s="34" t="s">
        <v>372</v>
      </c>
      <c r="H141" s="34" t="str">
        <f>IF(Tabella4[[#This Row],[Componente]]="Documenti","10.","9.")&amp;Tabella4[[#This Row],[Criterio]]</f>
        <v>9.2.5.8</v>
      </c>
      <c r="I141" s="34" t="s">
        <v>1023</v>
      </c>
      <c r="J141" s="34" t="s">
        <v>1032</v>
      </c>
      <c r="K141" s="34" t="s">
        <v>1033</v>
      </c>
      <c r="L141" s="34" t="s">
        <v>1034</v>
      </c>
      <c r="M141" s="34" t="s">
        <v>1035</v>
      </c>
      <c r="N141" t="s">
        <v>594</v>
      </c>
      <c r="O141" t="s">
        <v>595</v>
      </c>
      <c r="P141" t="s">
        <v>391</v>
      </c>
      <c r="R141" s="34" t="str">
        <f>IF(Tabella4[[#This Row],[Componente]]="Documenti",_xlfn.XLOOKUP(Tabella4[[#This Row],[URL]],Tabella27[URL],Tabella27[PDF ID],,0),_xlfn.XLOOKUP(Tabella4[[#This Row],[URL]],Tabella1[URL],Tabella1[Page ID],,0))</f>
        <v>#11</v>
      </c>
      <c r="S141" s="34" t="s">
        <v>1004</v>
      </c>
      <c r="T141" s="34" t="s">
        <v>518</v>
      </c>
      <c r="V141" t="s">
        <v>578</v>
      </c>
      <c r="W141" s="34" t="s">
        <v>1068</v>
      </c>
      <c r="X141"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id="heading-item-posteinsurancebrokerposteinsurancebroker-moduliposte-guidare-sicuri-accordion-gestione-polizzainstallazione-dispositivo-satellitare-0-0"&gt;</v>
      </c>
      <c r="Y141" s="34" t="str">
        <f>SUBSTITUTE(IF(Tabella4[[#This Row],[Tool]]="axe-core",MID(Tabella4[[#This Row],[Rejected Element]],3,LEN(Tabella4[[#This Row],[Rejected Element]])-4),Tabella4[[#This Row],[Rejected Element]]),"\","")</f>
        <v>#heading-item-posteinsurancebrokerposteinsurancebroker-moduliposte-guidare-sicuri-accordion-gestione-polizzainstallazione-dispositivo-satellitare-0-0</v>
      </c>
      <c r="Z141" s="34">
        <f>COUNTIFS(Tabella4[Detail univoco],Tabella4[[#This Row],[Detail univoco]],Tabella4[Rejected Element Univoco],Tabella4[[#This Row],[Rejected Element Univoco]],Tabella4[ItemsNodeLabel],Tabella4[[#This Row],[ItemsNodeLabel]])</f>
        <v>0</v>
      </c>
      <c r="AA141" s="34" t="str">
        <f>IF(Tabella4[[#This Row],[Componente]]="Documenti",VLOOKUP(Tabella4[[#This Row],[URL]],Tabella27[[URL]:[Servizio]],4,FALSE),VLOOKUP(Tabella4[[#This Row],[Page ID]],Tabella1[[Page ID]:[Servizio]],4,FALSE))</f>
        <v>S002 Poste Guidare Sicuri</v>
      </c>
      <c r="AB141" s="34"/>
      <c r="AC141" s="34" t="str">
        <f>Tabella4[[#This Row],[User Impact]]</f>
        <v>2 - Serious</v>
      </c>
      <c r="AD141" s="34" t="str">
        <f>Copertina!C$2&amp;" - "&amp;Tabella4[[#This Row],[UNI CEI EN 301549]]&amp;" "&amp;VLOOKUP(Tabella4[[#This Row],[Criterio]],Tabella5[[ID]:[Criterio di successo]],2,FALSE)&amp;" - "&amp;Tabella4[[#This Row],[Servizio]]&amp;":"</f>
        <v>Insurance Brocker - 9.2.5.8 Dimensione dell'obiettivo (minimo) - S002 Poste Guidare Sicuri:</v>
      </c>
      <c r="AE14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(#TM0102)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id="heading-item-posteinsurancebrokerposteinsurancebroker-moduliposte-guidare-sicuri-accordion-gestione-polizzainstallazione-dispositivo-satellitare-0-0"&gt; con selettore: 
["#heading-item-posteinsurancebrokerposteinsurancebroker-moduliposte-guidare-sicuri-accordion-gestione-polizzainstallazione-dispositivo-satellitare-0-0"]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41" t="e">
        <f>_xlfn.XLOOKUP(Tabella4[[#This Row],[ID Silk]],outTable[ID Silk],outTable[Numero ticket  ],,0,1)</f>
        <v>#N/A</v>
      </c>
    </row>
    <row r="142" spans="1:32">
      <c r="A142" s="34" t="str">
        <f>MID(Tabella4[[#This Row],[Servizio]],1,4)&amp;Tabella4[[#This Row],[UNI CEI EN 301549]]</f>
        <v>S0029.2.5.8</v>
      </c>
      <c r="B142" s="34" t="str">
        <f>Tabella4[[#This Row],[ID Silk]]&amp;"_1"</f>
        <v>S0029.2.5.8_1</v>
      </c>
      <c r="C142" s="34" t="s">
        <v>883</v>
      </c>
      <c r="D142" s="2" t="str">
        <f>"(#"&amp;Tabella4[[#This Row],['#ID]]&amp;")"</f>
        <v>(#TM0103)</v>
      </c>
      <c r="E142" s="34" t="str">
        <f>IF(MID(Tabella4[[#This Row],['#ID]],1,1)="M","Mobile",IF(MID(Tabella4[[#This Row],['#ID]],1,1)="D","Desktop",IF(MID(Tabella4[[#This Row],['#ID]],1,2)="TM","Manuale","Documenti")))</f>
        <v>Manuale</v>
      </c>
      <c r="F142" s="34" t="s">
        <v>1006</v>
      </c>
      <c r="G142" s="34" t="s">
        <v>372</v>
      </c>
      <c r="H142" s="34" t="str">
        <f>IF(Tabella4[[#This Row],[Componente]]="Documenti","10.","9.")&amp;Tabella4[[#This Row],[Criterio]]</f>
        <v>9.2.5.8</v>
      </c>
      <c r="I142" s="34" t="s">
        <v>1023</v>
      </c>
      <c r="J142" s="34" t="s">
        <v>1032</v>
      </c>
      <c r="K142" s="34" t="s">
        <v>1033</v>
      </c>
      <c r="L142" s="34" t="s">
        <v>1034</v>
      </c>
      <c r="M142" s="34" t="s">
        <v>1035</v>
      </c>
      <c r="N142" t="s">
        <v>620</v>
      </c>
      <c r="O142" t="s">
        <v>621</v>
      </c>
      <c r="P142" t="s">
        <v>391</v>
      </c>
      <c r="R142" s="34" t="str">
        <f>IF(Tabella4[[#This Row],[Componente]]="Documenti",_xlfn.XLOOKUP(Tabella4[[#This Row],[URL]],Tabella27[URL],Tabella27[PDF ID],,0),_xlfn.XLOOKUP(Tabella4[[#This Row],[URL]],Tabella1[URL],Tabella1[Page ID],,0))</f>
        <v>#11</v>
      </c>
      <c r="S142" s="34" t="s">
        <v>1004</v>
      </c>
      <c r="T142" s="34" t="s">
        <v>518</v>
      </c>
      <c r="V142" t="s">
        <v>580</v>
      </c>
      <c r="W142" s="34" t="s">
        <v>1068</v>
      </c>
      <c r="X14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href="#item-posteinsurancebrokerposteinsurancebroker-moduliposte-guidare-sicuri-accordion-gestione-polizzainstallazione-dispositivo-satellitare-0" aria-expanded="false" aria-controls="item-posteinsurancebrokerposteinsurancebroker-moduliposte-guidare-sicuri-accordion-gestione-polizzainstallazione-dispositivo-satellitare-0" aria-label="Installazione dispositivo satellitare" title="Installazione dispositivo satellitare"&gt;</v>
      </c>
      <c r="Y142" s="34" t="str">
        <f>SUBSTITUTE(IF(Tabella4[[#This Row],[Tool]]="axe-core",MID(Tabella4[[#This Row],[Rejected Element]],3,LEN(Tabella4[[#This Row],[Rejected Element]])-4),Tabella4[[#This Row],[Rejected Element]]),"\","")</f>
        <v>#heading-item-posteinsurancebrokerposteinsurancebroker-moduliposte-guidare-sicuri-accordion-gestione-polizzainstallazione-dispositivo-satellitare-0-0 &gt; .panel-title &gt; .accordion-toggle.collapsed[role="button"]</v>
      </c>
      <c r="Z142" s="34">
        <f>COUNTIFS(Tabella4[Detail univoco],Tabella4[[#This Row],[Detail univoco]],Tabella4[Rejected Element Univoco],Tabella4[[#This Row],[Rejected Element Univoco]],Tabella4[ItemsNodeLabel],Tabella4[[#This Row],[ItemsNodeLabel]])</f>
        <v>0</v>
      </c>
      <c r="AA142" s="34" t="str">
        <f>IF(Tabella4[[#This Row],[Componente]]="Documenti",VLOOKUP(Tabella4[[#This Row],[URL]],Tabella27[[URL]:[Servizio]],4,FALSE),VLOOKUP(Tabella4[[#This Row],[Page ID]],Tabella1[[Page ID]:[Servizio]],4,FALSE))</f>
        <v>S002 Poste Guidare Sicuri</v>
      </c>
      <c r="AB142" s="34"/>
      <c r="AC142" s="34" t="str">
        <f>Tabella4[[#This Row],[User Impact]]</f>
        <v>2 - Serious</v>
      </c>
      <c r="AD142" s="34" t="str">
        <f>Copertina!C$2&amp;" - "&amp;Tabella4[[#This Row],[UNI CEI EN 301549]]&amp;" "&amp;VLOOKUP(Tabella4[[#This Row],[Criterio]],Tabella5[[ID]:[Criterio di successo]],2,FALSE)&amp;" - "&amp;Tabella4[[#This Row],[Servizio]]&amp;":"</f>
        <v>Insurance Brocker - 9.2.5.8 Dimensione dell'obiettivo (minimo) - S002 Poste Guidare Sicuri:</v>
      </c>
      <c r="AE14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(#TM0103)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href="#item-posteinsurancebrokerposteinsurancebroker-moduliposte-guidare-sicuri-accordion-gestione-polizzainstallazione-dispositivo-satellitare-0" aria-expanded="false" aria-controls="item-posteinsurancebrokerposteinsurancebroker-moduliposte-guidare-sicuri-accordion-gestione-polizzainstallazione-dispositivo-satellitare-0" aria-label="Installazione dispositivo satellitare" title="Installazione dispositivo satellitare"&gt; con selettore: 
["#heading-item-posteinsurancebrokerposteinsurancebroker-moduliposte-guidare-sicuri-accordion-gestione-polizzainstallazione-dispositivo-satellitare-0-0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42" t="e">
        <f>_xlfn.XLOOKUP(Tabella4[[#This Row],[ID Silk]],outTable[ID Silk],outTable[Numero ticket  ],,0,1)</f>
        <v>#N/A</v>
      </c>
    </row>
    <row r="143" spans="1:32">
      <c r="A143" s="34" t="str">
        <f>MID(Tabella4[[#This Row],[Servizio]],1,4)&amp;Tabella4[[#This Row],[UNI CEI EN 301549]]</f>
        <v>S0029.2.5.8</v>
      </c>
      <c r="B143" s="34" t="str">
        <f>Tabella4[[#This Row],[ID Silk]]&amp;"_1"</f>
        <v>S0029.2.5.8_1</v>
      </c>
      <c r="C143" s="34" t="s">
        <v>884</v>
      </c>
      <c r="D143" s="2" t="str">
        <f>"(#"&amp;Tabella4[[#This Row],['#ID]]&amp;")"</f>
        <v>(#TM0104)</v>
      </c>
      <c r="E143" s="34" t="str">
        <f>IF(MID(Tabella4[[#This Row],['#ID]],1,1)="M","Mobile",IF(MID(Tabella4[[#This Row],['#ID]],1,1)="D","Desktop",IF(MID(Tabella4[[#This Row],['#ID]],1,2)="TM","Manuale","Documenti")))</f>
        <v>Manuale</v>
      </c>
      <c r="F143" s="34" t="s">
        <v>1006</v>
      </c>
      <c r="G143" s="34" t="s">
        <v>372</v>
      </c>
      <c r="H143" s="34" t="str">
        <f>IF(Tabella4[[#This Row],[Componente]]="Documenti","10.","9.")&amp;Tabella4[[#This Row],[Criterio]]</f>
        <v>9.2.5.8</v>
      </c>
      <c r="I143" s="34" t="s">
        <v>1023</v>
      </c>
      <c r="J143" s="34" t="s">
        <v>1032</v>
      </c>
      <c r="K143" s="34" t="s">
        <v>1033</v>
      </c>
      <c r="L143" s="34" t="s">
        <v>1034</v>
      </c>
      <c r="M143" s="34" t="s">
        <v>1035</v>
      </c>
      <c r="N143" t="s">
        <v>596</v>
      </c>
      <c r="O143" t="s">
        <v>597</v>
      </c>
      <c r="P143" t="s">
        <v>391</v>
      </c>
      <c r="R143" s="34" t="str">
        <f>IF(Tabella4[[#This Row],[Componente]]="Documenti",_xlfn.XLOOKUP(Tabella4[[#This Row],[URL]],Tabella27[URL],Tabella27[PDF ID],,0),_xlfn.XLOOKUP(Tabella4[[#This Row],[URL]],Tabella1[URL],Tabella1[Page ID],,0))</f>
        <v>#11</v>
      </c>
      <c r="S143" s="34" t="s">
        <v>1004</v>
      </c>
      <c r="T143" s="34" t="s">
        <v>518</v>
      </c>
      <c r="V143" t="s">
        <v>578</v>
      </c>
      <c r="W143" s="34" t="s">
        <v>1068</v>
      </c>
      <c r="X143"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id="heading-item-posteinsurancebrokerposteinsurancebroker-moduliposte-guidare-sicuri-accordion-gestione-polizzaassistenza-installazione-dispositivo-satellitare-1-1"&gt;</v>
      </c>
      <c r="Y143" s="34" t="str">
        <f>SUBSTITUTE(IF(Tabella4[[#This Row],[Tool]]="axe-core",MID(Tabella4[[#This Row],[Rejected Element]],3,LEN(Tabella4[[#This Row],[Rejected Element]])-4),Tabella4[[#This Row],[Rejected Element]]),"\","")</f>
        <v>#heading-item-posteinsurancebrokerposteinsurancebroker-moduliposte-guidare-sicuri-accordion-gestione-polizzaassistenza-installazione-dispositivo-satellitare-1-1</v>
      </c>
      <c r="Z143" s="34">
        <f>COUNTIFS(Tabella4[Detail univoco],Tabella4[[#This Row],[Detail univoco]],Tabella4[Rejected Element Univoco],Tabella4[[#This Row],[Rejected Element Univoco]],Tabella4[ItemsNodeLabel],Tabella4[[#This Row],[ItemsNodeLabel]])</f>
        <v>0</v>
      </c>
      <c r="AA143" s="34" t="str">
        <f>IF(Tabella4[[#This Row],[Componente]]="Documenti",VLOOKUP(Tabella4[[#This Row],[URL]],Tabella27[[URL]:[Servizio]],4,FALSE),VLOOKUP(Tabella4[[#This Row],[Page ID]],Tabella1[[Page ID]:[Servizio]],4,FALSE))</f>
        <v>S002 Poste Guidare Sicuri</v>
      </c>
      <c r="AB143" s="34"/>
      <c r="AC143" s="34" t="str">
        <f>Tabella4[[#This Row],[User Impact]]</f>
        <v>2 - Serious</v>
      </c>
      <c r="AD143" s="34" t="str">
        <f>Copertina!C$2&amp;" - "&amp;Tabella4[[#This Row],[UNI CEI EN 301549]]&amp;" "&amp;VLOOKUP(Tabella4[[#This Row],[Criterio]],Tabella5[[ID]:[Criterio di successo]],2,FALSE)&amp;" - "&amp;Tabella4[[#This Row],[Servizio]]&amp;":"</f>
        <v>Insurance Brocker - 9.2.5.8 Dimensione dell'obiettivo (minimo) - S002 Poste Guidare Sicuri:</v>
      </c>
      <c r="AE14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(#TM0104)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id="heading-item-posteinsurancebrokerposteinsurancebroker-moduliposte-guidare-sicuri-accordion-gestione-polizzaassistenza-installazione-dispositivo-satellitare-1-1"&gt; con selettore: 
["#heading-item-posteinsurancebrokerposteinsurancebroker-moduliposte-guidare-sicuri-accordion-gestione-polizzaassistenza-installazione-dispositivo-satellitare-1-1"]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43" t="e">
        <f>_xlfn.XLOOKUP(Tabella4[[#This Row],[ID Silk]],outTable[ID Silk],outTable[Numero ticket  ],,0,1)</f>
        <v>#N/A</v>
      </c>
    </row>
    <row r="144" spans="1:32">
      <c r="A144" s="34" t="str">
        <f>MID(Tabella4[[#This Row],[Servizio]],1,4)&amp;Tabella4[[#This Row],[UNI CEI EN 301549]]</f>
        <v>S0029.2.5.8</v>
      </c>
      <c r="B144" s="34" t="str">
        <f>Tabella4[[#This Row],[ID Silk]]&amp;"_1"</f>
        <v>S0029.2.5.8_1</v>
      </c>
      <c r="C144" s="34" t="s">
        <v>885</v>
      </c>
      <c r="D144" s="2" t="str">
        <f>"(#"&amp;Tabella4[[#This Row],['#ID]]&amp;")"</f>
        <v>(#TM0105)</v>
      </c>
      <c r="E144" s="34" t="str">
        <f>IF(MID(Tabella4[[#This Row],['#ID]],1,1)="M","Mobile",IF(MID(Tabella4[[#This Row],['#ID]],1,1)="D","Desktop",IF(MID(Tabella4[[#This Row],['#ID]],1,2)="TM","Manuale","Documenti")))</f>
        <v>Manuale</v>
      </c>
      <c r="F144" s="34" t="s">
        <v>1006</v>
      </c>
      <c r="G144" s="34" t="s">
        <v>372</v>
      </c>
      <c r="H144" s="34" t="str">
        <f>IF(Tabella4[[#This Row],[Componente]]="Documenti","10.","9.")&amp;Tabella4[[#This Row],[Criterio]]</f>
        <v>9.2.5.8</v>
      </c>
      <c r="I144" s="34" t="s">
        <v>1023</v>
      </c>
      <c r="J144" s="34" t="s">
        <v>1032</v>
      </c>
      <c r="K144" s="34" t="s">
        <v>1033</v>
      </c>
      <c r="L144" s="34" t="s">
        <v>1034</v>
      </c>
      <c r="M144" s="34" t="s">
        <v>1035</v>
      </c>
      <c r="N144" t="s">
        <v>622</v>
      </c>
      <c r="O144" t="s">
        <v>623</v>
      </c>
      <c r="P144" t="s">
        <v>391</v>
      </c>
      <c r="R144" s="34" t="str">
        <f>IF(Tabella4[[#This Row],[Componente]]="Documenti",_xlfn.XLOOKUP(Tabella4[[#This Row],[URL]],Tabella27[URL],Tabella27[PDF ID],,0),_xlfn.XLOOKUP(Tabella4[[#This Row],[URL]],Tabella1[URL],Tabella1[Page ID],,0))</f>
        <v>#11</v>
      </c>
      <c r="S144" s="34" t="s">
        <v>1004</v>
      </c>
      <c r="T144" s="34" t="s">
        <v>518</v>
      </c>
      <c r="V144" t="s">
        <v>580</v>
      </c>
      <c r="W144" s="34" t="s">
        <v>1068</v>
      </c>
      <c r="X14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href="#item-posteinsurancebrokerposteinsurancebroker-moduliposte-guidare-sicuri-accordion-gestione-polizzaassistenza-installazione-dispositivo-satellitare-1" aria-expanded="false" aria-controls="item-posteinsurancebrokerposteinsurancebroker-moduliposte-guidare-sicuri-accordion-gestione-polizzaassistenza-installazione-dispositivo-satellitare-1" aria-label="Assistenza sull'installazione del dispositivo satellitare" title="Assistenza sull'installazione del dispositivo satellitare"&gt;</v>
      </c>
      <c r="Y144" s="34" t="str">
        <f>SUBSTITUTE(IF(Tabella4[[#This Row],[Tool]]="axe-core",MID(Tabella4[[#This Row],[Rejected Element]],3,LEN(Tabella4[[#This Row],[Rejected Element]])-4),Tabella4[[#This Row],[Rejected Element]]),"\","")</f>
        <v>#heading-item-posteinsurancebrokerposteinsurancebroker-moduliposte-guidare-sicuri-accordion-gestione-polizzaassistenza-installazione-dispositivo-satellitare-1-1 &gt; .panel-title &gt; .accordion-toggle.collapsed[role="button"]</v>
      </c>
      <c r="Z144" s="34">
        <f>COUNTIFS(Tabella4[Detail univoco],Tabella4[[#This Row],[Detail univoco]],Tabella4[Rejected Element Univoco],Tabella4[[#This Row],[Rejected Element Univoco]],Tabella4[ItemsNodeLabel],Tabella4[[#This Row],[ItemsNodeLabel]])</f>
        <v>0</v>
      </c>
      <c r="AA144" s="34" t="str">
        <f>IF(Tabella4[[#This Row],[Componente]]="Documenti",VLOOKUP(Tabella4[[#This Row],[URL]],Tabella27[[URL]:[Servizio]],4,FALSE),VLOOKUP(Tabella4[[#This Row],[Page ID]],Tabella1[[Page ID]:[Servizio]],4,FALSE))</f>
        <v>S002 Poste Guidare Sicuri</v>
      </c>
      <c r="AB144" s="34"/>
      <c r="AC144" s="34" t="str">
        <f>Tabella4[[#This Row],[User Impact]]</f>
        <v>2 - Serious</v>
      </c>
      <c r="AD144" s="34" t="str">
        <f>Copertina!C$2&amp;" - "&amp;Tabella4[[#This Row],[UNI CEI EN 301549]]&amp;" "&amp;VLOOKUP(Tabella4[[#This Row],[Criterio]],Tabella5[[ID]:[Criterio di successo]],2,FALSE)&amp;" - "&amp;Tabella4[[#This Row],[Servizio]]&amp;":"</f>
        <v>Insurance Brocker - 9.2.5.8 Dimensione dell'obiettivo (minimo) - S002 Poste Guidare Sicuri:</v>
      </c>
      <c r="AE14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(#TM0105)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href="#item-posteinsurancebrokerposteinsurancebroker-moduliposte-guidare-sicuri-accordion-gestione-polizzaassistenza-installazione-dispositivo-satellitare-1" aria-expanded="false" aria-controls="item-posteinsurancebrokerposteinsurancebroker-moduliposte-guidare-sicuri-accordion-gestione-polizzaassistenza-installazione-dispositivo-satellitare-1" aria-label="Assistenza sull'installazione del dispositivo satellitare" title="Assistenza sull'installazione del dispositivo satellitare"&gt; con selettore: 
["#heading-item-posteinsurancebrokerposteinsurancebroker-moduliposte-guidare-sicuri-accordion-gestione-polizzaassistenza-installazione-dispositivo-satellitare-1-1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44" t="e">
        <f>_xlfn.XLOOKUP(Tabella4[[#This Row],[ID Silk]],outTable[ID Silk],outTable[Numero ticket  ],,0,1)</f>
        <v>#N/A</v>
      </c>
    </row>
    <row r="145" spans="1:32">
      <c r="A145" s="34" t="str">
        <f>MID(Tabella4[[#This Row],[Servizio]],1,4)&amp;Tabella4[[#This Row],[UNI CEI EN 301549]]</f>
        <v>S0029.2.5.8</v>
      </c>
      <c r="B145" s="34" t="str">
        <f>Tabella4[[#This Row],[ID Silk]]&amp;"_1"</f>
        <v>S0029.2.5.8_1</v>
      </c>
      <c r="C145" s="34" t="s">
        <v>886</v>
      </c>
      <c r="D145" s="2" t="str">
        <f>"(#"&amp;Tabella4[[#This Row],['#ID]]&amp;")"</f>
        <v>(#TM0106)</v>
      </c>
      <c r="E145" s="34" t="str">
        <f>IF(MID(Tabella4[[#This Row],['#ID]],1,1)="M","Mobile",IF(MID(Tabella4[[#This Row],['#ID]],1,1)="D","Desktop",IF(MID(Tabella4[[#This Row],['#ID]],1,2)="TM","Manuale","Documenti")))</f>
        <v>Manuale</v>
      </c>
      <c r="F145" s="34" t="s">
        <v>1006</v>
      </c>
      <c r="G145" s="34" t="s">
        <v>372</v>
      </c>
      <c r="H145" s="34" t="str">
        <f>IF(Tabella4[[#This Row],[Componente]]="Documenti","10.","9.")&amp;Tabella4[[#This Row],[Criterio]]</f>
        <v>9.2.5.8</v>
      </c>
      <c r="I145" s="34" t="s">
        <v>1023</v>
      </c>
      <c r="J145" s="34" t="s">
        <v>1032</v>
      </c>
      <c r="K145" s="34" t="s">
        <v>1033</v>
      </c>
      <c r="L145" s="34" t="s">
        <v>1034</v>
      </c>
      <c r="M145" s="34" t="s">
        <v>1035</v>
      </c>
      <c r="N145" t="s">
        <v>598</v>
      </c>
      <c r="O145" t="s">
        <v>599</v>
      </c>
      <c r="P145" t="s">
        <v>391</v>
      </c>
      <c r="R145" s="34" t="str">
        <f>IF(Tabella4[[#This Row],[Componente]]="Documenti",_xlfn.XLOOKUP(Tabella4[[#This Row],[URL]],Tabella27[URL],Tabella27[PDF ID],,0),_xlfn.XLOOKUP(Tabella4[[#This Row],[URL]],Tabella1[URL],Tabella1[Page ID],,0))</f>
        <v>#11</v>
      </c>
      <c r="S145" s="34" t="s">
        <v>1004</v>
      </c>
      <c r="T145" s="34" t="s">
        <v>518</v>
      </c>
      <c r="V145" t="s">
        <v>578</v>
      </c>
      <c r="W145" s="34" t="s">
        <v>1068</v>
      </c>
      <c r="X145"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id="heading-item-posteinsurancebrokerposteinsurancebroker-moduliposte-guidare-sicuri-accordion-gestione-polizzaapp-utilizzo-servizi-dispositivo-satellitare-2-2"&gt;</v>
      </c>
      <c r="Y145" s="34" t="str">
        <f>SUBSTITUTE(IF(Tabella4[[#This Row],[Tool]]="axe-core",MID(Tabella4[[#This Row],[Rejected Element]],3,LEN(Tabella4[[#This Row],[Rejected Element]])-4),Tabella4[[#This Row],[Rejected Element]]),"\","")</f>
        <v>#heading-item-posteinsurancebrokerposteinsurancebroker-moduliposte-guidare-sicuri-accordion-gestione-polizzaapp-utilizzo-servizi-dispositivo-satellitare-2-2</v>
      </c>
      <c r="Z145" s="34">
        <f>COUNTIFS(Tabella4[Detail univoco],Tabella4[[#This Row],[Detail univoco]],Tabella4[Rejected Element Univoco],Tabella4[[#This Row],[Rejected Element Univoco]],Tabella4[ItemsNodeLabel],Tabella4[[#This Row],[ItemsNodeLabel]])</f>
        <v>0</v>
      </c>
      <c r="AA145" s="34" t="str">
        <f>IF(Tabella4[[#This Row],[Componente]]="Documenti",VLOOKUP(Tabella4[[#This Row],[URL]],Tabella27[[URL]:[Servizio]],4,FALSE),VLOOKUP(Tabella4[[#This Row],[Page ID]],Tabella1[[Page ID]:[Servizio]],4,FALSE))</f>
        <v>S002 Poste Guidare Sicuri</v>
      </c>
      <c r="AB145" s="34"/>
      <c r="AC145" s="34" t="str">
        <f>Tabella4[[#This Row],[User Impact]]</f>
        <v>2 - Serious</v>
      </c>
      <c r="AD145" s="34" t="str">
        <f>Copertina!C$2&amp;" - "&amp;Tabella4[[#This Row],[UNI CEI EN 301549]]&amp;" "&amp;VLOOKUP(Tabella4[[#This Row],[Criterio]],Tabella5[[ID]:[Criterio di successo]],2,FALSE)&amp;" - "&amp;Tabella4[[#This Row],[Servizio]]&amp;":"</f>
        <v>Insurance Brocker - 9.2.5.8 Dimensione dell'obiettivo (minimo) - S002 Poste Guidare Sicuri:</v>
      </c>
      <c r="AE14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(#TM0106)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id="heading-item-posteinsurancebrokerposteinsurancebroker-moduliposte-guidare-sicuri-accordion-gestione-polizzaapp-utilizzo-servizi-dispositivo-satellitare-2-2"&gt; con selettore: 
["#heading-item-posteinsurancebrokerposteinsurancebroker-moduliposte-guidare-sicuri-accordion-gestione-polizzaapp-utilizzo-servizi-dispositivo-satellitare-2-2"]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45" t="e">
        <f>_xlfn.XLOOKUP(Tabella4[[#This Row],[ID Silk]],outTable[ID Silk],outTable[Numero ticket  ],,0,1)</f>
        <v>#N/A</v>
      </c>
    </row>
    <row r="146" spans="1:32">
      <c r="A146" s="34" t="str">
        <f>MID(Tabella4[[#This Row],[Servizio]],1,4)&amp;Tabella4[[#This Row],[UNI CEI EN 301549]]</f>
        <v>S0029.2.5.8</v>
      </c>
      <c r="B146" s="34" t="str">
        <f>Tabella4[[#This Row],[ID Silk]]&amp;"_1"</f>
        <v>S0029.2.5.8_1</v>
      </c>
      <c r="C146" s="34" t="s">
        <v>887</v>
      </c>
      <c r="D146" s="2" t="str">
        <f>"(#"&amp;Tabella4[[#This Row],['#ID]]&amp;")"</f>
        <v>(#TM0107)</v>
      </c>
      <c r="E146" s="34" t="str">
        <f>IF(MID(Tabella4[[#This Row],['#ID]],1,1)="M","Mobile",IF(MID(Tabella4[[#This Row],['#ID]],1,1)="D","Desktop",IF(MID(Tabella4[[#This Row],['#ID]],1,2)="TM","Manuale","Documenti")))</f>
        <v>Manuale</v>
      </c>
      <c r="F146" s="34" t="s">
        <v>1006</v>
      </c>
      <c r="G146" s="34" t="s">
        <v>372</v>
      </c>
      <c r="H146" s="34" t="str">
        <f>IF(Tabella4[[#This Row],[Componente]]="Documenti","10.","9.")&amp;Tabella4[[#This Row],[Criterio]]</f>
        <v>9.2.5.8</v>
      </c>
      <c r="I146" s="34" t="s">
        <v>1023</v>
      </c>
      <c r="J146" s="34" t="s">
        <v>1032</v>
      </c>
      <c r="K146" s="34" t="s">
        <v>1033</v>
      </c>
      <c r="L146" s="34" t="s">
        <v>1034</v>
      </c>
      <c r="M146" s="34" t="s">
        <v>1035</v>
      </c>
      <c r="N146" t="s">
        <v>624</v>
      </c>
      <c r="O146" t="s">
        <v>625</v>
      </c>
      <c r="P146" t="s">
        <v>391</v>
      </c>
      <c r="R146" s="34" t="str">
        <f>IF(Tabella4[[#This Row],[Componente]]="Documenti",_xlfn.XLOOKUP(Tabella4[[#This Row],[URL]],Tabella27[URL],Tabella27[PDF ID],,0),_xlfn.XLOOKUP(Tabella4[[#This Row],[URL]],Tabella1[URL],Tabella1[Page ID],,0))</f>
        <v>#11</v>
      </c>
      <c r="S146" s="34" t="s">
        <v>1004</v>
      </c>
      <c r="T146" s="34" t="s">
        <v>518</v>
      </c>
      <c r="V146" t="s">
        <v>580</v>
      </c>
      <c r="W146" s="34" t="s">
        <v>1068</v>
      </c>
      <c r="X14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href="#item-posteinsurancebrokerposteinsurancebroker-moduliposte-guidare-sicuri-accordion-gestione-polizzaapp-utilizzo-servizi-dispositivo-satellitare-2" aria-expanded="false" aria-controls="item-posteinsurancebrokerposteinsurancebroker-moduliposte-guidare-sicuri-accordion-gestione-polizzaapp-utilizzo-servizi-dispositivo-satellitare-2" aria-label="App per utilizzo servizi del dispositivo satellitare" title="App per utilizzo servizi del dispositivo satellitare"&gt;</v>
      </c>
      <c r="Y146" s="34" t="str">
        <f>SUBSTITUTE(IF(Tabella4[[#This Row],[Tool]]="axe-core",MID(Tabella4[[#This Row],[Rejected Element]],3,LEN(Tabella4[[#This Row],[Rejected Element]])-4),Tabella4[[#This Row],[Rejected Element]]),"\","")</f>
        <v>#heading-item-posteinsurancebrokerposteinsurancebroker-moduliposte-guidare-sicuri-accordion-gestione-polizzaapp-utilizzo-servizi-dispositivo-satellitare-2-2 &gt; .panel-title &gt; .accordion-toggle.collapsed[role="button"]</v>
      </c>
      <c r="Z146" s="34">
        <f>COUNTIFS(Tabella4[Detail univoco],Tabella4[[#This Row],[Detail univoco]],Tabella4[Rejected Element Univoco],Tabella4[[#This Row],[Rejected Element Univoco]],Tabella4[ItemsNodeLabel],Tabella4[[#This Row],[ItemsNodeLabel]])</f>
        <v>0</v>
      </c>
      <c r="AA146" s="34" t="str">
        <f>IF(Tabella4[[#This Row],[Componente]]="Documenti",VLOOKUP(Tabella4[[#This Row],[URL]],Tabella27[[URL]:[Servizio]],4,FALSE),VLOOKUP(Tabella4[[#This Row],[Page ID]],Tabella1[[Page ID]:[Servizio]],4,FALSE))</f>
        <v>S002 Poste Guidare Sicuri</v>
      </c>
      <c r="AB146" s="34"/>
      <c r="AC146" s="34" t="str">
        <f>Tabella4[[#This Row],[User Impact]]</f>
        <v>2 - Serious</v>
      </c>
      <c r="AD146" s="34" t="str">
        <f>Copertina!C$2&amp;" - "&amp;Tabella4[[#This Row],[UNI CEI EN 301549]]&amp;" "&amp;VLOOKUP(Tabella4[[#This Row],[Criterio]],Tabella5[[ID]:[Criterio di successo]],2,FALSE)&amp;" - "&amp;Tabella4[[#This Row],[Servizio]]&amp;":"</f>
        <v>Insurance Brocker - 9.2.5.8 Dimensione dell'obiettivo (minimo) - S002 Poste Guidare Sicuri:</v>
      </c>
      <c r="AE14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(#TM0107)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href="#item-posteinsurancebrokerposteinsurancebroker-moduliposte-guidare-sicuri-accordion-gestione-polizzaapp-utilizzo-servizi-dispositivo-satellitare-2" aria-expanded="false" aria-controls="item-posteinsurancebrokerposteinsurancebroker-moduliposte-guidare-sicuri-accordion-gestione-polizzaapp-utilizzo-servizi-dispositivo-satellitare-2" aria-label="App per utilizzo servizi del dispositivo satellitare" title="App per utilizzo servizi del dispositivo satellitare"&gt; con selettore: 
["#heading-item-posteinsurancebrokerposteinsurancebroker-moduliposte-guidare-sicuri-accordion-gestione-polizzaapp-utilizzo-servizi-dispositivo-satellitare-2-2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46" t="e">
        <f>_xlfn.XLOOKUP(Tabella4[[#This Row],[ID Silk]],outTable[ID Silk],outTable[Numero ticket  ],,0,1)</f>
        <v>#N/A</v>
      </c>
    </row>
    <row r="147" spans="1:32">
      <c r="A147" s="34" t="str">
        <f>MID(Tabella4[[#This Row],[Servizio]],1,4)&amp;Tabella4[[#This Row],[UNI CEI EN 301549]]</f>
        <v>S0029.2.5.8</v>
      </c>
      <c r="B147" s="34" t="str">
        <f>Tabella4[[#This Row],[ID Silk]]&amp;"_1"</f>
        <v>S0029.2.5.8_1</v>
      </c>
      <c r="C147" s="34" t="s">
        <v>888</v>
      </c>
      <c r="D147" s="2" t="str">
        <f>"(#"&amp;Tabella4[[#This Row],['#ID]]&amp;")"</f>
        <v>(#TM0108)</v>
      </c>
      <c r="E147" s="34" t="str">
        <f>IF(MID(Tabella4[[#This Row],['#ID]],1,1)="M","Mobile",IF(MID(Tabella4[[#This Row],['#ID]],1,1)="D","Desktop",IF(MID(Tabella4[[#This Row],['#ID]],1,2)="TM","Manuale","Documenti")))</f>
        <v>Manuale</v>
      </c>
      <c r="F147" s="34" t="s">
        <v>1006</v>
      </c>
      <c r="G147" s="34" t="s">
        <v>372</v>
      </c>
      <c r="H147" s="34" t="str">
        <f>IF(Tabella4[[#This Row],[Componente]]="Documenti","10.","9.")&amp;Tabella4[[#This Row],[Criterio]]</f>
        <v>9.2.5.8</v>
      </c>
      <c r="I147" s="34" t="s">
        <v>1023</v>
      </c>
      <c r="J147" s="34" t="s">
        <v>1032</v>
      </c>
      <c r="K147" s="34" t="s">
        <v>1033</v>
      </c>
      <c r="L147" s="34" t="s">
        <v>1034</v>
      </c>
      <c r="M147" s="34" t="s">
        <v>1035</v>
      </c>
      <c r="N147" t="s">
        <v>600</v>
      </c>
      <c r="O147" t="s">
        <v>601</v>
      </c>
      <c r="P147" t="s">
        <v>391</v>
      </c>
      <c r="R147" s="34" t="str">
        <f>IF(Tabella4[[#This Row],[Componente]]="Documenti",_xlfn.XLOOKUP(Tabella4[[#This Row],[URL]],Tabella27[URL],Tabella27[PDF ID],,0),_xlfn.XLOOKUP(Tabella4[[#This Row],[URL]],Tabella1[URL],Tabella1[Page ID],,0))</f>
        <v>#11</v>
      </c>
      <c r="S147" s="34" t="s">
        <v>1004</v>
      </c>
      <c r="T147" s="34" t="s">
        <v>518</v>
      </c>
      <c r="V147" t="s">
        <v>578</v>
      </c>
      <c r="W147" s="34" t="s">
        <v>1068</v>
      </c>
      <c r="X147"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id="heading-item-posteinsurancebrokerposteinsurancebroker-moduliposte-guidare-sicuri-accordion-gestione-polizzapagamento-seconda-rata-semestrale-3-3"&gt;</v>
      </c>
      <c r="Y147" s="34" t="str">
        <f>SUBSTITUTE(IF(Tabella4[[#This Row],[Tool]]="axe-core",MID(Tabella4[[#This Row],[Rejected Element]],3,LEN(Tabella4[[#This Row],[Rejected Element]])-4),Tabella4[[#This Row],[Rejected Element]]),"\","")</f>
        <v>#heading-item-posteinsurancebrokerposteinsurancebroker-moduliposte-guidare-sicuri-accordion-gestione-polizzapagamento-seconda-rata-semestrale-3-3</v>
      </c>
      <c r="Z147" s="34">
        <f>COUNTIFS(Tabella4[Detail univoco],Tabella4[[#This Row],[Detail univoco]],Tabella4[Rejected Element Univoco],Tabella4[[#This Row],[Rejected Element Univoco]],Tabella4[ItemsNodeLabel],Tabella4[[#This Row],[ItemsNodeLabel]])</f>
        <v>0</v>
      </c>
      <c r="AA147" s="34" t="str">
        <f>IF(Tabella4[[#This Row],[Componente]]="Documenti",VLOOKUP(Tabella4[[#This Row],[URL]],Tabella27[[URL]:[Servizio]],4,FALSE),VLOOKUP(Tabella4[[#This Row],[Page ID]],Tabella1[[Page ID]:[Servizio]],4,FALSE))</f>
        <v>S002 Poste Guidare Sicuri</v>
      </c>
      <c r="AB147" s="34"/>
      <c r="AC147" s="34" t="str">
        <f>Tabella4[[#This Row],[User Impact]]</f>
        <v>2 - Serious</v>
      </c>
      <c r="AD147" s="34" t="str">
        <f>Copertina!C$2&amp;" - "&amp;Tabella4[[#This Row],[UNI CEI EN 301549]]&amp;" "&amp;VLOOKUP(Tabella4[[#This Row],[Criterio]],Tabella5[[ID]:[Criterio di successo]],2,FALSE)&amp;" - "&amp;Tabella4[[#This Row],[Servizio]]&amp;":"</f>
        <v>Insurance Brocker - 9.2.5.8 Dimensione dell'obiettivo (minimo) - S002 Poste Guidare Sicuri:</v>
      </c>
      <c r="AE14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(#TM0108)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id="heading-item-posteinsurancebrokerposteinsurancebroker-moduliposte-guidare-sicuri-accordion-gestione-polizzapagamento-seconda-rata-semestrale-3-3"&gt; con selettore: 
["#heading-item-posteinsurancebrokerposteinsurancebroker-moduliposte-guidare-sicuri-accordion-gestione-polizzapagamento-seconda-rata-semestrale-3-3"]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47" t="e">
        <f>_xlfn.XLOOKUP(Tabella4[[#This Row],[ID Silk]],outTable[ID Silk],outTable[Numero ticket  ],,0,1)</f>
        <v>#N/A</v>
      </c>
    </row>
    <row r="148" spans="1:32">
      <c r="A148" s="34" t="str">
        <f>MID(Tabella4[[#This Row],[Servizio]],1,4)&amp;Tabella4[[#This Row],[UNI CEI EN 301549]]</f>
        <v>S0029.2.5.8</v>
      </c>
      <c r="B148" s="34" t="str">
        <f>Tabella4[[#This Row],[ID Silk]]&amp;"_1"</f>
        <v>S0029.2.5.8_1</v>
      </c>
      <c r="C148" s="34" t="s">
        <v>889</v>
      </c>
      <c r="D148" s="2" t="str">
        <f>"(#"&amp;Tabella4[[#This Row],['#ID]]&amp;")"</f>
        <v>(#TM0109)</v>
      </c>
      <c r="E148" s="34" t="str">
        <f>IF(MID(Tabella4[[#This Row],['#ID]],1,1)="M","Mobile",IF(MID(Tabella4[[#This Row],['#ID]],1,1)="D","Desktop",IF(MID(Tabella4[[#This Row],['#ID]],1,2)="TM","Manuale","Documenti")))</f>
        <v>Manuale</v>
      </c>
      <c r="F148" s="34" t="s">
        <v>1006</v>
      </c>
      <c r="G148" s="34" t="s">
        <v>372</v>
      </c>
      <c r="H148" s="34" t="str">
        <f>IF(Tabella4[[#This Row],[Componente]]="Documenti","10.","9.")&amp;Tabella4[[#This Row],[Criterio]]</f>
        <v>9.2.5.8</v>
      </c>
      <c r="I148" s="34" t="s">
        <v>1023</v>
      </c>
      <c r="J148" s="34" t="s">
        <v>1032</v>
      </c>
      <c r="K148" s="34" t="s">
        <v>1033</v>
      </c>
      <c r="L148" s="34" t="s">
        <v>1034</v>
      </c>
      <c r="M148" s="34" t="s">
        <v>1035</v>
      </c>
      <c r="N148" t="s">
        <v>626</v>
      </c>
      <c r="O148" t="s">
        <v>627</v>
      </c>
      <c r="P148" t="s">
        <v>391</v>
      </c>
      <c r="R148" s="34" t="str">
        <f>IF(Tabella4[[#This Row],[Componente]]="Documenti",_xlfn.XLOOKUP(Tabella4[[#This Row],[URL]],Tabella27[URL],Tabella27[PDF ID],,0),_xlfn.XLOOKUP(Tabella4[[#This Row],[URL]],Tabella1[URL],Tabella1[Page ID],,0))</f>
        <v>#11</v>
      </c>
      <c r="S148" s="34" t="s">
        <v>1004</v>
      </c>
      <c r="T148" s="34" t="s">
        <v>518</v>
      </c>
      <c r="V148" t="s">
        <v>580</v>
      </c>
      <c r="W148" s="34" t="s">
        <v>1068</v>
      </c>
      <c r="X14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href="#item-posteinsurancebrokerposteinsurancebroker-moduliposte-guidare-sicuri-accordion-gestione-polizzapagamento-seconda-rata-semestrale-3" aria-expanded="false" aria-controls="item-posteinsurancebrokerposteinsurancebroker-moduliposte-guidare-sicuri-accordion-gestione-polizzapagamento-seconda-rata-semestrale-3" aria-label="Pagamento seconda rata semestrale" title="Pagamento seconda rata semestrale"&gt;</v>
      </c>
      <c r="Y148" s="34" t="str">
        <f>SUBSTITUTE(IF(Tabella4[[#This Row],[Tool]]="axe-core",MID(Tabella4[[#This Row],[Rejected Element]],3,LEN(Tabella4[[#This Row],[Rejected Element]])-4),Tabella4[[#This Row],[Rejected Element]]),"\","")</f>
        <v>#heading-item-posteinsurancebrokerposteinsurancebroker-moduliposte-guidare-sicuri-accordion-gestione-polizzapagamento-seconda-rata-semestrale-3-3 &gt; .panel-title &gt; .accordion-toggle.collapsed[role="button"]</v>
      </c>
      <c r="Z148" s="34">
        <f>COUNTIFS(Tabella4[Detail univoco],Tabella4[[#This Row],[Detail univoco]],Tabella4[Rejected Element Univoco],Tabella4[[#This Row],[Rejected Element Univoco]],Tabella4[ItemsNodeLabel],Tabella4[[#This Row],[ItemsNodeLabel]])</f>
        <v>0</v>
      </c>
      <c r="AA148" s="34" t="str">
        <f>IF(Tabella4[[#This Row],[Componente]]="Documenti",VLOOKUP(Tabella4[[#This Row],[URL]],Tabella27[[URL]:[Servizio]],4,FALSE),VLOOKUP(Tabella4[[#This Row],[Page ID]],Tabella1[[Page ID]:[Servizio]],4,FALSE))</f>
        <v>S002 Poste Guidare Sicuri</v>
      </c>
      <c r="AB148" s="34"/>
      <c r="AC148" s="34" t="str">
        <f>Tabella4[[#This Row],[User Impact]]</f>
        <v>2 - Serious</v>
      </c>
      <c r="AD148" s="34" t="str">
        <f>Copertina!C$2&amp;" - "&amp;Tabella4[[#This Row],[UNI CEI EN 301549]]&amp;" "&amp;VLOOKUP(Tabella4[[#This Row],[Criterio]],Tabella5[[ID]:[Criterio di successo]],2,FALSE)&amp;" - "&amp;Tabella4[[#This Row],[Servizio]]&amp;":"</f>
        <v>Insurance Brocker - 9.2.5.8 Dimensione dell'obiettivo (minimo) - S002 Poste Guidare Sicuri:</v>
      </c>
      <c r="AE14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(#TM0109)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href="#item-posteinsurancebrokerposteinsurancebroker-moduliposte-guidare-sicuri-accordion-gestione-polizzapagamento-seconda-rata-semestrale-3" aria-expanded="false" aria-controls="item-posteinsurancebrokerposteinsurancebroker-moduliposte-guidare-sicuri-accordion-gestione-polizzapagamento-seconda-rata-semestrale-3" aria-label="Pagamento seconda rata semestrale" title="Pagamento seconda rata semestrale"&gt; con selettore: 
["#heading-item-posteinsurancebrokerposteinsurancebroker-moduliposte-guidare-sicuri-accordion-gestione-polizzapagamento-seconda-rata-semestrale-3-3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48" t="e">
        <f>_xlfn.XLOOKUP(Tabella4[[#This Row],[ID Silk]],outTable[ID Silk],outTable[Numero ticket  ],,0,1)</f>
        <v>#N/A</v>
      </c>
    </row>
    <row r="149" spans="1:32">
      <c r="A149" s="34" t="str">
        <f>MID(Tabella4[[#This Row],[Servizio]],1,4)&amp;Tabella4[[#This Row],[UNI CEI EN 301549]]</f>
        <v>S0029.2.5.8</v>
      </c>
      <c r="B149" s="34" t="str">
        <f>Tabella4[[#This Row],[ID Silk]]&amp;"_1"</f>
        <v>S0029.2.5.8_1</v>
      </c>
      <c r="C149" s="34" t="s">
        <v>890</v>
      </c>
      <c r="D149" s="2" t="str">
        <f>"(#"&amp;Tabella4[[#This Row],['#ID]]&amp;")"</f>
        <v>(#TM0110)</v>
      </c>
      <c r="E149" s="34" t="str">
        <f>IF(MID(Tabella4[[#This Row],['#ID]],1,1)="M","Mobile",IF(MID(Tabella4[[#This Row],['#ID]],1,1)="D","Desktop",IF(MID(Tabella4[[#This Row],['#ID]],1,2)="TM","Manuale","Documenti")))</f>
        <v>Manuale</v>
      </c>
      <c r="F149" s="34" t="s">
        <v>1006</v>
      </c>
      <c r="G149" s="34" t="s">
        <v>372</v>
      </c>
      <c r="H149" s="34" t="str">
        <f>IF(Tabella4[[#This Row],[Componente]]="Documenti","10.","9.")&amp;Tabella4[[#This Row],[Criterio]]</f>
        <v>9.2.5.8</v>
      </c>
      <c r="I149" s="34" t="s">
        <v>1023</v>
      </c>
      <c r="J149" s="34" t="s">
        <v>1032</v>
      </c>
      <c r="K149" s="34" t="s">
        <v>1033</v>
      </c>
      <c r="L149" s="34" t="s">
        <v>1034</v>
      </c>
      <c r="M149" s="34" t="s">
        <v>1035</v>
      </c>
      <c r="N149" t="s">
        <v>602</v>
      </c>
      <c r="O149" t="s">
        <v>603</v>
      </c>
      <c r="P149" t="s">
        <v>391</v>
      </c>
      <c r="R149" s="34" t="str">
        <f>IF(Tabella4[[#This Row],[Componente]]="Documenti",_xlfn.XLOOKUP(Tabella4[[#This Row],[URL]],Tabella27[URL],Tabella27[PDF ID],,0),_xlfn.XLOOKUP(Tabella4[[#This Row],[URL]],Tabella1[URL],Tabella1[Page ID],,0))</f>
        <v>#11</v>
      </c>
      <c r="S149" s="34" t="s">
        <v>1004</v>
      </c>
      <c r="T149" s="34" t="s">
        <v>518</v>
      </c>
      <c r="V149" t="s">
        <v>578</v>
      </c>
      <c r="W149" s="34" t="s">
        <v>1068</v>
      </c>
      <c r="X149"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id="heading-item-posteinsurancebrokerposteinsurancebroker-moduliposte-guidare-sicuri-accordion-gestione-polizzasinistri-4-4"&gt;</v>
      </c>
      <c r="Y149" s="34" t="str">
        <f>SUBSTITUTE(IF(Tabella4[[#This Row],[Tool]]="axe-core",MID(Tabella4[[#This Row],[Rejected Element]],3,LEN(Tabella4[[#This Row],[Rejected Element]])-4),Tabella4[[#This Row],[Rejected Element]]),"\","")</f>
        <v>#heading-item-posteinsurancebrokerposteinsurancebroker-moduliposte-guidare-sicuri-accordion-gestione-polizzasinistri-4-4</v>
      </c>
      <c r="Z149" s="34">
        <f>COUNTIFS(Tabella4[Detail univoco],Tabella4[[#This Row],[Detail univoco]],Tabella4[Rejected Element Univoco],Tabella4[[#This Row],[Rejected Element Univoco]],Tabella4[ItemsNodeLabel],Tabella4[[#This Row],[ItemsNodeLabel]])</f>
        <v>0</v>
      </c>
      <c r="AA149" s="34" t="str">
        <f>IF(Tabella4[[#This Row],[Componente]]="Documenti",VLOOKUP(Tabella4[[#This Row],[URL]],Tabella27[[URL]:[Servizio]],4,FALSE),VLOOKUP(Tabella4[[#This Row],[Page ID]],Tabella1[[Page ID]:[Servizio]],4,FALSE))</f>
        <v>S002 Poste Guidare Sicuri</v>
      </c>
      <c r="AB149" s="34"/>
      <c r="AC149" s="34" t="str">
        <f>Tabella4[[#This Row],[User Impact]]</f>
        <v>2 - Serious</v>
      </c>
      <c r="AD149" s="34" t="str">
        <f>Copertina!C$2&amp;" - "&amp;Tabella4[[#This Row],[UNI CEI EN 301549]]&amp;" "&amp;VLOOKUP(Tabella4[[#This Row],[Criterio]],Tabella5[[ID]:[Criterio di successo]],2,FALSE)&amp;" - "&amp;Tabella4[[#This Row],[Servizio]]&amp;":"</f>
        <v>Insurance Brocker - 9.2.5.8 Dimensione dell'obiettivo (minimo) - S002 Poste Guidare Sicuri:</v>
      </c>
      <c r="AE14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(#TM0110)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id="heading-item-posteinsurancebrokerposteinsurancebroker-moduliposte-guidare-sicuri-accordion-gestione-polizzasinistri-4-4"&gt; con selettore: 
["#heading-item-posteinsurancebrokerposteinsurancebroker-moduliposte-guidare-sicuri-accordion-gestione-polizzasinistri-4-4"]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49" t="e">
        <f>_xlfn.XLOOKUP(Tabella4[[#This Row],[ID Silk]],outTable[ID Silk],outTable[Numero ticket  ],,0,1)</f>
        <v>#N/A</v>
      </c>
    </row>
    <row r="150" spans="1:32">
      <c r="A150" s="34" t="str">
        <f>MID(Tabella4[[#This Row],[Servizio]],1,4)&amp;Tabella4[[#This Row],[UNI CEI EN 301549]]</f>
        <v>S0029.2.5.8</v>
      </c>
      <c r="B150" s="34" t="str">
        <f>Tabella4[[#This Row],[ID Silk]]&amp;"_1"</f>
        <v>S0029.2.5.8_1</v>
      </c>
      <c r="C150" s="34" t="s">
        <v>891</v>
      </c>
      <c r="D150" s="2" t="str">
        <f>"(#"&amp;Tabella4[[#This Row],['#ID]]&amp;")"</f>
        <v>(#TM0111)</v>
      </c>
      <c r="E150" s="34" t="str">
        <f>IF(MID(Tabella4[[#This Row],['#ID]],1,1)="M","Mobile",IF(MID(Tabella4[[#This Row],['#ID]],1,1)="D","Desktop",IF(MID(Tabella4[[#This Row],['#ID]],1,2)="TM","Manuale","Documenti")))</f>
        <v>Manuale</v>
      </c>
      <c r="F150" s="34" t="s">
        <v>1006</v>
      </c>
      <c r="G150" s="34" t="s">
        <v>372</v>
      </c>
      <c r="H150" s="34" t="str">
        <f>IF(Tabella4[[#This Row],[Componente]]="Documenti","10.","9.")&amp;Tabella4[[#This Row],[Criterio]]</f>
        <v>9.2.5.8</v>
      </c>
      <c r="I150" s="34" t="s">
        <v>1023</v>
      </c>
      <c r="J150" s="34" t="s">
        <v>1032</v>
      </c>
      <c r="K150" s="34" t="s">
        <v>1033</v>
      </c>
      <c r="L150" s="34" t="s">
        <v>1034</v>
      </c>
      <c r="M150" s="34" t="s">
        <v>1035</v>
      </c>
      <c r="N150" t="s">
        <v>628</v>
      </c>
      <c r="O150" t="s">
        <v>629</v>
      </c>
      <c r="P150" t="s">
        <v>391</v>
      </c>
      <c r="R150" s="34" t="str">
        <f>IF(Tabella4[[#This Row],[Componente]]="Documenti",_xlfn.XLOOKUP(Tabella4[[#This Row],[URL]],Tabella27[URL],Tabella27[PDF ID],,0),_xlfn.XLOOKUP(Tabella4[[#This Row],[URL]],Tabella1[URL],Tabella1[Page ID],,0))</f>
        <v>#11</v>
      </c>
      <c r="S150" s="34" t="s">
        <v>1004</v>
      </c>
      <c r="T150" s="34" t="s">
        <v>518</v>
      </c>
      <c r="V150" t="s">
        <v>580</v>
      </c>
      <c r="W150" s="34" t="s">
        <v>1068</v>
      </c>
      <c r="X15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href="#item-posteinsurancebrokerposteinsurancebroker-moduliposte-guidare-sicuri-accordion-gestione-polizzasinistri-4" aria-expanded="false" aria-controls="item-posteinsurancebrokerposteinsurancebroker-moduliposte-guidare-sicuri-accordion-gestione-polizzasinistri-4" aria-label="Sinistri" title="Sinistri"&gt;</v>
      </c>
      <c r="Y150" s="34" t="str">
        <f>SUBSTITUTE(IF(Tabella4[[#This Row],[Tool]]="axe-core",MID(Tabella4[[#This Row],[Rejected Element]],3,LEN(Tabella4[[#This Row],[Rejected Element]])-4),Tabella4[[#This Row],[Rejected Element]]),"\","")</f>
        <v>a[aria-label="Sinistri"]</v>
      </c>
      <c r="Z150" s="34">
        <f>COUNTIFS(Tabella4[Detail univoco],Tabella4[[#This Row],[Detail univoco]],Tabella4[Rejected Element Univoco],Tabella4[[#This Row],[Rejected Element Univoco]],Tabella4[ItemsNodeLabel],Tabella4[[#This Row],[ItemsNodeLabel]])</f>
        <v>0</v>
      </c>
      <c r="AA150" s="34" t="str">
        <f>IF(Tabella4[[#This Row],[Componente]]="Documenti",VLOOKUP(Tabella4[[#This Row],[URL]],Tabella27[[URL]:[Servizio]],4,FALSE),VLOOKUP(Tabella4[[#This Row],[Page ID]],Tabella1[[Page ID]:[Servizio]],4,FALSE))</f>
        <v>S002 Poste Guidare Sicuri</v>
      </c>
      <c r="AB150" s="34"/>
      <c r="AC150" s="34" t="str">
        <f>Tabella4[[#This Row],[User Impact]]</f>
        <v>2 - Serious</v>
      </c>
      <c r="AD150" s="34" t="str">
        <f>Copertina!C$2&amp;" - "&amp;Tabella4[[#This Row],[UNI CEI EN 301549]]&amp;" "&amp;VLOOKUP(Tabella4[[#This Row],[Criterio]],Tabella5[[ID]:[Criterio di successo]],2,FALSE)&amp;" - "&amp;Tabella4[[#This Row],[Servizio]]&amp;":"</f>
        <v>Insurance Brocker - 9.2.5.8 Dimensione dell'obiettivo (minimo) - S002 Poste Guidare Sicuri:</v>
      </c>
      <c r="AE15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(#TM0111)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href="#item-posteinsurancebrokerposteinsurancebroker-moduliposte-guidare-sicuri-accordion-gestione-polizzasinistri-4" aria-expanded="false" aria-controls="item-posteinsurancebrokerposteinsurancebroker-moduliposte-guidare-sicuri-accordion-gestione-polizzasinistri-4" aria-label="Sinistri" title="Sinistri"&gt; con selettore: 
["a[aria-label=\"Sinistri\"]"]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50" t="e">
        <f>_xlfn.XLOOKUP(Tabella4[[#This Row],[ID Silk]],outTable[ID Silk],outTable[Numero ticket  ],,0,1)</f>
        <v>#N/A</v>
      </c>
    </row>
    <row r="151" spans="1:32">
      <c r="A151" s="34" t="str">
        <f>MID(Tabella4[[#This Row],[Servizio]],1,4)&amp;Tabella4[[#This Row],[UNI CEI EN 301549]]</f>
        <v>S0029.2.5.8</v>
      </c>
      <c r="B151" s="34" t="str">
        <f>Tabella4[[#This Row],[ID Silk]]&amp;"_1"</f>
        <v>S0029.2.5.8_1</v>
      </c>
      <c r="C151" s="34" t="s">
        <v>892</v>
      </c>
      <c r="D151" s="2" t="str">
        <f>"(#"&amp;Tabella4[[#This Row],['#ID]]&amp;")"</f>
        <v>(#TM0112)</v>
      </c>
      <c r="E151" s="34" t="str">
        <f>IF(MID(Tabella4[[#This Row],['#ID]],1,1)="M","Mobile",IF(MID(Tabella4[[#This Row],['#ID]],1,1)="D","Desktop",IF(MID(Tabella4[[#This Row],['#ID]],1,2)="TM","Manuale","Documenti")))</f>
        <v>Manuale</v>
      </c>
      <c r="F151" s="34" t="s">
        <v>1006</v>
      </c>
      <c r="G151" s="34" t="s">
        <v>372</v>
      </c>
      <c r="H151" s="34" t="str">
        <f>IF(Tabella4[[#This Row],[Componente]]="Documenti","10.","9.")&amp;Tabella4[[#This Row],[Criterio]]</f>
        <v>9.2.5.8</v>
      </c>
      <c r="I151" s="34" t="s">
        <v>1023</v>
      </c>
      <c r="J151" s="34" t="s">
        <v>1032</v>
      </c>
      <c r="K151" s="34" t="s">
        <v>1033</v>
      </c>
      <c r="L151" s="34" t="s">
        <v>1034</v>
      </c>
      <c r="M151" s="34" t="s">
        <v>1035</v>
      </c>
      <c r="N151" t="s">
        <v>604</v>
      </c>
      <c r="O151" t="s">
        <v>605</v>
      </c>
      <c r="P151" t="s">
        <v>391</v>
      </c>
      <c r="R151" s="34" t="str">
        <f>IF(Tabella4[[#This Row],[Componente]]="Documenti",_xlfn.XLOOKUP(Tabella4[[#This Row],[URL]],Tabella27[URL],Tabella27[PDF ID],,0),_xlfn.XLOOKUP(Tabella4[[#This Row],[URL]],Tabella1[URL],Tabella1[Page ID],,0))</f>
        <v>#11</v>
      </c>
      <c r="S151" s="34" t="s">
        <v>1004</v>
      </c>
      <c r="T151" s="34" t="s">
        <v>518</v>
      </c>
      <c r="V151" t="s">
        <v>578</v>
      </c>
      <c r="W151" s="34" t="s">
        <v>1068</v>
      </c>
      <c r="X151"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id="heading-item-posteinsurancebrokerposteinsurancebroker-moduliposte-guidare-sicuri-accordion-gestione-polizzaassistenza-stradale-5-5"&gt;</v>
      </c>
      <c r="Y151" s="34" t="str">
        <f>SUBSTITUTE(IF(Tabella4[[#This Row],[Tool]]="axe-core",MID(Tabella4[[#This Row],[Rejected Element]],3,LEN(Tabella4[[#This Row],[Rejected Element]])-4),Tabella4[[#This Row],[Rejected Element]]),"\","")</f>
        <v>#heading-item-posteinsurancebrokerposteinsurancebroker-moduliposte-guidare-sicuri-accordion-gestione-polizzaassistenza-stradale-5-5</v>
      </c>
      <c r="Z151" s="34">
        <f>COUNTIFS(Tabella4[Detail univoco],Tabella4[[#This Row],[Detail univoco]],Tabella4[Rejected Element Univoco],Tabella4[[#This Row],[Rejected Element Univoco]],Tabella4[ItemsNodeLabel],Tabella4[[#This Row],[ItemsNodeLabel]])</f>
        <v>0</v>
      </c>
      <c r="AA151" s="34" t="str">
        <f>IF(Tabella4[[#This Row],[Componente]]="Documenti",VLOOKUP(Tabella4[[#This Row],[URL]],Tabella27[[URL]:[Servizio]],4,FALSE),VLOOKUP(Tabella4[[#This Row],[Page ID]],Tabella1[[Page ID]:[Servizio]],4,FALSE))</f>
        <v>S002 Poste Guidare Sicuri</v>
      </c>
      <c r="AB151" s="34"/>
      <c r="AC151" s="34" t="str">
        <f>Tabella4[[#This Row],[User Impact]]</f>
        <v>2 - Serious</v>
      </c>
      <c r="AD151" s="34" t="str">
        <f>Copertina!C$2&amp;" - "&amp;Tabella4[[#This Row],[UNI CEI EN 301549]]&amp;" "&amp;VLOOKUP(Tabella4[[#This Row],[Criterio]],Tabella5[[ID]:[Criterio di successo]],2,FALSE)&amp;" - "&amp;Tabella4[[#This Row],[Servizio]]&amp;":"</f>
        <v>Insurance Brocker - 9.2.5.8 Dimensione dell'obiettivo (minimo) - S002 Poste Guidare Sicuri:</v>
      </c>
      <c r="AE15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(#TM0112)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id="heading-item-posteinsurancebrokerposteinsurancebroker-moduliposte-guidare-sicuri-accordion-gestione-polizzaassistenza-stradale-5-5"&gt; con selettore: 
["#heading-item-posteinsurancebrokerposteinsurancebroker-moduliposte-guidare-sicuri-accordion-gestione-polizzaassistenza-stradale-5-5"]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51" t="e">
        <f>_xlfn.XLOOKUP(Tabella4[[#This Row],[ID Silk]],outTable[ID Silk],outTable[Numero ticket  ],,0,1)</f>
        <v>#N/A</v>
      </c>
    </row>
    <row r="152" spans="1:32">
      <c r="A152" s="34" t="str">
        <f>MID(Tabella4[[#This Row],[Servizio]],1,4)&amp;Tabella4[[#This Row],[UNI CEI EN 301549]]</f>
        <v>S0029.2.5.8</v>
      </c>
      <c r="B152" s="34" t="str">
        <f>Tabella4[[#This Row],[ID Silk]]&amp;"_1"</f>
        <v>S0029.2.5.8_1</v>
      </c>
      <c r="C152" s="34" t="s">
        <v>893</v>
      </c>
      <c r="D152" s="2" t="str">
        <f>"(#"&amp;Tabella4[[#This Row],['#ID]]&amp;")"</f>
        <v>(#TM0113)</v>
      </c>
      <c r="E152" s="34" t="str">
        <f>IF(MID(Tabella4[[#This Row],['#ID]],1,1)="M","Mobile",IF(MID(Tabella4[[#This Row],['#ID]],1,1)="D","Desktop",IF(MID(Tabella4[[#This Row],['#ID]],1,2)="TM","Manuale","Documenti")))</f>
        <v>Manuale</v>
      </c>
      <c r="F152" s="34" t="s">
        <v>1006</v>
      </c>
      <c r="G152" s="34" t="s">
        <v>372</v>
      </c>
      <c r="H152" s="34" t="str">
        <f>IF(Tabella4[[#This Row],[Componente]]="Documenti","10.","9.")&amp;Tabella4[[#This Row],[Criterio]]</f>
        <v>9.2.5.8</v>
      </c>
      <c r="I152" s="34" t="s">
        <v>1023</v>
      </c>
      <c r="J152" s="34" t="s">
        <v>1032</v>
      </c>
      <c r="K152" s="34" t="s">
        <v>1033</v>
      </c>
      <c r="L152" s="34" t="s">
        <v>1034</v>
      </c>
      <c r="M152" s="34" t="s">
        <v>1035</v>
      </c>
      <c r="N152" t="s">
        <v>630</v>
      </c>
      <c r="O152" t="s">
        <v>631</v>
      </c>
      <c r="P152" t="s">
        <v>391</v>
      </c>
      <c r="R152" s="34" t="str">
        <f>IF(Tabella4[[#This Row],[Componente]]="Documenti",_xlfn.XLOOKUP(Tabella4[[#This Row],[URL]],Tabella27[URL],Tabella27[PDF ID],,0),_xlfn.XLOOKUP(Tabella4[[#This Row],[URL]],Tabella1[URL],Tabella1[Page ID],,0))</f>
        <v>#11</v>
      </c>
      <c r="S152" s="34" t="s">
        <v>1004</v>
      </c>
      <c r="T152" s="34" t="s">
        <v>518</v>
      </c>
      <c r="V152" t="s">
        <v>580</v>
      </c>
      <c r="W152" s="34" t="s">
        <v>1068</v>
      </c>
      <c r="X15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href="#item-posteinsurancebrokerposteinsurancebroker-moduliposte-guidare-sicuri-accordion-gestione-polizzaassistenza-stradale-5" aria-expanded="false" aria-controls="item-posteinsurancebrokerposteinsurancebroker-moduliposte-guidare-sicuri-accordion-gestione-polizzaassistenza-stradale-5" aria-label="Assistenza stradale" title="Assistenza stradale"&gt;</v>
      </c>
      <c r="Y152" s="34" t="str">
        <f>SUBSTITUTE(IF(Tabella4[[#This Row],[Tool]]="axe-core",MID(Tabella4[[#This Row],[Rejected Element]],3,LEN(Tabella4[[#This Row],[Rejected Element]])-4),Tabella4[[#This Row],[Rejected Element]]),"\","")</f>
        <v>a[aria-label="Assistenza stradale"]</v>
      </c>
      <c r="Z152" s="34">
        <f>COUNTIFS(Tabella4[Detail univoco],Tabella4[[#This Row],[Detail univoco]],Tabella4[Rejected Element Univoco],Tabella4[[#This Row],[Rejected Element Univoco]],Tabella4[ItemsNodeLabel],Tabella4[[#This Row],[ItemsNodeLabel]])</f>
        <v>0</v>
      </c>
      <c r="AA152" s="34" t="str">
        <f>IF(Tabella4[[#This Row],[Componente]]="Documenti",VLOOKUP(Tabella4[[#This Row],[URL]],Tabella27[[URL]:[Servizio]],4,FALSE),VLOOKUP(Tabella4[[#This Row],[Page ID]],Tabella1[[Page ID]:[Servizio]],4,FALSE))</f>
        <v>S002 Poste Guidare Sicuri</v>
      </c>
      <c r="AB152" s="34"/>
      <c r="AC152" s="34" t="str">
        <f>Tabella4[[#This Row],[User Impact]]</f>
        <v>2 - Serious</v>
      </c>
      <c r="AD152" s="34" t="str">
        <f>Copertina!C$2&amp;" - "&amp;Tabella4[[#This Row],[UNI CEI EN 301549]]&amp;" "&amp;VLOOKUP(Tabella4[[#This Row],[Criterio]],Tabella5[[ID]:[Criterio di successo]],2,FALSE)&amp;" - "&amp;Tabella4[[#This Row],[Servizio]]&amp;":"</f>
        <v>Insurance Brocker - 9.2.5.8 Dimensione dell'obiettivo (minimo) - S002 Poste Guidare Sicuri:</v>
      </c>
      <c r="AE15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(#TM0113)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href="#item-posteinsurancebrokerposteinsurancebroker-moduliposte-guidare-sicuri-accordion-gestione-polizzaassistenza-stradale-5" aria-expanded="false" aria-controls="item-posteinsurancebrokerposteinsurancebroker-moduliposte-guidare-sicuri-accordion-gestione-polizzaassistenza-stradale-5" aria-label="Assistenza stradale" title="Assistenza stradale"&gt; con selettore: 
["a[aria-label=\"Assistenza stradale\"]"]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52" t="e">
        <f>_xlfn.XLOOKUP(Tabella4[[#This Row],[ID Silk]],outTable[ID Silk],outTable[Numero ticket  ],,0,1)</f>
        <v>#N/A</v>
      </c>
    </row>
    <row r="153" spans="1:32">
      <c r="A153" s="34" t="str">
        <f>MID(Tabella4[[#This Row],[Servizio]],1,4)&amp;Tabella4[[#This Row],[UNI CEI EN 301549]]</f>
        <v>S0029.2.5.8</v>
      </c>
      <c r="B153" s="34" t="str">
        <f>Tabella4[[#This Row],[ID Silk]]&amp;"_1"</f>
        <v>S0029.2.5.8_1</v>
      </c>
      <c r="C153" s="34" t="s">
        <v>894</v>
      </c>
      <c r="D153" s="2" t="str">
        <f>"(#"&amp;Tabella4[[#This Row],['#ID]]&amp;")"</f>
        <v>(#TM0114)</v>
      </c>
      <c r="E153" s="34" t="str">
        <f>IF(MID(Tabella4[[#This Row],['#ID]],1,1)="M","Mobile",IF(MID(Tabella4[[#This Row],['#ID]],1,1)="D","Desktop",IF(MID(Tabella4[[#This Row],['#ID]],1,2)="TM","Manuale","Documenti")))</f>
        <v>Manuale</v>
      </c>
      <c r="F153" s="34" t="s">
        <v>1006</v>
      </c>
      <c r="G153" s="34" t="s">
        <v>372</v>
      </c>
      <c r="H153" s="34" t="str">
        <f>IF(Tabella4[[#This Row],[Componente]]="Documenti","10.","9.")&amp;Tabella4[[#This Row],[Criterio]]</f>
        <v>9.2.5.8</v>
      </c>
      <c r="I153" s="34" t="s">
        <v>1023</v>
      </c>
      <c r="J153" s="34" t="s">
        <v>1032</v>
      </c>
      <c r="K153" s="34" t="s">
        <v>1033</v>
      </c>
      <c r="L153" s="34" t="s">
        <v>1034</v>
      </c>
      <c r="M153" s="34" t="s">
        <v>1035</v>
      </c>
      <c r="N153" t="s">
        <v>606</v>
      </c>
      <c r="O153" t="s">
        <v>607</v>
      </c>
      <c r="P153" t="s">
        <v>391</v>
      </c>
      <c r="R153" s="34" t="str">
        <f>IF(Tabella4[[#This Row],[Componente]]="Documenti",_xlfn.XLOOKUP(Tabella4[[#This Row],[URL]],Tabella27[URL],Tabella27[PDF ID],,0),_xlfn.XLOOKUP(Tabella4[[#This Row],[URL]],Tabella1[URL],Tabella1[Page ID],,0))</f>
        <v>#11</v>
      </c>
      <c r="S153" s="34" t="s">
        <v>1004</v>
      </c>
      <c r="T153" s="34" t="s">
        <v>518</v>
      </c>
      <c r="V153" t="s">
        <v>578</v>
      </c>
      <c r="W153" s="34" t="s">
        <v>1068</v>
      </c>
      <c r="X153"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id="heading-item-posteinsurancebrokerposteinsurancebroker-moduliposte-guidare-sicuri-accordion-gestione-polizzarinnovo-polizza-6-6"&gt;</v>
      </c>
      <c r="Y153" s="34" t="str">
        <f>SUBSTITUTE(IF(Tabella4[[#This Row],[Tool]]="axe-core",MID(Tabella4[[#This Row],[Rejected Element]],3,LEN(Tabella4[[#This Row],[Rejected Element]])-4),Tabella4[[#This Row],[Rejected Element]]),"\","")</f>
        <v>#heading-item-posteinsurancebrokerposteinsurancebroker-moduliposte-guidare-sicuri-accordion-gestione-polizzarinnovo-polizza-6-6</v>
      </c>
      <c r="Z153" s="34">
        <f>COUNTIFS(Tabella4[Detail univoco],Tabella4[[#This Row],[Detail univoco]],Tabella4[Rejected Element Univoco],Tabella4[[#This Row],[Rejected Element Univoco]],Tabella4[ItemsNodeLabel],Tabella4[[#This Row],[ItemsNodeLabel]])</f>
        <v>0</v>
      </c>
      <c r="AA153" s="34" t="str">
        <f>IF(Tabella4[[#This Row],[Componente]]="Documenti",VLOOKUP(Tabella4[[#This Row],[URL]],Tabella27[[URL]:[Servizio]],4,FALSE),VLOOKUP(Tabella4[[#This Row],[Page ID]],Tabella1[[Page ID]:[Servizio]],4,FALSE))</f>
        <v>S002 Poste Guidare Sicuri</v>
      </c>
      <c r="AB153" s="34"/>
      <c r="AC153" s="34" t="str">
        <f>Tabella4[[#This Row],[User Impact]]</f>
        <v>2 - Serious</v>
      </c>
      <c r="AD153" s="34" t="str">
        <f>Copertina!C$2&amp;" - "&amp;Tabella4[[#This Row],[UNI CEI EN 301549]]&amp;" "&amp;VLOOKUP(Tabella4[[#This Row],[Criterio]],Tabella5[[ID]:[Criterio di successo]],2,FALSE)&amp;" - "&amp;Tabella4[[#This Row],[Servizio]]&amp;":"</f>
        <v>Insurance Brocker - 9.2.5.8 Dimensione dell'obiettivo (minimo) - S002 Poste Guidare Sicuri:</v>
      </c>
      <c r="AE15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(#TM0114)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id="heading-item-posteinsurancebrokerposteinsurancebroker-moduliposte-guidare-sicuri-accordion-gestione-polizzarinnovo-polizza-6-6"&gt; con selettore: 
["#heading-item-posteinsurancebrokerposteinsurancebroker-moduliposte-guidare-sicuri-accordion-gestione-polizzarinnovo-polizza-6-6"]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53" t="e">
        <f>_xlfn.XLOOKUP(Tabella4[[#This Row],[ID Silk]],outTable[ID Silk],outTable[Numero ticket  ],,0,1)</f>
        <v>#N/A</v>
      </c>
    </row>
    <row r="154" spans="1:32">
      <c r="A154" s="34" t="str">
        <f>MID(Tabella4[[#This Row],[Servizio]],1,4)&amp;Tabella4[[#This Row],[UNI CEI EN 301549]]</f>
        <v>S0029.2.5.8</v>
      </c>
      <c r="B154" s="34" t="str">
        <f>Tabella4[[#This Row],[ID Silk]]&amp;"_1"</f>
        <v>S0029.2.5.8_1</v>
      </c>
      <c r="C154" s="34" t="s">
        <v>895</v>
      </c>
      <c r="D154" s="2" t="str">
        <f>"(#"&amp;Tabella4[[#This Row],['#ID]]&amp;")"</f>
        <v>(#TM0115)</v>
      </c>
      <c r="E154" s="34" t="str">
        <f>IF(MID(Tabella4[[#This Row],['#ID]],1,1)="M","Mobile",IF(MID(Tabella4[[#This Row],['#ID]],1,1)="D","Desktop",IF(MID(Tabella4[[#This Row],['#ID]],1,2)="TM","Manuale","Documenti")))</f>
        <v>Manuale</v>
      </c>
      <c r="F154" s="34" t="s">
        <v>1006</v>
      </c>
      <c r="G154" s="34" t="s">
        <v>372</v>
      </c>
      <c r="H154" s="34" t="str">
        <f>IF(Tabella4[[#This Row],[Componente]]="Documenti","10.","9.")&amp;Tabella4[[#This Row],[Criterio]]</f>
        <v>9.2.5.8</v>
      </c>
      <c r="I154" s="34" t="s">
        <v>1023</v>
      </c>
      <c r="J154" s="34" t="s">
        <v>1032</v>
      </c>
      <c r="K154" s="34" t="s">
        <v>1033</v>
      </c>
      <c r="L154" s="34" t="s">
        <v>1034</v>
      </c>
      <c r="M154" s="34" t="s">
        <v>1035</v>
      </c>
      <c r="N154" t="s">
        <v>632</v>
      </c>
      <c r="O154" t="s">
        <v>633</v>
      </c>
      <c r="P154" t="s">
        <v>391</v>
      </c>
      <c r="R154" s="34" t="str">
        <f>IF(Tabella4[[#This Row],[Componente]]="Documenti",_xlfn.XLOOKUP(Tabella4[[#This Row],[URL]],Tabella27[URL],Tabella27[PDF ID],,0),_xlfn.XLOOKUP(Tabella4[[#This Row],[URL]],Tabella1[URL],Tabella1[Page ID],,0))</f>
        <v>#11</v>
      </c>
      <c r="S154" s="34" t="s">
        <v>1004</v>
      </c>
      <c r="T154" s="34" t="s">
        <v>518</v>
      </c>
      <c r="V154" t="s">
        <v>580</v>
      </c>
      <c r="W154" s="34" t="s">
        <v>1068</v>
      </c>
      <c r="X15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href="#item-posteinsurancebrokerposteinsurancebroker-moduliposte-guidare-sicuri-accordion-gestione-polizzarinnovo-polizza-6" aria-expanded="false" aria-controls="item-posteinsurancebrokerposteinsurancebroker-moduliposte-guidare-sicuri-accordion-gestione-polizzarinnovo-polizza-6" aria-label="Rinnovo polizza" title="Rinnovo polizza"&gt;</v>
      </c>
      <c r="Y154" s="34" t="str">
        <f>SUBSTITUTE(IF(Tabella4[[#This Row],[Tool]]="axe-core",MID(Tabella4[[#This Row],[Rejected Element]],3,LEN(Tabella4[[#This Row],[Rejected Element]])-4),Tabella4[[#This Row],[Rejected Element]]),"\","")</f>
        <v>a[aria-label="Rinnovo polizza"]</v>
      </c>
      <c r="Z154" s="34">
        <f>COUNTIFS(Tabella4[Detail univoco],Tabella4[[#This Row],[Detail univoco]],Tabella4[Rejected Element Univoco],Tabella4[[#This Row],[Rejected Element Univoco]],Tabella4[ItemsNodeLabel],Tabella4[[#This Row],[ItemsNodeLabel]])</f>
        <v>0</v>
      </c>
      <c r="AA154" s="34" t="str">
        <f>IF(Tabella4[[#This Row],[Componente]]="Documenti",VLOOKUP(Tabella4[[#This Row],[URL]],Tabella27[[URL]:[Servizio]],4,FALSE),VLOOKUP(Tabella4[[#This Row],[Page ID]],Tabella1[[Page ID]:[Servizio]],4,FALSE))</f>
        <v>S002 Poste Guidare Sicuri</v>
      </c>
      <c r="AB154" s="34"/>
      <c r="AC154" s="34" t="str">
        <f>Tabella4[[#This Row],[User Impact]]</f>
        <v>2 - Serious</v>
      </c>
      <c r="AD154" s="34" t="str">
        <f>Copertina!C$2&amp;" - "&amp;Tabella4[[#This Row],[UNI CEI EN 301549]]&amp;" "&amp;VLOOKUP(Tabella4[[#This Row],[Criterio]],Tabella5[[ID]:[Criterio di successo]],2,FALSE)&amp;" - "&amp;Tabella4[[#This Row],[Servizio]]&amp;":"</f>
        <v>Insurance Brocker - 9.2.5.8 Dimensione dell'obiettivo (minimo) - S002 Poste Guidare Sicuri:</v>
      </c>
      <c r="AE15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(#TM0115)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href="#item-posteinsurancebrokerposteinsurancebroker-moduliposte-guidare-sicuri-accordion-gestione-polizzarinnovo-polizza-6" aria-expanded="false" aria-controls="item-posteinsurancebrokerposteinsurancebroker-moduliposte-guidare-sicuri-accordion-gestione-polizzarinnovo-polizza-6" aria-label="Rinnovo polizza" title="Rinnovo polizza"&gt; con selettore: 
["a[aria-label=\"Rinnovo polizza\"]"]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54" t="e">
        <f>_xlfn.XLOOKUP(Tabella4[[#This Row],[ID Silk]],outTable[ID Silk],outTable[Numero ticket  ],,0,1)</f>
        <v>#N/A</v>
      </c>
    </row>
    <row r="155" spans="1:32">
      <c r="A155" s="34" t="str">
        <f>MID(Tabella4[[#This Row],[Servizio]],1,4)&amp;Tabella4[[#This Row],[UNI CEI EN 301549]]</f>
        <v>S0029.2.5.8</v>
      </c>
      <c r="B155" s="34" t="str">
        <f>Tabella4[[#This Row],[ID Silk]]&amp;"_1"</f>
        <v>S0029.2.5.8_1</v>
      </c>
      <c r="C155" s="34" t="s">
        <v>896</v>
      </c>
      <c r="D155" s="2" t="str">
        <f>"(#"&amp;Tabella4[[#This Row],['#ID]]&amp;")"</f>
        <v>(#TM0116)</v>
      </c>
      <c r="E155" s="34" t="str">
        <f>IF(MID(Tabella4[[#This Row],['#ID]],1,1)="M","Mobile",IF(MID(Tabella4[[#This Row],['#ID]],1,1)="D","Desktop",IF(MID(Tabella4[[#This Row],['#ID]],1,2)="TM","Manuale","Documenti")))</f>
        <v>Manuale</v>
      </c>
      <c r="F155" s="34" t="s">
        <v>1006</v>
      </c>
      <c r="G155" s="34" t="s">
        <v>372</v>
      </c>
      <c r="H155" s="34" t="str">
        <f>IF(Tabella4[[#This Row],[Componente]]="Documenti","10.","9.")&amp;Tabella4[[#This Row],[Criterio]]</f>
        <v>9.2.5.8</v>
      </c>
      <c r="I155" s="34" t="s">
        <v>1023</v>
      </c>
      <c r="J155" s="34" t="s">
        <v>1032</v>
      </c>
      <c r="K155" s="34" t="s">
        <v>1033</v>
      </c>
      <c r="L155" s="34" t="s">
        <v>1034</v>
      </c>
      <c r="M155" s="34" t="s">
        <v>1035</v>
      </c>
      <c r="N155" t="s">
        <v>608</v>
      </c>
      <c r="O155" t="s">
        <v>609</v>
      </c>
      <c r="P155" t="s">
        <v>391</v>
      </c>
      <c r="R155" s="34" t="str">
        <f>IF(Tabella4[[#This Row],[Componente]]="Documenti",_xlfn.XLOOKUP(Tabella4[[#This Row],[URL]],Tabella27[URL],Tabella27[PDF ID],,0),_xlfn.XLOOKUP(Tabella4[[#This Row],[URL]],Tabella1[URL],Tabella1[Page ID],,0))</f>
        <v>#11</v>
      </c>
      <c r="S155" s="34" t="s">
        <v>1004</v>
      </c>
      <c r="T155" s="34" t="s">
        <v>518</v>
      </c>
      <c r="V155" t="s">
        <v>578</v>
      </c>
      <c r="W155" s="34" t="s">
        <v>1068</v>
      </c>
      <c r="X155"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id="heading-item-posteinsurancebrokerposteinsurancebroker-moduliposte-guidare-sicuri-accordion-gestione-polizzasospensione-riattivazione-contratto-7-7"&gt;</v>
      </c>
      <c r="Y155" s="34" t="str">
        <f>SUBSTITUTE(IF(Tabella4[[#This Row],[Tool]]="axe-core",MID(Tabella4[[#This Row],[Rejected Element]],3,LEN(Tabella4[[#This Row],[Rejected Element]])-4),Tabella4[[#This Row],[Rejected Element]]),"\","")</f>
        <v>#heading-item-posteinsurancebrokerposteinsurancebroker-moduliposte-guidare-sicuri-accordion-gestione-polizzasospensione-riattivazione-contratto-7-7</v>
      </c>
      <c r="Z155" s="34">
        <f>COUNTIFS(Tabella4[Detail univoco],Tabella4[[#This Row],[Detail univoco]],Tabella4[Rejected Element Univoco],Tabella4[[#This Row],[Rejected Element Univoco]],Tabella4[ItemsNodeLabel],Tabella4[[#This Row],[ItemsNodeLabel]])</f>
        <v>0</v>
      </c>
      <c r="AA155" s="34" t="str">
        <f>IF(Tabella4[[#This Row],[Componente]]="Documenti",VLOOKUP(Tabella4[[#This Row],[URL]],Tabella27[[URL]:[Servizio]],4,FALSE),VLOOKUP(Tabella4[[#This Row],[Page ID]],Tabella1[[Page ID]:[Servizio]],4,FALSE))</f>
        <v>S002 Poste Guidare Sicuri</v>
      </c>
      <c r="AB155" s="34"/>
      <c r="AC155" s="34" t="str">
        <f>Tabella4[[#This Row],[User Impact]]</f>
        <v>2 - Serious</v>
      </c>
      <c r="AD155" s="34" t="str">
        <f>Copertina!C$2&amp;" - "&amp;Tabella4[[#This Row],[UNI CEI EN 301549]]&amp;" "&amp;VLOOKUP(Tabella4[[#This Row],[Criterio]],Tabella5[[ID]:[Criterio di successo]],2,FALSE)&amp;" - "&amp;Tabella4[[#This Row],[Servizio]]&amp;":"</f>
        <v>Insurance Brocker - 9.2.5.8 Dimensione dell'obiettivo (minimo) - S002 Poste Guidare Sicuri:</v>
      </c>
      <c r="AE15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(#TM0116)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id="heading-item-posteinsurancebrokerposteinsurancebroker-moduliposte-guidare-sicuri-accordion-gestione-polizzasospensione-riattivazione-contratto-7-7"&gt; con selettore: 
["#heading-item-posteinsurancebrokerposteinsurancebroker-moduliposte-guidare-sicuri-accordion-gestione-polizzasospensione-riattivazione-contratto-7-7"]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55" t="e">
        <f>_xlfn.XLOOKUP(Tabella4[[#This Row],[ID Silk]],outTable[ID Silk],outTable[Numero ticket  ],,0,1)</f>
        <v>#N/A</v>
      </c>
    </row>
    <row r="156" spans="1:32">
      <c r="A156" s="34" t="str">
        <f>MID(Tabella4[[#This Row],[Servizio]],1,4)&amp;Tabella4[[#This Row],[UNI CEI EN 301549]]</f>
        <v>S0029.2.5.8</v>
      </c>
      <c r="B156" s="34" t="str">
        <f>Tabella4[[#This Row],[ID Silk]]&amp;"_1"</f>
        <v>S0029.2.5.8_1</v>
      </c>
      <c r="C156" s="34" t="s">
        <v>897</v>
      </c>
      <c r="D156" s="2" t="str">
        <f>"(#"&amp;Tabella4[[#This Row],['#ID]]&amp;")"</f>
        <v>(#TM0117)</v>
      </c>
      <c r="E156" s="34" t="str">
        <f>IF(MID(Tabella4[[#This Row],['#ID]],1,1)="M","Mobile",IF(MID(Tabella4[[#This Row],['#ID]],1,1)="D","Desktop",IF(MID(Tabella4[[#This Row],['#ID]],1,2)="TM","Manuale","Documenti")))</f>
        <v>Manuale</v>
      </c>
      <c r="F156" s="34" t="s">
        <v>1006</v>
      </c>
      <c r="G156" s="34" t="s">
        <v>372</v>
      </c>
      <c r="H156" s="34" t="str">
        <f>IF(Tabella4[[#This Row],[Componente]]="Documenti","10.","9.")&amp;Tabella4[[#This Row],[Criterio]]</f>
        <v>9.2.5.8</v>
      </c>
      <c r="I156" s="34" t="s">
        <v>1023</v>
      </c>
      <c r="J156" s="34" t="s">
        <v>1032</v>
      </c>
      <c r="K156" s="34" t="s">
        <v>1033</v>
      </c>
      <c r="L156" s="34" t="s">
        <v>1034</v>
      </c>
      <c r="M156" s="34" t="s">
        <v>1035</v>
      </c>
      <c r="N156" t="s">
        <v>634</v>
      </c>
      <c r="O156" t="s">
        <v>635</v>
      </c>
      <c r="P156" t="s">
        <v>391</v>
      </c>
      <c r="R156" s="34" t="str">
        <f>IF(Tabella4[[#This Row],[Componente]]="Documenti",_xlfn.XLOOKUP(Tabella4[[#This Row],[URL]],Tabella27[URL],Tabella27[PDF ID],,0),_xlfn.XLOOKUP(Tabella4[[#This Row],[URL]],Tabella1[URL],Tabella1[Page ID],,0))</f>
        <v>#11</v>
      </c>
      <c r="S156" s="34" t="s">
        <v>1004</v>
      </c>
      <c r="T156" s="34" t="s">
        <v>518</v>
      </c>
      <c r="V156" t="s">
        <v>580</v>
      </c>
      <c r="W156" s="34" t="s">
        <v>1068</v>
      </c>
      <c r="X15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href="#item-posteinsurancebrokerposteinsurancebroker-moduliposte-guidare-sicuri-accordion-gestione-polizzasospensione-riattivazione-contratto-7" aria-expanded="false" aria-controls="item-posteinsurancebrokerposteinsurancebroker-moduliposte-guidare-sicuri-accordion-gestione-polizzasospensione-riattivazione-contratto-7" aria-label="Sospensione e riattivazione contratto" title="Sospensione e riattivazione contratto"&gt;</v>
      </c>
      <c r="Y156" s="34" t="str">
        <f>SUBSTITUTE(IF(Tabella4[[#This Row],[Tool]]="axe-core",MID(Tabella4[[#This Row],[Rejected Element]],3,LEN(Tabella4[[#This Row],[Rejected Element]])-4),Tabella4[[#This Row],[Rejected Element]]),"\","")</f>
        <v>#heading-item-posteinsurancebrokerposteinsurancebroker-moduliposte-guidare-sicuri-accordion-gestione-polizzasospensione-riattivazione-contratto-7-7 &gt; .panel-title &gt; .accordion-toggle.collapsed[role="button"]</v>
      </c>
      <c r="Z156" s="34">
        <f>COUNTIFS(Tabella4[Detail univoco],Tabella4[[#This Row],[Detail univoco]],Tabella4[Rejected Element Univoco],Tabella4[[#This Row],[Rejected Element Univoco]],Tabella4[ItemsNodeLabel],Tabella4[[#This Row],[ItemsNodeLabel]])</f>
        <v>0</v>
      </c>
      <c r="AA156" s="34" t="str">
        <f>IF(Tabella4[[#This Row],[Componente]]="Documenti",VLOOKUP(Tabella4[[#This Row],[URL]],Tabella27[[URL]:[Servizio]],4,FALSE),VLOOKUP(Tabella4[[#This Row],[Page ID]],Tabella1[[Page ID]:[Servizio]],4,FALSE))</f>
        <v>S002 Poste Guidare Sicuri</v>
      </c>
      <c r="AB156" s="34"/>
      <c r="AC156" s="34" t="str">
        <f>Tabella4[[#This Row],[User Impact]]</f>
        <v>2 - Serious</v>
      </c>
      <c r="AD156" s="34" t="str">
        <f>Copertina!C$2&amp;" - "&amp;Tabella4[[#This Row],[UNI CEI EN 301549]]&amp;" "&amp;VLOOKUP(Tabella4[[#This Row],[Criterio]],Tabella5[[ID]:[Criterio di successo]],2,FALSE)&amp;" - "&amp;Tabella4[[#This Row],[Servizio]]&amp;":"</f>
        <v>Insurance Brocker - 9.2.5.8 Dimensione dell'obiettivo (minimo) - S002 Poste Guidare Sicuri:</v>
      </c>
      <c r="AE15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(#TM0117)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href="#item-posteinsurancebrokerposteinsurancebroker-moduliposte-guidare-sicuri-accordion-gestione-polizzasospensione-riattivazione-contratto-7" aria-expanded="false" aria-controls="item-posteinsurancebrokerposteinsurancebroker-moduliposte-guidare-sicuri-accordion-gestione-polizzasospensione-riattivazione-contratto-7" aria-label="Sospensione e riattivazione contratto" title="Sospensione e riattivazione contratto"&gt; con selettore: 
["#heading-item-posteinsurancebrokerposteinsurancebroker-moduliposte-guidare-sicuri-accordion-gestione-polizzasospensione-riattivazione-contratto-7-7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56" t="e">
        <f>_xlfn.XLOOKUP(Tabella4[[#This Row],[ID Silk]],outTable[ID Silk],outTable[Numero ticket  ],,0,1)</f>
        <v>#N/A</v>
      </c>
    </row>
    <row r="157" spans="1:32">
      <c r="A157" s="34" t="str">
        <f>MID(Tabella4[[#This Row],[Servizio]],1,4)&amp;Tabella4[[#This Row],[UNI CEI EN 301549]]</f>
        <v>S0029.2.5.8</v>
      </c>
      <c r="B157" s="34" t="str">
        <f>Tabella4[[#This Row],[ID Silk]]&amp;"_1"</f>
        <v>S0029.2.5.8_1</v>
      </c>
      <c r="C157" s="34" t="s">
        <v>898</v>
      </c>
      <c r="D157" s="2" t="str">
        <f>"(#"&amp;Tabella4[[#This Row],['#ID]]&amp;")"</f>
        <v>(#TM0118)</v>
      </c>
      <c r="E157" s="34" t="str">
        <f>IF(MID(Tabella4[[#This Row],['#ID]],1,1)="M","Mobile",IF(MID(Tabella4[[#This Row],['#ID]],1,1)="D","Desktop",IF(MID(Tabella4[[#This Row],['#ID]],1,2)="TM","Manuale","Documenti")))</f>
        <v>Manuale</v>
      </c>
      <c r="F157" s="34" t="s">
        <v>1006</v>
      </c>
      <c r="G157" s="34" t="s">
        <v>372</v>
      </c>
      <c r="H157" s="34" t="str">
        <f>IF(Tabella4[[#This Row],[Componente]]="Documenti","10.","9.")&amp;Tabella4[[#This Row],[Criterio]]</f>
        <v>9.2.5.8</v>
      </c>
      <c r="I157" s="34" t="s">
        <v>1023</v>
      </c>
      <c r="J157" s="34" t="s">
        <v>1032</v>
      </c>
      <c r="K157" s="34" t="s">
        <v>1033</v>
      </c>
      <c r="L157" s="34" t="s">
        <v>1034</v>
      </c>
      <c r="M157" s="34" t="s">
        <v>1035</v>
      </c>
      <c r="N157" t="s">
        <v>610</v>
      </c>
      <c r="O157" t="s">
        <v>611</v>
      </c>
      <c r="P157" t="s">
        <v>391</v>
      </c>
      <c r="R157" s="34" t="str">
        <f>IF(Tabella4[[#This Row],[Componente]]="Documenti",_xlfn.XLOOKUP(Tabella4[[#This Row],[URL]],Tabella27[URL],Tabella27[PDF ID],,0),_xlfn.XLOOKUP(Tabella4[[#This Row],[URL]],Tabella1[URL],Tabella1[Page ID],,0))</f>
        <v>#11</v>
      </c>
      <c r="S157" s="34" t="s">
        <v>1004</v>
      </c>
      <c r="T157" s="34" t="s">
        <v>518</v>
      </c>
      <c r="V157" t="s">
        <v>578</v>
      </c>
      <c r="W157" s="34" t="s">
        <v>1068</v>
      </c>
      <c r="X157" s="34" t="str">
        <f>IFERROR(IF(Tabella4[[#This Row],[Tool]]="lighthouse",Tabella4[[#This Row],[Detail]],MID(Tabella4[[#This Row],[Detail]],1,FIND("&gt;",Tabella4[[#This Row],[Detail]]))),Tabella4[[#This Row],[Detail]])</f>
        <v>&lt;div class="panel-heading" role="tab" tabindex="0" id="heading-item-posteinsurancebrokerposteinsurancebroker-moduliposte-guidare-sicuri-accordion-gestione-polizzaaltre-attivita-post-vendita-8-8"&gt;</v>
      </c>
      <c r="Y157" s="34" t="str">
        <f>SUBSTITUTE(IF(Tabella4[[#This Row],[Tool]]="axe-core",MID(Tabella4[[#This Row],[Rejected Element]],3,LEN(Tabella4[[#This Row],[Rejected Element]])-4),Tabella4[[#This Row],[Rejected Element]]),"\","")</f>
        <v>#heading-item-posteinsurancebrokerposteinsurancebroker-moduliposte-guidare-sicuri-accordion-gestione-polizzaaltre-attivita-post-vendita-8-8</v>
      </c>
      <c r="Z157" s="34">
        <f>COUNTIFS(Tabella4[Detail univoco],Tabella4[[#This Row],[Detail univoco]],Tabella4[Rejected Element Univoco],Tabella4[[#This Row],[Rejected Element Univoco]],Tabella4[ItemsNodeLabel],Tabella4[[#This Row],[ItemsNodeLabel]])</f>
        <v>0</v>
      </c>
      <c r="AA157" s="34" t="str">
        <f>IF(Tabella4[[#This Row],[Componente]]="Documenti",VLOOKUP(Tabella4[[#This Row],[URL]],Tabella27[[URL]:[Servizio]],4,FALSE),VLOOKUP(Tabella4[[#This Row],[Page ID]],Tabella1[[Page ID]:[Servizio]],4,FALSE))</f>
        <v>S002 Poste Guidare Sicuri</v>
      </c>
      <c r="AB157" s="34"/>
      <c r="AC157" s="34" t="str">
        <f>Tabella4[[#This Row],[User Impact]]</f>
        <v>2 - Serious</v>
      </c>
      <c r="AD157" s="34" t="str">
        <f>Copertina!C$2&amp;" - "&amp;Tabella4[[#This Row],[UNI CEI EN 301549]]&amp;" "&amp;VLOOKUP(Tabella4[[#This Row],[Criterio]],Tabella5[[ID]:[Criterio di successo]],2,FALSE)&amp;" - "&amp;Tabella4[[#This Row],[Servizio]]&amp;":"</f>
        <v>Insurance Brocker - 9.2.5.8 Dimensione dell'obiettivo (minimo) - S002 Poste Guidare Sicuri:</v>
      </c>
      <c r="AE15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(#TM0118)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id="heading-item-posteinsurancebrokerposteinsurancebroker-moduliposte-guidare-sicuri-accordion-gestione-polizzaaltre-attivita-post-vendita-8-8"&gt; con selettore: 
["#heading-item-posteinsurancebrokerposteinsurancebroker-moduliposte-guidare-sicuri-accordion-gestione-polizzaaltre-attivita-post-vendita-8-8"]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57" t="e">
        <f>_xlfn.XLOOKUP(Tabella4[[#This Row],[ID Silk]],outTable[ID Silk],outTable[Numero ticket  ],,0,1)</f>
        <v>#N/A</v>
      </c>
    </row>
    <row r="158" spans="1:32">
      <c r="A158" s="34" t="str">
        <f>MID(Tabella4[[#This Row],[Servizio]],1,4)&amp;Tabella4[[#This Row],[UNI CEI EN 301549]]</f>
        <v>S0029.2.5.8</v>
      </c>
      <c r="B158" s="34" t="str">
        <f>Tabella4[[#This Row],[ID Silk]]&amp;"_1"</f>
        <v>S0029.2.5.8_1</v>
      </c>
      <c r="C158" s="34" t="s">
        <v>899</v>
      </c>
      <c r="D158" s="2" t="str">
        <f>"(#"&amp;Tabella4[[#This Row],['#ID]]&amp;")"</f>
        <v>(#TM0119)</v>
      </c>
      <c r="E158" s="34" t="str">
        <f>IF(MID(Tabella4[[#This Row],['#ID]],1,1)="M","Mobile",IF(MID(Tabella4[[#This Row],['#ID]],1,1)="D","Desktop",IF(MID(Tabella4[[#This Row],['#ID]],1,2)="TM","Manuale","Documenti")))</f>
        <v>Manuale</v>
      </c>
      <c r="F158" s="34" t="s">
        <v>1006</v>
      </c>
      <c r="G158" s="34" t="s">
        <v>372</v>
      </c>
      <c r="H158" s="34" t="str">
        <f>IF(Tabella4[[#This Row],[Componente]]="Documenti","10.","9.")&amp;Tabella4[[#This Row],[Criterio]]</f>
        <v>9.2.5.8</v>
      </c>
      <c r="I158" s="34" t="s">
        <v>1023</v>
      </c>
      <c r="J158" s="34" t="s">
        <v>1032</v>
      </c>
      <c r="K158" s="34" t="s">
        <v>1033</v>
      </c>
      <c r="L158" s="34" t="s">
        <v>1034</v>
      </c>
      <c r="M158" s="34" t="s">
        <v>1035</v>
      </c>
      <c r="N158" t="s">
        <v>636</v>
      </c>
      <c r="O158" t="s">
        <v>637</v>
      </c>
      <c r="P158" t="s">
        <v>391</v>
      </c>
      <c r="R158" s="34" t="str">
        <f>IF(Tabella4[[#This Row],[Componente]]="Documenti",_xlfn.XLOOKUP(Tabella4[[#This Row],[URL]],Tabella27[URL],Tabella27[PDF ID],,0),_xlfn.XLOOKUP(Tabella4[[#This Row],[URL]],Tabella1[URL],Tabella1[Page ID],,0))</f>
        <v>#11</v>
      </c>
      <c r="S158" s="34" t="s">
        <v>1004</v>
      </c>
      <c r="T158" s="34" t="s">
        <v>518</v>
      </c>
      <c r="V158" t="s">
        <v>580</v>
      </c>
      <c r="W158" s="34" t="s">
        <v>1068</v>
      </c>
      <c r="X15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href="#item-posteinsurancebrokerposteinsurancebroker-moduliposte-guidare-sicuri-accordion-gestione-polizzaaltre-attivita-post-vendita-8" aria-expanded="false" aria-controls="item-posteinsurancebrokerposteinsurancebroker-moduliposte-guidare-sicuri-accordion-gestione-polizzaaltre-attivita-post-vendita-8" aria-label="Altre attività di post vendita" title="Altre attività di post vendita"&gt;</v>
      </c>
      <c r="Y158" s="34" t="str">
        <f>SUBSTITUTE(IF(Tabella4[[#This Row],[Tool]]="axe-core",MID(Tabella4[[#This Row],[Rejected Element]],3,LEN(Tabella4[[#This Row],[Rejected Element]])-4),Tabella4[[#This Row],[Rejected Element]]),"\","")</f>
        <v>a[aria-label="Altre attività di post vendita"]</v>
      </c>
      <c r="Z158" s="34">
        <f>COUNTIFS(Tabella4[Detail univoco],Tabella4[[#This Row],[Detail univoco]],Tabella4[Rejected Element Univoco],Tabella4[[#This Row],[Rejected Element Univoco]],Tabella4[ItemsNodeLabel],Tabella4[[#This Row],[ItemsNodeLabel]])</f>
        <v>0</v>
      </c>
      <c r="AA158" s="34" t="str">
        <f>IF(Tabella4[[#This Row],[Componente]]="Documenti",VLOOKUP(Tabella4[[#This Row],[URL]],Tabella27[[URL]:[Servizio]],4,FALSE),VLOOKUP(Tabella4[[#This Row],[Page ID]],Tabella1[[Page ID]:[Servizio]],4,FALSE))</f>
        <v>S002 Poste Guidare Sicuri</v>
      </c>
      <c r="AB158" s="34"/>
      <c r="AC158" s="34" t="str">
        <f>Tabella4[[#This Row],[User Impact]]</f>
        <v>2 - Serious</v>
      </c>
      <c r="AD158" s="34" t="str">
        <f>Copertina!C$2&amp;" - "&amp;Tabella4[[#This Row],[UNI CEI EN 301549]]&amp;" "&amp;VLOOKUP(Tabella4[[#This Row],[Criterio]],Tabella5[[ID]:[Criterio di successo]],2,FALSE)&amp;" - "&amp;Tabella4[[#This Row],[Servizio]]&amp;":"</f>
        <v>Insurance Brocker - 9.2.5.8 Dimensione dell'obiettivo (minimo) - S002 Poste Guidare Sicuri:</v>
      </c>
      <c r="AE15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(#TM0119)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href="#item-posteinsurancebrokerposteinsurancebroker-moduliposte-guidare-sicuri-accordion-gestione-polizzaaltre-attivita-post-vendita-8" aria-expanded="false" aria-controls="item-posteinsurancebrokerposteinsurancebroker-moduliposte-guidare-sicuri-accordion-gestione-polizzaaltre-attivita-post-vendita-8" aria-label="Altre attività di post vendita" title="Altre attività di post vendita"&gt; con selettore: 
["a[aria-label=\"Altre attività di post vendita\"]"]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58" t="e">
        <f>_xlfn.XLOOKUP(Tabella4[[#This Row],[ID Silk]],outTable[ID Silk],outTable[Numero ticket  ],,0,1)</f>
        <v>#N/A</v>
      </c>
    </row>
    <row r="159" spans="1:32">
      <c r="A159" s="34" t="str">
        <f>MID(Tabella4[[#This Row],[Servizio]],1,4)&amp;Tabella4[[#This Row],[UNI CEI EN 301549]]</f>
        <v>S0029.2.5.8</v>
      </c>
      <c r="B159" s="34" t="str">
        <f>Tabella4[[#This Row],[ID Silk]]&amp;"_1"</f>
        <v>S0029.2.5.8_1</v>
      </c>
      <c r="C159" s="34" t="s">
        <v>900</v>
      </c>
      <c r="D159" s="2" t="str">
        <f>"(#"&amp;Tabella4[[#This Row],['#ID]]&amp;")"</f>
        <v>(#TM0120)</v>
      </c>
      <c r="E159" s="34" t="str">
        <f>IF(MID(Tabella4[[#This Row],['#ID]],1,1)="M","Mobile",IF(MID(Tabella4[[#This Row],['#ID]],1,1)="D","Desktop",IF(MID(Tabella4[[#This Row],['#ID]],1,2)="TM","Manuale","Documenti")))</f>
        <v>Manuale</v>
      </c>
      <c r="F159" s="34" t="s">
        <v>1006</v>
      </c>
      <c r="G159" s="34" t="s">
        <v>372</v>
      </c>
      <c r="H159" s="34" t="str">
        <f>IF(Tabella4[[#This Row],[Componente]]="Documenti","10.","9.")&amp;Tabella4[[#This Row],[Criterio]]</f>
        <v>9.2.5.8</v>
      </c>
      <c r="I159" s="34" t="s">
        <v>1023</v>
      </c>
      <c r="J159" s="34" t="s">
        <v>1032</v>
      </c>
      <c r="K159" s="34" t="s">
        <v>1033</v>
      </c>
      <c r="L159" s="34" t="s">
        <v>1034</v>
      </c>
      <c r="M159" s="34" t="s">
        <v>1035</v>
      </c>
      <c r="N159" t="s">
        <v>612</v>
      </c>
      <c r="O159" t="s">
        <v>613</v>
      </c>
      <c r="P159" t="s">
        <v>391</v>
      </c>
      <c r="R159" s="34" t="str">
        <f>IF(Tabella4[[#This Row],[Componente]]="Documenti",_xlfn.XLOOKUP(Tabella4[[#This Row],[URL]],Tabella27[URL],Tabella27[PDF ID],,0),_xlfn.XLOOKUP(Tabella4[[#This Row],[URL]],Tabella1[URL],Tabella1[Page ID],,0))</f>
        <v>#11</v>
      </c>
      <c r="S159" s="34" t="s">
        <v>1004</v>
      </c>
      <c r="T159" s="34" t="s">
        <v>518</v>
      </c>
      <c r="V159" t="s">
        <v>578</v>
      </c>
      <c r="W159" s="34" t="s">
        <v>1068</v>
      </c>
      <c r="X159" s="34" t="str">
        <f>IFERROR(IF(Tabella4[[#This Row],[Tool]]="lighthouse",Tabella4[[#This Row],[Detail]],MID(Tabella4[[#This Row],[Detail]],1,FIND("&gt;",Tabella4[[#This Row],[Detail]]))),Tabella4[[#This Row],[Detail]])</f>
        <v>&lt;div class="panel-heading" role="tab" tabindex="0" id="heading-item-posteinsurancebrokerposteinsurancebroker-moduliposte-guidare-sicuri-approfondisci-accordionchisonolecompagnieassicurativepartner-0-0"&gt;</v>
      </c>
      <c r="Y159" s="34" t="str">
        <f>SUBSTITUTE(IF(Tabella4[[#This Row],[Tool]]="axe-core",MID(Tabella4[[#This Row],[Rejected Element]],3,LEN(Tabella4[[#This Row],[Rejected Element]])-4),Tabella4[[#This Row],[Rejected Element]]),"\","")</f>
        <v>#heading-item-posteinsurancebrokerposteinsurancebroker-moduliposte-guidare-sicuri-approfondisci-accordionchisonolecompagnieassicurativepartner-0-0</v>
      </c>
      <c r="Z159" s="34">
        <f>COUNTIFS(Tabella4[Detail univoco],Tabella4[[#This Row],[Detail univoco]],Tabella4[Rejected Element Univoco],Tabella4[[#This Row],[Rejected Element Univoco]],Tabella4[ItemsNodeLabel],Tabella4[[#This Row],[ItemsNodeLabel]])</f>
        <v>0</v>
      </c>
      <c r="AA159" s="34" t="str">
        <f>IF(Tabella4[[#This Row],[Componente]]="Documenti",VLOOKUP(Tabella4[[#This Row],[URL]],Tabella27[[URL]:[Servizio]],4,FALSE),VLOOKUP(Tabella4[[#This Row],[Page ID]],Tabella1[[Page ID]:[Servizio]],4,FALSE))</f>
        <v>S002 Poste Guidare Sicuri</v>
      </c>
      <c r="AB159" s="34"/>
      <c r="AC159" s="34" t="str">
        <f>Tabella4[[#This Row],[User Impact]]</f>
        <v>2 - Serious</v>
      </c>
      <c r="AD159" s="34" t="str">
        <f>Copertina!C$2&amp;" - "&amp;Tabella4[[#This Row],[UNI CEI EN 301549]]&amp;" "&amp;VLOOKUP(Tabella4[[#This Row],[Criterio]],Tabella5[[ID]:[Criterio di successo]],2,FALSE)&amp;" - "&amp;Tabella4[[#This Row],[Servizio]]&amp;":"</f>
        <v>Insurance Brocker - 9.2.5.8 Dimensione dell'obiettivo (minimo) - S002 Poste Guidare Sicuri:</v>
      </c>
      <c r="AE15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(#TM0120)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id="heading-item-posteinsurancebrokerposteinsurancebroker-moduliposte-guidare-sicuri-approfondisci-accordionchisonolecompagnieassicurativepartner-0-0"&gt; con selettore: 
["#heading-item-posteinsurancebrokerposteinsurancebroker-moduliposte-guidare-sicuri-approfondisci-accordionchisonolecompagnieassicurativepartner-0-0"]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59" t="e">
        <f>_xlfn.XLOOKUP(Tabella4[[#This Row],[ID Silk]],outTable[ID Silk],outTable[Numero ticket  ],,0,1)</f>
        <v>#N/A</v>
      </c>
    </row>
    <row r="160" spans="1:32">
      <c r="A160" s="34" t="str">
        <f>MID(Tabella4[[#This Row],[Servizio]],1,4)&amp;Tabella4[[#This Row],[UNI CEI EN 301549]]</f>
        <v>S0029.2.5.8</v>
      </c>
      <c r="B160" s="34" t="str">
        <f>Tabella4[[#This Row],[ID Silk]]&amp;"_1"</f>
        <v>S0029.2.5.8_1</v>
      </c>
      <c r="C160" s="34" t="s">
        <v>901</v>
      </c>
      <c r="D160" s="2" t="str">
        <f>"(#"&amp;Tabella4[[#This Row],['#ID]]&amp;")"</f>
        <v>(#TM0121)</v>
      </c>
      <c r="E160" s="34" t="str">
        <f>IF(MID(Tabella4[[#This Row],['#ID]],1,1)="M","Mobile",IF(MID(Tabella4[[#This Row],['#ID]],1,1)="D","Desktop",IF(MID(Tabella4[[#This Row],['#ID]],1,2)="TM","Manuale","Documenti")))</f>
        <v>Manuale</v>
      </c>
      <c r="F160" s="34" t="s">
        <v>1006</v>
      </c>
      <c r="G160" s="34" t="s">
        <v>372</v>
      </c>
      <c r="H160" s="34" t="str">
        <f>IF(Tabella4[[#This Row],[Componente]]="Documenti","10.","9.")&amp;Tabella4[[#This Row],[Criterio]]</f>
        <v>9.2.5.8</v>
      </c>
      <c r="I160" s="34" t="s">
        <v>1023</v>
      </c>
      <c r="J160" s="34" t="s">
        <v>1032</v>
      </c>
      <c r="K160" s="34" t="s">
        <v>1033</v>
      </c>
      <c r="L160" s="34" t="s">
        <v>1034</v>
      </c>
      <c r="M160" s="34" t="s">
        <v>1035</v>
      </c>
      <c r="N160" t="s">
        <v>638</v>
      </c>
      <c r="O160" t="s">
        <v>639</v>
      </c>
      <c r="P160" t="s">
        <v>391</v>
      </c>
      <c r="R160" s="34" t="str">
        <f>IF(Tabella4[[#This Row],[Componente]]="Documenti",_xlfn.XLOOKUP(Tabella4[[#This Row],[URL]],Tabella27[URL],Tabella27[PDF ID],,0),_xlfn.XLOOKUP(Tabella4[[#This Row],[URL]],Tabella1[URL],Tabella1[Page ID],,0))</f>
        <v>#11</v>
      </c>
      <c r="S160" s="34" t="s">
        <v>1004</v>
      </c>
      <c r="T160" s="34" t="s">
        <v>518</v>
      </c>
      <c r="V160" t="s">
        <v>580</v>
      </c>
      <c r="W160" s="34" t="s">
        <v>1068</v>
      </c>
      <c r="X16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data-parent="#accordion-posteinsurancebrokerposteinsurancebroker-moduliposte-guidare-sicuri-approfondisci-accordionapprofondisci" href="#item-posteinsurancebrokerposteinsurancebroker-moduliposte-guidare-sicuri-approfondisci-accordionchisonolecompagnieassicurativepartner-0" aria-expanded="false" aria-controls="item-posteinsurancebrokerposteinsurancebroker-moduliposte-guidare-sicuri-approfondisci-accordionchisonolecompagnieassicurativepartner-0" aria-label="Chi sono le compagnie assicurative partner" title="Chi sono le compagnie assicurative partner"&gt;</v>
      </c>
      <c r="Y160" s="34" t="str">
        <f>SUBSTITUTE(IF(Tabella4[[#This Row],[Tool]]="axe-core",MID(Tabella4[[#This Row],[Rejected Element]],3,LEN(Tabella4[[#This Row],[Rejected Element]])-4),Tabella4[[#This Row],[Rejected Element]]),"\","")</f>
        <v>#heading-item-posteinsurancebrokerposteinsurancebroker-moduliposte-guidare-sicuri-approfondisci-accordionchisonolecompagnieassicurativepartner-0-0 &gt; .panel-title &gt; .accordion-toggle.collapsed[role="button"]</v>
      </c>
      <c r="Z160" s="34">
        <f>COUNTIFS(Tabella4[Detail univoco],Tabella4[[#This Row],[Detail univoco]],Tabella4[Rejected Element Univoco],Tabella4[[#This Row],[Rejected Element Univoco]],Tabella4[ItemsNodeLabel],Tabella4[[#This Row],[ItemsNodeLabel]])</f>
        <v>0</v>
      </c>
      <c r="AA160" s="34" t="str">
        <f>IF(Tabella4[[#This Row],[Componente]]="Documenti",VLOOKUP(Tabella4[[#This Row],[URL]],Tabella27[[URL]:[Servizio]],4,FALSE),VLOOKUP(Tabella4[[#This Row],[Page ID]],Tabella1[[Page ID]:[Servizio]],4,FALSE))</f>
        <v>S002 Poste Guidare Sicuri</v>
      </c>
      <c r="AB160" s="34"/>
      <c r="AC160" s="34" t="str">
        <f>Tabella4[[#This Row],[User Impact]]</f>
        <v>2 - Serious</v>
      </c>
      <c r="AD160" s="34" t="str">
        <f>Copertina!C$2&amp;" - "&amp;Tabella4[[#This Row],[UNI CEI EN 301549]]&amp;" "&amp;VLOOKUP(Tabella4[[#This Row],[Criterio]],Tabella5[[ID]:[Criterio di successo]],2,FALSE)&amp;" - "&amp;Tabella4[[#This Row],[Servizio]]&amp;":"</f>
        <v>Insurance Brocker - 9.2.5.8 Dimensione dell'obiettivo (minimo) - S002 Poste Guidare Sicuri:</v>
      </c>
      <c r="AE16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(#TM0121)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data-parent="#accordion-posteinsurancebrokerposteinsurancebroker-moduliposte-guidare-sicuri-approfondisci-accordionapprofondisci" href="#item-posteinsurancebrokerposteinsurancebroker-moduliposte-guidare-sicuri-approfondisci-accordionchisonolecompagnieassicurativepartner-0" aria-expanded="false" aria-controls="item-posteinsurancebrokerposteinsurancebroker-moduliposte-guidare-sicuri-approfondisci-accordionchisonolecompagnieassicurativepartner-0" aria-label="Chi sono le compagnie assicurative partner" title="Chi sono le compagnie assicurative partner"&gt; con selettore: 
["#heading-item-posteinsurancebrokerposteinsurancebroker-moduliposte-guidare-sicuri-approfondisci-accordionchisonolecompagnieassicurativepartner-0-0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60" t="e">
        <f>_xlfn.XLOOKUP(Tabella4[[#This Row],[ID Silk]],outTable[ID Silk],outTable[Numero ticket  ],,0,1)</f>
        <v>#N/A</v>
      </c>
    </row>
    <row r="161" spans="1:32">
      <c r="A161" s="34" t="str">
        <f>MID(Tabella4[[#This Row],[Servizio]],1,4)&amp;Tabella4[[#This Row],[UNI CEI EN 301549]]</f>
        <v>S0029.2.5.8</v>
      </c>
      <c r="B161" s="34" t="str">
        <f>Tabella4[[#This Row],[ID Silk]]&amp;"_1"</f>
        <v>S0029.2.5.8_1</v>
      </c>
      <c r="C161" s="34" t="s">
        <v>902</v>
      </c>
      <c r="D161" s="2" t="str">
        <f>"(#"&amp;Tabella4[[#This Row],['#ID]]&amp;")"</f>
        <v>(#TM0122)</v>
      </c>
      <c r="E161" s="34" t="str">
        <f>IF(MID(Tabella4[[#This Row],['#ID]],1,1)="M","Mobile",IF(MID(Tabella4[[#This Row],['#ID]],1,1)="D","Desktop",IF(MID(Tabella4[[#This Row],['#ID]],1,2)="TM","Manuale","Documenti")))</f>
        <v>Manuale</v>
      </c>
      <c r="F161" s="34" t="s">
        <v>1006</v>
      </c>
      <c r="G161" s="34" t="s">
        <v>372</v>
      </c>
      <c r="H161" s="34" t="str">
        <f>IF(Tabella4[[#This Row],[Componente]]="Documenti","10.","9.")&amp;Tabella4[[#This Row],[Criterio]]</f>
        <v>9.2.5.8</v>
      </c>
      <c r="I161" s="34" t="s">
        <v>1023</v>
      </c>
      <c r="J161" s="34" t="s">
        <v>1032</v>
      </c>
      <c r="K161" s="34" t="s">
        <v>1033</v>
      </c>
      <c r="L161" s="34" t="s">
        <v>1034</v>
      </c>
      <c r="M161" s="34" t="s">
        <v>1035</v>
      </c>
      <c r="N161" t="s">
        <v>614</v>
      </c>
      <c r="O161" t="s">
        <v>615</v>
      </c>
      <c r="P161" t="s">
        <v>391</v>
      </c>
      <c r="R161" s="34" t="str">
        <f>IF(Tabella4[[#This Row],[Componente]]="Documenti",_xlfn.XLOOKUP(Tabella4[[#This Row],[URL]],Tabella27[URL],Tabella27[PDF ID],,0),_xlfn.XLOOKUP(Tabella4[[#This Row],[URL]],Tabella1[URL],Tabella1[Page ID],,0))</f>
        <v>#11</v>
      </c>
      <c r="S161" s="34" t="s">
        <v>1004</v>
      </c>
      <c r="T161" s="34" t="s">
        <v>518</v>
      </c>
      <c r="V161" t="s">
        <v>578</v>
      </c>
      <c r="W161" s="34" t="s">
        <v>1068</v>
      </c>
      <c r="X161" s="34" t="str">
        <f>IFERROR(IF(Tabella4[[#This Row],[Tool]]="lighthouse",Tabella4[[#This Row],[Detail]],MID(Tabella4[[#This Row],[Detail]],1,FIND("&gt;",Tabella4[[#This Row],[Detail]]))),Tabella4[[#This Row],[Detail]])</f>
        <v>&lt;div class="panel-heading" role="tab" tabindex="0" id="heading-item-posteinsurancebrokerposteinsurancebroker-moduliposte-guidare-sicuri-approfondisci-accordioncomescegliamoilprodottoperte-1-1"&gt;</v>
      </c>
      <c r="Y161" s="34" t="str">
        <f>SUBSTITUTE(IF(Tabella4[[#This Row],[Tool]]="axe-core",MID(Tabella4[[#This Row],[Rejected Element]],3,LEN(Tabella4[[#This Row],[Rejected Element]])-4),Tabella4[[#This Row],[Rejected Element]]),"\","")</f>
        <v>#heading-item-posteinsurancebrokerposteinsurancebroker-moduliposte-guidare-sicuri-approfondisci-accordioncomescegliamoilprodottoperte-1-1</v>
      </c>
      <c r="Z161" s="34">
        <f>COUNTIFS(Tabella4[Detail univoco],Tabella4[[#This Row],[Detail univoco]],Tabella4[Rejected Element Univoco],Tabella4[[#This Row],[Rejected Element Univoco]],Tabella4[ItemsNodeLabel],Tabella4[[#This Row],[ItemsNodeLabel]])</f>
        <v>0</v>
      </c>
      <c r="AA161" s="34" t="str">
        <f>IF(Tabella4[[#This Row],[Componente]]="Documenti",VLOOKUP(Tabella4[[#This Row],[URL]],Tabella27[[URL]:[Servizio]],4,FALSE),VLOOKUP(Tabella4[[#This Row],[Page ID]],Tabella1[[Page ID]:[Servizio]],4,FALSE))</f>
        <v>S002 Poste Guidare Sicuri</v>
      </c>
      <c r="AB161" s="34"/>
      <c r="AC161" s="34" t="str">
        <f>Tabella4[[#This Row],[User Impact]]</f>
        <v>2 - Serious</v>
      </c>
      <c r="AD161" s="34" t="str">
        <f>Copertina!C$2&amp;" - "&amp;Tabella4[[#This Row],[UNI CEI EN 301549]]&amp;" "&amp;VLOOKUP(Tabella4[[#This Row],[Criterio]],Tabella5[[ID]:[Criterio di successo]],2,FALSE)&amp;" - "&amp;Tabella4[[#This Row],[Servizio]]&amp;":"</f>
        <v>Insurance Brocker - 9.2.5.8 Dimensione dell'obiettivo (minimo) - S002 Poste Guidare Sicuri:</v>
      </c>
      <c r="AE16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(#TM0122)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id="heading-item-posteinsurancebrokerposteinsurancebroker-moduliposte-guidare-sicuri-approfondisci-accordioncomescegliamoilprodottoperte-1-1"&gt; con selettore: 
["#heading-item-posteinsurancebrokerposteinsurancebroker-moduliposte-guidare-sicuri-approfondisci-accordioncomescegliamoilprodottoperte-1-1"]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61" t="e">
        <f>_xlfn.XLOOKUP(Tabella4[[#This Row],[ID Silk]],outTable[ID Silk],outTable[Numero ticket  ],,0,1)</f>
        <v>#N/A</v>
      </c>
    </row>
    <row r="162" spans="1:32">
      <c r="A162" s="34" t="str">
        <f>MID(Tabella4[[#This Row],[Servizio]],1,4)&amp;Tabella4[[#This Row],[UNI CEI EN 301549]]</f>
        <v>S0029.2.5.8</v>
      </c>
      <c r="B162" s="34" t="str">
        <f>Tabella4[[#This Row],[ID Silk]]&amp;"_1"</f>
        <v>S0029.2.5.8_1</v>
      </c>
      <c r="C162" s="34" t="s">
        <v>903</v>
      </c>
      <c r="D162" s="2" t="str">
        <f>"(#"&amp;Tabella4[[#This Row],['#ID]]&amp;")"</f>
        <v>(#TM0123)</v>
      </c>
      <c r="E162" s="34" t="str">
        <f>IF(MID(Tabella4[[#This Row],['#ID]],1,1)="M","Mobile",IF(MID(Tabella4[[#This Row],['#ID]],1,1)="D","Desktop",IF(MID(Tabella4[[#This Row],['#ID]],1,2)="TM","Manuale","Documenti")))</f>
        <v>Manuale</v>
      </c>
      <c r="F162" s="34" t="s">
        <v>1006</v>
      </c>
      <c r="G162" s="34" t="s">
        <v>372</v>
      </c>
      <c r="H162" s="34" t="str">
        <f>IF(Tabella4[[#This Row],[Componente]]="Documenti","10.","9.")&amp;Tabella4[[#This Row],[Criterio]]</f>
        <v>9.2.5.8</v>
      </c>
      <c r="I162" s="34" t="s">
        <v>1023</v>
      </c>
      <c r="J162" s="34" t="s">
        <v>1032</v>
      </c>
      <c r="K162" s="34" t="s">
        <v>1033</v>
      </c>
      <c r="L162" s="34" t="s">
        <v>1034</v>
      </c>
      <c r="M162" s="34" t="s">
        <v>1035</v>
      </c>
      <c r="N162" t="s">
        <v>640</v>
      </c>
      <c r="O162" t="s">
        <v>641</v>
      </c>
      <c r="P162" t="s">
        <v>391</v>
      </c>
      <c r="R162" s="34" t="str">
        <f>IF(Tabella4[[#This Row],[Componente]]="Documenti",_xlfn.XLOOKUP(Tabella4[[#This Row],[URL]],Tabella27[URL],Tabella27[PDF ID],,0),_xlfn.XLOOKUP(Tabella4[[#This Row],[URL]],Tabella1[URL],Tabella1[Page ID],,0))</f>
        <v>#11</v>
      </c>
      <c r="S162" s="34" t="s">
        <v>1004</v>
      </c>
      <c r="T162" s="34" t="s">
        <v>518</v>
      </c>
      <c r="V162" t="s">
        <v>580</v>
      </c>
      <c r="W162" s="34" t="s">
        <v>1068</v>
      </c>
      <c r="X16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data-parent="#accordion-posteinsurancebrokerposteinsurancebroker-moduliposte-guidare-sicuri-approfondisci-accordionapprofondisci" href="#item-posteinsurancebrokerposteinsurancebroker-moduliposte-guidare-sicuri-approfondisci-accordioncomescegliamoilprodottoperte-1" aria-expanded="false" aria-controls="item-posteinsurancebrokerposteinsurancebroker-moduliposte-guidare-sicuri-approfondisci-accordioncomescegliamoilprodottoperte-1" aria-label="Come scegliamo il prodotto per te" title="Come scegliamo il prodotto per te"&gt;</v>
      </c>
      <c r="Y162" s="34" t="str">
        <f>SUBSTITUTE(IF(Tabella4[[#This Row],[Tool]]="axe-core",MID(Tabella4[[#This Row],[Rejected Element]],3,LEN(Tabella4[[#This Row],[Rejected Element]])-4),Tabella4[[#This Row],[Rejected Element]]),"\","")</f>
        <v>#heading-item-posteinsurancebrokerposteinsurancebroker-moduliposte-guidare-sicuri-approfondisci-accordioncomescegliamoilprodottoperte-1-1 &gt; .panel-title &gt; .accordion-toggle.collapsed[role="button"]</v>
      </c>
      <c r="Z162" s="34">
        <f>COUNTIFS(Tabella4[Detail univoco],Tabella4[[#This Row],[Detail univoco]],Tabella4[Rejected Element Univoco],Tabella4[[#This Row],[Rejected Element Univoco]],Tabella4[ItemsNodeLabel],Tabella4[[#This Row],[ItemsNodeLabel]])</f>
        <v>0</v>
      </c>
      <c r="AA162" s="34" t="str">
        <f>IF(Tabella4[[#This Row],[Componente]]="Documenti",VLOOKUP(Tabella4[[#This Row],[URL]],Tabella27[[URL]:[Servizio]],4,FALSE),VLOOKUP(Tabella4[[#This Row],[Page ID]],Tabella1[[Page ID]:[Servizio]],4,FALSE))</f>
        <v>S002 Poste Guidare Sicuri</v>
      </c>
      <c r="AB162" s="34"/>
      <c r="AC162" s="34" t="str">
        <f>Tabella4[[#This Row],[User Impact]]</f>
        <v>2 - Serious</v>
      </c>
      <c r="AD162" s="34" t="str">
        <f>Copertina!C$2&amp;" - "&amp;Tabella4[[#This Row],[UNI CEI EN 301549]]&amp;" "&amp;VLOOKUP(Tabella4[[#This Row],[Criterio]],Tabella5[[ID]:[Criterio di successo]],2,FALSE)&amp;" - "&amp;Tabella4[[#This Row],[Servizio]]&amp;":"</f>
        <v>Insurance Brocker - 9.2.5.8 Dimensione dell'obiettivo (minimo) - S002 Poste Guidare Sicuri:</v>
      </c>
      <c r="AE16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(#TM0123)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data-parent="#accordion-posteinsurancebrokerposteinsurancebroker-moduliposte-guidare-sicuri-approfondisci-accordionapprofondisci" href="#item-posteinsurancebrokerposteinsurancebroker-moduliposte-guidare-sicuri-approfondisci-accordioncomescegliamoilprodottoperte-1" aria-expanded="false" aria-controls="item-posteinsurancebrokerposteinsurancebroker-moduliposte-guidare-sicuri-approfondisci-accordioncomescegliamoilprodottoperte-1" aria-label="Come scegliamo il prodotto per te" title="Come scegliamo il prodotto per te"&gt; con selettore: 
["#heading-item-posteinsurancebrokerposteinsurancebroker-moduliposte-guidare-sicuri-approfondisci-accordioncomescegliamoilprodottoperte-1-1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62" t="e">
        <f>_xlfn.XLOOKUP(Tabella4[[#This Row],[ID Silk]],outTable[ID Silk],outTable[Numero ticket  ],,0,1)</f>
        <v>#N/A</v>
      </c>
    </row>
    <row r="163" spans="1:32">
      <c r="A163" s="34" t="str">
        <f>MID(Tabella4[[#This Row],[Servizio]],1,4)&amp;Tabella4[[#This Row],[UNI CEI EN 301549]]</f>
        <v>S0029.2.5.8</v>
      </c>
      <c r="B163" s="34" t="str">
        <f>Tabella4[[#This Row],[ID Silk]]&amp;"_1"</f>
        <v>S0029.2.5.8_1</v>
      </c>
      <c r="C163" s="34" t="s">
        <v>904</v>
      </c>
      <c r="D163" s="2" t="str">
        <f>"(#"&amp;Tabella4[[#This Row],['#ID]]&amp;")"</f>
        <v>(#TM0124)</v>
      </c>
      <c r="E163" s="34" t="str">
        <f>IF(MID(Tabella4[[#This Row],['#ID]],1,1)="M","Mobile",IF(MID(Tabella4[[#This Row],['#ID]],1,1)="D","Desktop",IF(MID(Tabella4[[#This Row],['#ID]],1,2)="TM","Manuale","Documenti")))</f>
        <v>Manuale</v>
      </c>
      <c r="F163" s="34" t="s">
        <v>1006</v>
      </c>
      <c r="G163" s="34" t="s">
        <v>372</v>
      </c>
      <c r="H163" s="34" t="str">
        <f>IF(Tabella4[[#This Row],[Componente]]="Documenti","10.","9.")&amp;Tabella4[[#This Row],[Criterio]]</f>
        <v>9.2.5.8</v>
      </c>
      <c r="I163" s="34" t="s">
        <v>1023</v>
      </c>
      <c r="J163" s="34" t="s">
        <v>1032</v>
      </c>
      <c r="K163" s="34" t="s">
        <v>1033</v>
      </c>
      <c r="L163" s="34" t="s">
        <v>1034</v>
      </c>
      <c r="M163" s="34" t="s">
        <v>1035</v>
      </c>
      <c r="N163" t="s">
        <v>616</v>
      </c>
      <c r="O163" t="s">
        <v>617</v>
      </c>
      <c r="P163" t="s">
        <v>391</v>
      </c>
      <c r="R163" s="34" t="str">
        <f>IF(Tabella4[[#This Row],[Componente]]="Documenti",_xlfn.XLOOKUP(Tabella4[[#This Row],[URL]],Tabella27[URL],Tabella27[PDF ID],,0),_xlfn.XLOOKUP(Tabella4[[#This Row],[URL]],Tabella1[URL],Tabella1[Page ID],,0))</f>
        <v>#11</v>
      </c>
      <c r="S163" s="34" t="s">
        <v>1004</v>
      </c>
      <c r="T163" s="34" t="s">
        <v>518</v>
      </c>
      <c r="V163" t="s">
        <v>578</v>
      </c>
      <c r="W163" s="34" t="s">
        <v>1068</v>
      </c>
      <c r="X163" s="34" t="str">
        <f>IFERROR(IF(Tabella4[[#This Row],[Tool]]="lighthouse",Tabella4[[#This Row],[Detail]],MID(Tabella4[[#This Row],[Detail]],1,FIND("&gt;",Tabella4[[#This Row],[Detail]]))),Tabella4[[#This Row],[Detail]])</f>
        <v>&lt;div class="panel-heading" role="tab" tabindex="0" id="heading-item-posteinsurancebrokerposteinsurancebroker-moduliposte-guidare-sicuri-set-informativo-accordionset-informativo-genertel-spa-0-0"&gt;</v>
      </c>
      <c r="Y163" s="34" t="str">
        <f>SUBSTITUTE(IF(Tabella4[[#This Row],[Tool]]="axe-core",MID(Tabella4[[#This Row],[Rejected Element]],3,LEN(Tabella4[[#This Row],[Rejected Element]])-4),Tabella4[[#This Row],[Rejected Element]]),"\","")</f>
        <v>#heading-item-posteinsurancebrokerposteinsurancebroker-moduliposte-guidare-sicuri-set-informativo-accordionset-informativo-genertel-spa-0-0</v>
      </c>
      <c r="Z163" s="34">
        <f>COUNTIFS(Tabella4[Detail univoco],Tabella4[[#This Row],[Detail univoco]],Tabella4[Rejected Element Univoco],Tabella4[[#This Row],[Rejected Element Univoco]],Tabella4[ItemsNodeLabel],Tabella4[[#This Row],[ItemsNodeLabel]])</f>
        <v>0</v>
      </c>
      <c r="AA163" s="34" t="str">
        <f>IF(Tabella4[[#This Row],[Componente]]="Documenti",VLOOKUP(Tabella4[[#This Row],[URL]],Tabella27[[URL]:[Servizio]],4,FALSE),VLOOKUP(Tabella4[[#This Row],[Page ID]],Tabella1[[Page ID]:[Servizio]],4,FALSE))</f>
        <v>S002 Poste Guidare Sicuri</v>
      </c>
      <c r="AB163" s="34"/>
      <c r="AC163" s="34" t="str">
        <f>Tabella4[[#This Row],[User Impact]]</f>
        <v>2 - Serious</v>
      </c>
      <c r="AD163" s="34" t="str">
        <f>Copertina!C$2&amp;" - "&amp;Tabella4[[#This Row],[UNI CEI EN 301549]]&amp;" "&amp;VLOOKUP(Tabella4[[#This Row],[Criterio]],Tabella5[[ID]:[Criterio di successo]],2,FALSE)&amp;" - "&amp;Tabella4[[#This Row],[Servizio]]&amp;":"</f>
        <v>Insurance Brocker - 9.2.5.8 Dimensione dell'obiettivo (minimo) - S002 Poste Guidare Sicuri:</v>
      </c>
      <c r="AE16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(#TM0124)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id="heading-item-posteinsurancebrokerposteinsurancebroker-moduliposte-guidare-sicuri-set-informativo-accordionset-informativo-genertel-spa-0-0"&gt; con selettore: 
["#heading-item-posteinsurancebrokerposteinsurancebroker-moduliposte-guidare-sicuri-set-informativo-accordionset-informativo-genertel-spa-0-0"]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63" t="e">
        <f>_xlfn.XLOOKUP(Tabella4[[#This Row],[ID Silk]],outTable[ID Silk],outTable[Numero ticket  ],,0,1)</f>
        <v>#N/A</v>
      </c>
    </row>
    <row r="164" spans="1:32">
      <c r="A164" s="34" t="str">
        <f>MID(Tabella4[[#This Row],[Servizio]],1,4)&amp;Tabella4[[#This Row],[UNI CEI EN 301549]]</f>
        <v>S0029.2.5.8</v>
      </c>
      <c r="B164" s="34" t="str">
        <f>Tabella4[[#This Row],[ID Silk]]&amp;"_1"</f>
        <v>S0029.2.5.8_1</v>
      </c>
      <c r="C164" s="34" t="s">
        <v>905</v>
      </c>
      <c r="D164" s="2" t="str">
        <f>"(#"&amp;Tabella4[[#This Row],['#ID]]&amp;")"</f>
        <v>(#TM0125)</v>
      </c>
      <c r="E164" s="34" t="str">
        <f>IF(MID(Tabella4[[#This Row],['#ID]],1,1)="M","Mobile",IF(MID(Tabella4[[#This Row],['#ID]],1,1)="D","Desktop",IF(MID(Tabella4[[#This Row],['#ID]],1,2)="TM","Manuale","Documenti")))</f>
        <v>Manuale</v>
      </c>
      <c r="F164" s="34" t="s">
        <v>1006</v>
      </c>
      <c r="G164" s="34" t="s">
        <v>372</v>
      </c>
      <c r="H164" s="34" t="str">
        <f>IF(Tabella4[[#This Row],[Componente]]="Documenti","10.","9.")&amp;Tabella4[[#This Row],[Criterio]]</f>
        <v>9.2.5.8</v>
      </c>
      <c r="I164" s="34" t="s">
        <v>1023</v>
      </c>
      <c r="J164" s="34" t="s">
        <v>1032</v>
      </c>
      <c r="K164" s="34" t="s">
        <v>1033</v>
      </c>
      <c r="L164" s="34" t="s">
        <v>1034</v>
      </c>
      <c r="M164" s="34" t="s">
        <v>1035</v>
      </c>
      <c r="N164" t="s">
        <v>642</v>
      </c>
      <c r="O164" t="s">
        <v>643</v>
      </c>
      <c r="P164" t="s">
        <v>391</v>
      </c>
      <c r="R164" s="34" t="str">
        <f>IF(Tabella4[[#This Row],[Componente]]="Documenti",_xlfn.XLOOKUP(Tabella4[[#This Row],[URL]],Tabella27[URL],Tabella27[PDF ID],,0),_xlfn.XLOOKUP(Tabella4[[#This Row],[URL]],Tabella1[URL],Tabella1[Page ID],,0))</f>
        <v>#11</v>
      </c>
      <c r="S164" s="34" t="s">
        <v>1004</v>
      </c>
      <c r="T164" s="34" t="s">
        <v>518</v>
      </c>
      <c r="V164" t="s">
        <v>580</v>
      </c>
      <c r="W164" s="34" t="s">
        <v>1068</v>
      </c>
      <c r="X16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href="#item-posteinsurancebrokerposteinsurancebroker-moduliposte-guidare-sicuri-set-informativo-accordionset-informativo-genertel-spa-0" aria-expanded="false" aria-controls="item-posteinsurancebrokerposteinsurancebroker-moduliposte-guidare-sicuri-set-informativo-accordionset-informativo-genertel-spa-0" aria-label="Set informativo Poste Guidare Sicuri by GENERTEL S.P.A." title="Set informativo Poste Guidare Sicuri by GENERTEL S.P.A."&gt;</v>
      </c>
      <c r="Y164" s="34" t="str">
        <f>SUBSTITUTE(IF(Tabella4[[#This Row],[Tool]]="axe-core",MID(Tabella4[[#This Row],[Rejected Element]],3,LEN(Tabella4[[#This Row],[Rejected Element]])-4),Tabella4[[#This Row],[Rejected Element]]),"\","")</f>
        <v>#heading-item-posteinsurancebrokerposteinsurancebroker-moduliposte-guidare-sicuri-set-informativo-accordionset-informativo-genertel-spa-0-0 &gt; .panel-title &gt; .accordion-toggle.collapsed[role="button"]</v>
      </c>
      <c r="Z164" s="34">
        <f>COUNTIFS(Tabella4[Detail univoco],Tabella4[[#This Row],[Detail univoco]],Tabella4[Rejected Element Univoco],Tabella4[[#This Row],[Rejected Element Univoco]],Tabella4[ItemsNodeLabel],Tabella4[[#This Row],[ItemsNodeLabel]])</f>
        <v>0</v>
      </c>
      <c r="AA164" s="34" t="str">
        <f>IF(Tabella4[[#This Row],[Componente]]="Documenti",VLOOKUP(Tabella4[[#This Row],[URL]],Tabella27[[URL]:[Servizio]],4,FALSE),VLOOKUP(Tabella4[[#This Row],[Page ID]],Tabella1[[Page ID]:[Servizio]],4,FALSE))</f>
        <v>S002 Poste Guidare Sicuri</v>
      </c>
      <c r="AB164" s="34"/>
      <c r="AC164" s="34" t="str">
        <f>Tabella4[[#This Row],[User Impact]]</f>
        <v>2 - Serious</v>
      </c>
      <c r="AD164" s="34" t="str">
        <f>Copertina!C$2&amp;" - "&amp;Tabella4[[#This Row],[UNI CEI EN 301549]]&amp;" "&amp;VLOOKUP(Tabella4[[#This Row],[Criterio]],Tabella5[[ID]:[Criterio di successo]],2,FALSE)&amp;" - "&amp;Tabella4[[#This Row],[Servizio]]&amp;":"</f>
        <v>Insurance Brocker - 9.2.5.8 Dimensione dell'obiettivo (minimo) - S002 Poste Guidare Sicuri:</v>
      </c>
      <c r="AE16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(#TM0125)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href="#item-posteinsurancebrokerposteinsurancebroker-moduliposte-guidare-sicuri-set-informativo-accordionset-informativo-genertel-spa-0" aria-expanded="false" aria-controls="item-posteinsurancebrokerposteinsurancebroker-moduliposte-guidare-sicuri-set-informativo-accordionset-informativo-genertel-spa-0" aria-label="Set informativo Poste Guidare Sicuri by GENERTEL S.P.A." title="Set informativo Poste Guidare Sicuri by GENERTEL S.P.A."&gt; con selettore: 
["#heading-item-posteinsurancebrokerposteinsurancebroker-moduliposte-guidare-sicuri-set-informativo-accordionset-informativo-genertel-spa-0-0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64" t="e">
        <f>_xlfn.XLOOKUP(Tabella4[[#This Row],[ID Silk]],outTable[ID Silk],outTable[Numero ticket  ],,0,1)</f>
        <v>#N/A</v>
      </c>
    </row>
    <row r="165" spans="1:32">
      <c r="A165" s="34" t="str">
        <f>MID(Tabella4[[#This Row],[Servizio]],1,4)&amp;Tabella4[[#This Row],[UNI CEI EN 301549]]</f>
        <v>S0029.2.5.8</v>
      </c>
      <c r="B165" s="34" t="str">
        <f>Tabella4[[#This Row],[ID Silk]]&amp;"_1"</f>
        <v>S0029.2.5.8_1</v>
      </c>
      <c r="C165" s="34" t="s">
        <v>906</v>
      </c>
      <c r="D165" s="2" t="str">
        <f>"(#"&amp;Tabella4[[#This Row],['#ID]]&amp;")"</f>
        <v>(#TM0126)</v>
      </c>
      <c r="E165" s="34" t="str">
        <f>IF(MID(Tabella4[[#This Row],['#ID]],1,1)="M","Mobile",IF(MID(Tabella4[[#This Row],['#ID]],1,1)="D","Desktop",IF(MID(Tabella4[[#This Row],['#ID]],1,2)="TM","Manuale","Documenti")))</f>
        <v>Manuale</v>
      </c>
      <c r="F165" s="34" t="s">
        <v>1006</v>
      </c>
      <c r="G165" s="34" t="s">
        <v>372</v>
      </c>
      <c r="H165" s="34" t="str">
        <f>IF(Tabella4[[#This Row],[Componente]]="Documenti","10.","9.")&amp;Tabella4[[#This Row],[Criterio]]</f>
        <v>9.2.5.8</v>
      </c>
      <c r="I165" s="34" t="s">
        <v>1023</v>
      </c>
      <c r="J165" s="34" t="s">
        <v>1032</v>
      </c>
      <c r="K165" s="34" t="s">
        <v>1033</v>
      </c>
      <c r="L165" s="34" t="s">
        <v>1034</v>
      </c>
      <c r="M165" s="34" t="s">
        <v>1035</v>
      </c>
      <c r="N165" t="s">
        <v>618</v>
      </c>
      <c r="O165" t="s">
        <v>619</v>
      </c>
      <c r="P165" t="s">
        <v>391</v>
      </c>
      <c r="R165" s="34" t="str">
        <f>IF(Tabella4[[#This Row],[Componente]]="Documenti",_xlfn.XLOOKUP(Tabella4[[#This Row],[URL]],Tabella27[URL],Tabella27[PDF ID],,0),_xlfn.XLOOKUP(Tabella4[[#This Row],[URL]],Tabella1[URL],Tabella1[Page ID],,0))</f>
        <v>#11</v>
      </c>
      <c r="S165" s="34" t="s">
        <v>1004</v>
      </c>
      <c r="T165" s="34" t="s">
        <v>518</v>
      </c>
      <c r="V165" t="s">
        <v>578</v>
      </c>
      <c r="W165" s="34" t="s">
        <v>1068</v>
      </c>
      <c r="X165" s="34" t="str">
        <f>IFERROR(IF(Tabella4[[#This Row],[Tool]]="lighthouse",Tabella4[[#This Row],[Detail]],MID(Tabella4[[#This Row],[Detail]],1,FIND("&gt;",Tabella4[[#This Row],[Detail]]))),Tabella4[[#This Row],[Detail]])</f>
        <v>&lt;div class="panel-heading" role="tab" tabindex="0" id="heading-item-posteinsurancebrokerposteinsurancebroker-moduliposte-guidare-sicuri-set-informativo-accordionset-informativo-linear-assicurazioni-1-1"&gt;</v>
      </c>
      <c r="Y165" s="34" t="str">
        <f>SUBSTITUTE(IF(Tabella4[[#This Row],[Tool]]="axe-core",MID(Tabella4[[#This Row],[Rejected Element]],3,LEN(Tabella4[[#This Row],[Rejected Element]])-4),Tabella4[[#This Row],[Rejected Element]]),"\","")</f>
        <v>#heading-item-posteinsurancebrokerposteinsurancebroker-moduliposte-guidare-sicuri-set-informativo-accordionset-informativo-linear-assicurazioni-1-1</v>
      </c>
      <c r="Z165" s="34">
        <f>COUNTIFS(Tabella4[Detail univoco],Tabella4[[#This Row],[Detail univoco]],Tabella4[Rejected Element Univoco],Tabella4[[#This Row],[Rejected Element Univoco]],Tabella4[ItemsNodeLabel],Tabella4[[#This Row],[ItemsNodeLabel]])</f>
        <v>0</v>
      </c>
      <c r="AA165" s="34" t="str">
        <f>IF(Tabella4[[#This Row],[Componente]]="Documenti",VLOOKUP(Tabella4[[#This Row],[URL]],Tabella27[[URL]:[Servizio]],4,FALSE),VLOOKUP(Tabella4[[#This Row],[Page ID]],Tabella1[[Page ID]:[Servizio]],4,FALSE))</f>
        <v>S002 Poste Guidare Sicuri</v>
      </c>
      <c r="AB165" s="34"/>
      <c r="AC165" s="34" t="str">
        <f>Tabella4[[#This Row],[User Impact]]</f>
        <v>2 - Serious</v>
      </c>
      <c r="AD165" s="34" t="str">
        <f>Copertina!C$2&amp;" - "&amp;Tabella4[[#This Row],[UNI CEI EN 301549]]&amp;" "&amp;VLOOKUP(Tabella4[[#This Row],[Criterio]],Tabella5[[ID]:[Criterio di successo]],2,FALSE)&amp;" - "&amp;Tabella4[[#This Row],[Servizio]]&amp;":"</f>
        <v>Insurance Brocker - 9.2.5.8 Dimensione dell'obiettivo (minimo) - S002 Poste Guidare Sicuri:</v>
      </c>
      <c r="AE16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(#TM0126)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&lt;div class="panel-heading" role="tab" tabindex="0" id="heading-item-posteinsurancebrokerposteinsurancebroker-moduliposte-guidare-sicuri-set-informativo-accordionset-informativo-linear-assicurazioni-1-1"&gt; con selettore: 
["#heading-item-posteinsurancebrokerposteinsurancebroker-moduliposte-guidare-sicuri-set-informativo-accordionset-informativo-linear-assicurazioni-1-1"]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65" t="e">
        <f>_xlfn.XLOOKUP(Tabella4[[#This Row],[ID Silk]],outTable[ID Silk],outTable[Numero ticket  ],,0,1)</f>
        <v>#N/A</v>
      </c>
    </row>
    <row r="166" spans="1:32">
      <c r="A166" s="34" t="str">
        <f>MID(Tabella4[[#This Row],[Servizio]],1,4)&amp;Tabella4[[#This Row],[UNI CEI EN 301549]]</f>
        <v>S0029.2.5.8</v>
      </c>
      <c r="B166" s="34" t="str">
        <f>Tabella4[[#This Row],[ID Silk]]&amp;"_1"</f>
        <v>S0029.2.5.8_1</v>
      </c>
      <c r="C166" s="34" t="s">
        <v>907</v>
      </c>
      <c r="D166" s="2" t="str">
        <f>"(#"&amp;Tabella4[[#This Row],['#ID]]&amp;")"</f>
        <v>(#TM0127)</v>
      </c>
      <c r="E166" s="34" t="str">
        <f>IF(MID(Tabella4[[#This Row],['#ID]],1,1)="M","Mobile",IF(MID(Tabella4[[#This Row],['#ID]],1,1)="D","Desktop",IF(MID(Tabella4[[#This Row],['#ID]],1,2)="TM","Manuale","Documenti")))</f>
        <v>Manuale</v>
      </c>
      <c r="F166" s="34" t="s">
        <v>1006</v>
      </c>
      <c r="G166" s="34" t="s">
        <v>372</v>
      </c>
      <c r="H166" s="34" t="str">
        <f>IF(Tabella4[[#This Row],[Componente]]="Documenti","10.","9.")&amp;Tabella4[[#This Row],[Criterio]]</f>
        <v>9.2.5.8</v>
      </c>
      <c r="I166" s="34" t="s">
        <v>1023</v>
      </c>
      <c r="J166" s="34" t="s">
        <v>1032</v>
      </c>
      <c r="K166" s="34" t="s">
        <v>1033</v>
      </c>
      <c r="L166" s="34" t="s">
        <v>1034</v>
      </c>
      <c r="M166" s="34" t="s">
        <v>1035</v>
      </c>
      <c r="N166" t="s">
        <v>644</v>
      </c>
      <c r="O166" t="s">
        <v>645</v>
      </c>
      <c r="P166" t="s">
        <v>391</v>
      </c>
      <c r="R166" s="34" t="str">
        <f>IF(Tabella4[[#This Row],[Componente]]="Documenti",_xlfn.XLOOKUP(Tabella4[[#This Row],[URL]],Tabella27[URL],Tabella27[PDF ID],,0),_xlfn.XLOOKUP(Tabella4[[#This Row],[URL]],Tabella1[URL],Tabella1[Page ID],,0))</f>
        <v>#11</v>
      </c>
      <c r="S166" s="34" t="s">
        <v>1004</v>
      </c>
      <c r="T166" s="34" t="s">
        <v>518</v>
      </c>
      <c r="V166" t="s">
        <v>580</v>
      </c>
      <c r="W166" s="34" t="s">
        <v>1068</v>
      </c>
      <c r="X16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href="#item-posteinsurancebrokerposteinsurancebroker-moduliposte-guidare-sicuri-set-informativo-accordionset-informativo-linear-assicurazioni-1" aria-expanded="false" aria-controls="item-posteinsurancebrokerposteinsurancebroker-moduliposte-guidare-sicuri-set-informativo-accordionset-informativo-linear-assicurazioni-1" aria-label="Set informativo Poste Guidare Sicuri by Linear Assicurazioni" title="Set informativo Poste Guidare Sicuri by Linear Assicurazioni"&gt;</v>
      </c>
      <c r="Y166" s="34" t="str">
        <f>SUBSTITUTE(IF(Tabella4[[#This Row],[Tool]]="axe-core",MID(Tabella4[[#This Row],[Rejected Element]],3,LEN(Tabella4[[#This Row],[Rejected Element]])-4),Tabella4[[#This Row],[Rejected Element]]),"\","")</f>
        <v>#heading-item-posteinsurancebrokerposteinsurancebroker-moduliposte-guidare-sicuri-set-informativo-accordionset-informativo-linear-assicurazioni-1-1 &gt; .panel-title &gt; .accordion-toggle.collapsed[role="button"]</v>
      </c>
      <c r="Z166" s="34">
        <f>COUNTIFS(Tabella4[Detail univoco],Tabella4[[#This Row],[Detail univoco]],Tabella4[Rejected Element Univoco],Tabella4[[#This Row],[Rejected Element Univoco]],Tabella4[ItemsNodeLabel],Tabella4[[#This Row],[ItemsNodeLabel]])</f>
        <v>0</v>
      </c>
      <c r="AA166" s="34" t="str">
        <f>IF(Tabella4[[#This Row],[Componente]]="Documenti",VLOOKUP(Tabella4[[#This Row],[URL]],Tabella27[[URL]:[Servizio]],4,FALSE),VLOOKUP(Tabella4[[#This Row],[Page ID]],Tabella1[[Page ID]:[Servizio]],4,FALSE))</f>
        <v>S002 Poste Guidare Sicuri</v>
      </c>
      <c r="AB166" s="34"/>
      <c r="AC166" s="34" t="str">
        <f>Tabella4[[#This Row],[User Impact]]</f>
        <v>2 - Serious</v>
      </c>
      <c r="AD166" s="34" t="str">
        <f>Copertina!C$2&amp;" - "&amp;Tabella4[[#This Row],[UNI CEI EN 301549]]&amp;" "&amp;VLOOKUP(Tabella4[[#This Row],[Criterio]],Tabella5[[ID]:[Criterio di successo]],2,FALSE)&amp;" - "&amp;Tabella4[[#This Row],[Servizio]]&amp;":"</f>
        <v>Insurance Brocker - 9.2.5.8 Dimensione dell'obiettivo (minimo) - S002 Poste Guidare Sicuri:</v>
      </c>
      <c r="AE16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(#TM0127)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https://posteinsurancebroker.poste.it/poste-guidare-sicuri/ - &lt;a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href="#item-posteinsurancebrokerposteinsurancebroker-moduliposte-guidare-sicuri-set-informativo-accordionset-informativo-linear-assicurazioni-1" aria-expanded="false" aria-controls="item-posteinsurancebrokerposteinsurancebroker-moduliposte-guidare-sicuri-set-informativo-accordionset-informativo-linear-assicurazioni-1" aria-label="Set informativo Poste Guidare Sicuri by Linear Assicurazioni" title="Set informativo Poste Guidare Sicuri by Linear Assicurazioni"&gt; con selettore: 
["#heading-item-posteinsurancebrokerposteinsurancebroker-moduliposte-guidare-sicuri-set-informativo-accordionset-informativo-linear-assicurazioni-1-1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166" t="e">
        <f>_xlfn.XLOOKUP(Tabella4[[#This Row],[ID Silk]],outTable[ID Silk],outTable[Numero ticket  ],,0,1)</f>
        <v>#N/A</v>
      </c>
    </row>
    <row r="167" spans="1:32">
      <c r="A167" s="34" t="str">
        <f>MID(Tabella4[[#This Row],[Servizio]],1,4)&amp;Tabella4[[#This Row],[UNI CEI EN 301549]]</f>
        <v>S0029.1.4.3</v>
      </c>
      <c r="B167" s="34" t="str">
        <f>Tabella4[[#This Row],[ID Silk]]&amp;"_1"</f>
        <v>S0029.1.4.3_1</v>
      </c>
      <c r="C167" s="34" t="s">
        <v>908</v>
      </c>
      <c r="D167" s="2" t="str">
        <f>"(#"&amp;Tabella4[[#This Row],['#ID]]&amp;")"</f>
        <v>(#TM0128)</v>
      </c>
      <c r="E167" s="34" t="str">
        <f>IF(MID(Tabella4[[#This Row],['#ID]],1,1)="M","Mobile",IF(MID(Tabella4[[#This Row],['#ID]],1,1)="D","Desktop",IF(MID(Tabella4[[#This Row],['#ID]],1,2)="TM","Manuale","Documenti")))</f>
        <v>Manuale</v>
      </c>
      <c r="F167" s="34" t="s">
        <v>1006</v>
      </c>
      <c r="G167" s="34" t="s">
        <v>228</v>
      </c>
      <c r="H167" s="34" t="str">
        <f>IF(Tabella4[[#This Row],[Componente]]="Documenti","10.","9.")&amp;Tabella4[[#This Row],[Criterio]]</f>
        <v>9.1.4.3</v>
      </c>
      <c r="I167" s="34" t="s">
        <v>1023</v>
      </c>
      <c r="J167" s="34" t="s">
        <v>1037</v>
      </c>
      <c r="K167" s="34" t="s">
        <v>549</v>
      </c>
      <c r="L167" s="34" t="s">
        <v>1038</v>
      </c>
      <c r="M167" s="34" t="s">
        <v>1039</v>
      </c>
      <c r="N167" t="s">
        <v>646</v>
      </c>
      <c r="O167" t="s">
        <v>551</v>
      </c>
      <c r="P167" t="s">
        <v>391</v>
      </c>
      <c r="R167" s="34" t="str">
        <f>IF(Tabella4[[#This Row],[Componente]]="Documenti",_xlfn.XLOOKUP(Tabella4[[#This Row],[URL]],Tabella27[URL],Tabella27[PDF ID],,0),_xlfn.XLOOKUP(Tabella4[[#This Row],[URL]],Tabella1[URL],Tabella1[Page ID],,0))</f>
        <v>#11</v>
      </c>
      <c r="S167" s="34" t="s">
        <v>1004</v>
      </c>
      <c r="T167" s="34" t="s">
        <v>547</v>
      </c>
      <c r="V167" t="s">
        <v>548</v>
      </c>
      <c r="W167" s="34" t="s">
        <v>1069</v>
      </c>
      <c r="X167" s="34" t="str">
        <f>IFERROR(IF(Tabella4[[#This Row],[Tool]]="lighthouse",Tabella4[[#This Row],[Detail]],MID(Tabella4[[#This Row],[Detail]],1,FIND("&gt;",Tabella4[[#This Row],[Detail]]))),Tabella4[[#This Row],[Detail]])</f>
        <v>&lt;a tabindex="0" class="skip-link sr-only-focusable-abs" href="#accessibility-anchor"&gt;</v>
      </c>
      <c r="Y167" s="34" t="str">
        <f>SUBSTITUTE(IF(Tabella4[[#This Row],[Tool]]="axe-core",MID(Tabella4[[#This Row],[Rejected Element]],3,LEN(Tabella4[[#This Row],[Rejected Element]])-4),Tabella4[[#This Row],[Rejected Element]]),"\","")</f>
        <v>body#page.conceptB-con-fasciacolorata-in-alto &gt; nav#skiplink:nth-of-type(1) &gt; ul:nth-of-type(1) &gt; li:nth-of-type(1) &gt; a.skip-link.sr-only-focusable-abs:nth-of-type(1)</v>
      </c>
      <c r="Z167" s="34">
        <f>COUNTIFS(Tabella4[Detail univoco],Tabella4[[#This Row],[Detail univoco]],Tabella4[Rejected Element Univoco],Tabella4[[#This Row],[Rejected Element Univoco]],Tabella4[ItemsNodeLabel],Tabella4[[#This Row],[ItemsNodeLabel]])</f>
        <v>0</v>
      </c>
      <c r="AA167" s="34" t="str">
        <f>IF(Tabella4[[#This Row],[Componente]]="Documenti",VLOOKUP(Tabella4[[#This Row],[URL]],Tabella27[[URL]:[Servizio]],4,FALSE),VLOOKUP(Tabella4[[#This Row],[Page ID]],Tabella1[[Page ID]:[Servizio]],4,FALSE))</f>
        <v>S002 Poste Guidare Sicuri</v>
      </c>
      <c r="AB167" s="34"/>
      <c r="AC167" s="34" t="str">
        <f>Tabella4[[#This Row],[User Impact]]</f>
        <v>2 - Serious</v>
      </c>
      <c r="AD167" s="34" t="str">
        <f>Copertina!C$2&amp;" - "&amp;Tabella4[[#This Row],[UNI CEI EN 301549]]&amp;" "&amp;VLOOKUP(Tabella4[[#This Row],[Criterio]],Tabella5[[ID]:[Criterio di successo]],2,FALSE)&amp;" - "&amp;Tabella4[[#This Row],[Servizio]]&amp;":"</f>
        <v>Insurance Brocker - 9.1.4.3 Contrasto (minimo) - S002 Poste Guidare Sicuri:</v>
      </c>
      <c r="AE16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(#TM0128)
S002 Poste Guidare Sicuri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https://posteinsurancebroker.poste.it/poste-guidare-sicuri/ - &lt;a tabindex="0" class="skip-link sr-only-focusable-abs" href="#accessibility-anchor"&gt;Passa al contenuto principale&lt;/a&gt; con selettore: 
["body#page.conceptB-con-fasciacolorata-in-alto &gt; nav#skiplink:nth-of-type(1) &gt; ul:nth-of-type(1) &gt; li:nth-of-type(1)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67">
        <f>_xlfn.XLOOKUP(Tabella4[[#This Row],[ID Silk]],outTable[ID Silk],outTable[Numero ticket  ],,0,1)</f>
        <v>6008</v>
      </c>
    </row>
    <row r="168" spans="1:32">
      <c r="A168" s="34" t="str">
        <f>MID(Tabella4[[#This Row],[Servizio]],1,4)&amp;Tabella4[[#This Row],[UNI CEI EN 301549]]</f>
        <v>S0029.1.4.3</v>
      </c>
      <c r="B168" s="34" t="str">
        <f>Tabella4[[#This Row],[ID Silk]]&amp;"_1"</f>
        <v>S0029.1.4.3_1</v>
      </c>
      <c r="C168" s="34" t="s">
        <v>909</v>
      </c>
      <c r="D168" s="2" t="str">
        <f>"(#"&amp;Tabella4[[#This Row],['#ID]]&amp;")"</f>
        <v>(#TM0129)</v>
      </c>
      <c r="E168" s="34" t="str">
        <f>IF(MID(Tabella4[[#This Row],['#ID]],1,1)="M","Mobile",IF(MID(Tabella4[[#This Row],['#ID]],1,1)="D","Desktop",IF(MID(Tabella4[[#This Row],['#ID]],1,2)="TM","Manuale","Documenti")))</f>
        <v>Manuale</v>
      </c>
      <c r="F168" s="34" t="s">
        <v>1006</v>
      </c>
      <c r="G168" s="34" t="s">
        <v>228</v>
      </c>
      <c r="H168" s="34" t="str">
        <f>IF(Tabella4[[#This Row],[Componente]]="Documenti","10.","9.")&amp;Tabella4[[#This Row],[Criterio]]</f>
        <v>9.1.4.3</v>
      </c>
      <c r="I168" s="34" t="s">
        <v>1023</v>
      </c>
      <c r="J168" s="34" t="s">
        <v>1037</v>
      </c>
      <c r="K168" s="34" t="s">
        <v>549</v>
      </c>
      <c r="L168" s="34" t="s">
        <v>1038</v>
      </c>
      <c r="M168" s="34" t="s">
        <v>1039</v>
      </c>
      <c r="N168" t="s">
        <v>647</v>
      </c>
      <c r="O168" t="s">
        <v>553</v>
      </c>
      <c r="P168" t="s">
        <v>391</v>
      </c>
      <c r="R168" s="34" t="str">
        <f>IF(Tabella4[[#This Row],[Componente]]="Documenti",_xlfn.XLOOKUP(Tabella4[[#This Row],[URL]],Tabella27[URL],Tabella27[PDF ID],,0),_xlfn.XLOOKUP(Tabella4[[#This Row],[URL]],Tabella1[URL],Tabella1[Page ID],,0))</f>
        <v>#11</v>
      </c>
      <c r="S168" s="34" t="s">
        <v>1004</v>
      </c>
      <c r="T168" s="34" t="s">
        <v>547</v>
      </c>
      <c r="V168" t="s">
        <v>548</v>
      </c>
      <c r="W168" s="34" t="s">
        <v>1069</v>
      </c>
      <c r="X168" s="34" t="str">
        <f>IFERROR(IF(Tabella4[[#This Row],[Tool]]="lighthouse",Tabella4[[#This Row],[Detail]],MID(Tabella4[[#This Row],[Detail]],1,FIND("&gt;",Tabella4[[#This Row],[Detail]]))),Tabella4[[#This Row],[Detail]])</f>
        <v>&lt;a class="skip-link sr-only-focusable-abs" href="#footer"&gt;</v>
      </c>
      <c r="Y168" s="34" t="str">
        <f>SUBSTITUTE(IF(Tabella4[[#This Row],[Tool]]="axe-core",MID(Tabella4[[#This Row],[Rejected Element]],3,LEN(Tabella4[[#This Row],[Rejected Element]])-4),Tabella4[[#This Row],[Rejected Element]]),"\","")</f>
        <v>body#page.conceptB-con-fasciacolorata-in-alto &gt; nav#skiplink:nth-of-type(1) &gt; ul:nth-of-type(1) &gt; li:nth-of-type(3) &gt; a.skip-link.sr-only-focusable-abs:nth-of-type(1)</v>
      </c>
      <c r="Z168" s="34">
        <f>COUNTIFS(Tabella4[Detail univoco],Tabella4[[#This Row],[Detail univoco]],Tabella4[Rejected Element Univoco],Tabella4[[#This Row],[Rejected Element Univoco]],Tabella4[ItemsNodeLabel],Tabella4[[#This Row],[ItemsNodeLabel]])</f>
        <v>0</v>
      </c>
      <c r="AA168" s="34" t="str">
        <f>IF(Tabella4[[#This Row],[Componente]]="Documenti",VLOOKUP(Tabella4[[#This Row],[URL]],Tabella27[[URL]:[Servizio]],4,FALSE),VLOOKUP(Tabella4[[#This Row],[Page ID]],Tabella1[[Page ID]:[Servizio]],4,FALSE))</f>
        <v>S002 Poste Guidare Sicuri</v>
      </c>
      <c r="AB168" s="34"/>
      <c r="AC168" s="34" t="str">
        <f>Tabella4[[#This Row],[User Impact]]</f>
        <v>2 - Serious</v>
      </c>
      <c r="AD168" s="34" t="str">
        <f>Copertina!C$2&amp;" - "&amp;Tabella4[[#This Row],[UNI CEI EN 301549]]&amp;" "&amp;VLOOKUP(Tabella4[[#This Row],[Criterio]],Tabella5[[ID]:[Criterio di successo]],2,FALSE)&amp;" - "&amp;Tabella4[[#This Row],[Servizio]]&amp;":"</f>
        <v>Insurance Brocker - 9.1.4.3 Contrasto (minimo) - S002 Poste Guidare Sicuri:</v>
      </c>
      <c r="AE16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(#TM0129)
S002 Poste Guidare Sicuri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https://posteinsurancebroker.poste.it/poste-guidare-sicuri/ - &lt;a class="skip-link sr-only-focusable-abs" href="#footer"&gt;Passa al footer di pagina&lt;/a&gt; con selettore: 
["body#page.conceptB-con-fasciacolorata-in-alto &gt; nav#skiplink:nth-of-type(1) &gt; ul:nth-of-type(1) &gt; li:nth-of-type(3)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68">
        <f>_xlfn.XLOOKUP(Tabella4[[#This Row],[ID Silk]],outTable[ID Silk],outTable[Numero ticket  ],,0,1)</f>
        <v>6008</v>
      </c>
    </row>
    <row r="169" spans="1:32">
      <c r="A169" s="34" t="str">
        <f>MID(Tabella4[[#This Row],[Servizio]],1,4)&amp;Tabella4[[#This Row],[UNI CEI EN 301549]]</f>
        <v>S0029.1.4.3</v>
      </c>
      <c r="B169" s="34" t="str">
        <f>Tabella4[[#This Row],[ID Silk]]&amp;"_1"</f>
        <v>S0029.1.4.3_1</v>
      </c>
      <c r="C169" s="34" t="s">
        <v>910</v>
      </c>
      <c r="D169" s="2" t="str">
        <f>"(#"&amp;Tabella4[[#This Row],['#ID]]&amp;")"</f>
        <v>(#TM0130)</v>
      </c>
      <c r="E169" s="34" t="str">
        <f>IF(MID(Tabella4[[#This Row],['#ID]],1,1)="M","Mobile",IF(MID(Tabella4[[#This Row],['#ID]],1,1)="D","Desktop",IF(MID(Tabella4[[#This Row],['#ID]],1,2)="TM","Manuale","Documenti")))</f>
        <v>Manuale</v>
      </c>
      <c r="F169" s="34" t="s">
        <v>1006</v>
      </c>
      <c r="G169" s="34" t="s">
        <v>228</v>
      </c>
      <c r="H169" s="34" t="str">
        <f>IF(Tabella4[[#This Row],[Componente]]="Documenti","10.","9.")&amp;Tabella4[[#This Row],[Criterio]]</f>
        <v>9.1.4.3</v>
      </c>
      <c r="I169" s="34" t="s">
        <v>1023</v>
      </c>
      <c r="J169" s="34" t="s">
        <v>1037</v>
      </c>
      <c r="K169" s="34" t="s">
        <v>549</v>
      </c>
      <c r="L169" s="34" t="s">
        <v>1038</v>
      </c>
      <c r="M169" s="34" t="s">
        <v>1039</v>
      </c>
      <c r="N169" t="s">
        <v>648</v>
      </c>
      <c r="O169" t="s">
        <v>649</v>
      </c>
      <c r="P169" t="s">
        <v>391</v>
      </c>
      <c r="R169" s="34" t="str">
        <f>IF(Tabella4[[#This Row],[Componente]]="Documenti",_xlfn.XLOOKUP(Tabella4[[#This Row],[URL]],Tabella27[URL],Tabella27[PDF ID],,0),_xlfn.XLOOKUP(Tabella4[[#This Row],[URL]],Tabella1[URL],Tabella1[Page ID],,0))</f>
        <v>#11</v>
      </c>
      <c r="S169" s="34" t="s">
        <v>1004</v>
      </c>
      <c r="T169" s="34" t="s">
        <v>547</v>
      </c>
      <c r="V169" t="s">
        <v>548</v>
      </c>
      <c r="W169" s="34" t="s">
        <v>1069</v>
      </c>
      <c r="X169" s="34" t="str">
        <f>IFERROR(IF(Tabella4[[#This Row],[Tool]]="lighthouse",Tabella4[[#This Row],[Detail]],MID(Tabella4[[#This Row],[Detail]],1,FIND("&gt;",Tabella4[[#This Row],[Detail]]))),Tabella4[[#This Row],[Detail]])</f>
        <v>&lt;a title="Vai alla pagina Prenota" href="https://www.poste.it/gestore-attese/index.html#/servizi?canale=SCO" target="_self" class="btn btn-icon btn-xs btn-primary mt-2" data-activity-linkid="Prenota-posteinsurancebroker-moduli-standard-poste-insurance-broker-modulo-come-fare-btn-primary-0"&gt;</v>
      </c>
      <c r="Y169" s="34" t="str">
        <f>SUBSTITUTE(IF(Tabella4[[#This Row],[Tool]]="axe-core",MID(Tabella4[[#This Row],[Rejected Element]],3,LEN(Tabella4[[#This Row],[Rejected Element]])-4),Tabella4[[#This Row],[Rejected Element]]),"\","")</f>
        <v>body#page.conceptB-con-fasciacolorata-in-alto &gt; main#accessibility-anchor:nth-of-type(1) &gt; div.content.display-pop:nth-of-type(7) &gt; div.content-wrap:nth-of-type(1) &gt; div.container:nth-of-type(1) &gt; div.row:nth-of-type(1) &gt; div.col-md-10.col-md-push-1.col-structure:nth-of-type(1) &gt; div#posteinsurancebroker-moduli-standard-poste-insurance-broker-modulo-come-fare.row.row-fix:nth-of-type(1) &gt; div.col-xs-12.pi-wizard:nth-of-type(1) &gt; div.main-pills:nth-of-type(1) &gt; div.main-pills-wrap:nth-of-type(1) &gt; div.row.mt-4:nth-of-type(2) &gt; div.col-sm-9:nth-of-type(2) &gt; div.box-editable-area.text-center.text-sm-left.pt-2.pt-sm-0:nth-of-type(1) &gt; div.btn-container.clearfix:nth-of-type(1) &gt; a.btn.btn-icon.btn-xs.btn-primary.mt-2:nth-of-type(1)</v>
      </c>
      <c r="Z169" s="34">
        <f>COUNTIFS(Tabella4[Detail univoco],Tabella4[[#This Row],[Detail univoco]],Tabella4[Rejected Element Univoco],Tabella4[[#This Row],[Rejected Element Univoco]],Tabella4[ItemsNodeLabel],Tabella4[[#This Row],[ItemsNodeLabel]])</f>
        <v>0</v>
      </c>
      <c r="AA169" s="34" t="str">
        <f>IF(Tabella4[[#This Row],[Componente]]="Documenti",VLOOKUP(Tabella4[[#This Row],[URL]],Tabella27[[URL]:[Servizio]],4,FALSE),VLOOKUP(Tabella4[[#This Row],[Page ID]],Tabella1[[Page ID]:[Servizio]],4,FALSE))</f>
        <v>S002 Poste Guidare Sicuri</v>
      </c>
      <c r="AB169" s="34"/>
      <c r="AC169" s="34" t="str">
        <f>Tabella4[[#This Row],[User Impact]]</f>
        <v>2 - Serious</v>
      </c>
      <c r="AD169" s="34" t="str">
        <f>Copertina!C$2&amp;" - "&amp;Tabella4[[#This Row],[UNI CEI EN 301549]]&amp;" "&amp;VLOOKUP(Tabella4[[#This Row],[Criterio]],Tabella5[[ID]:[Criterio di successo]],2,FALSE)&amp;" - "&amp;Tabella4[[#This Row],[Servizio]]&amp;":"</f>
        <v>Insurance Brocker - 9.1.4.3 Contrasto (minimo) - S002 Poste Guidare Sicuri:</v>
      </c>
      <c r="AE16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(#TM0130)
S002 Poste Guidare Sicuri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https://posteinsurancebroker.poste.it/poste-guidare-sicuri/ - &lt;a title="Vai alla pagina Prenota" href="https://www.poste.it/gestore-attese/index.html#/servizi?canale=SCO" target="_self" class="btn btn-icon btn-xs btn-primary mt-2" data-activity-linkid="Prenota-posteinsurancebroker-moduli-standard-poste-insurance-broker-modulo-come-fare-btn-primary-0"&gt; con selettore: 
["body#page.conceptB-con-fasciacolorata-in-alto &gt; main#accessibility-anchor:nth-of-type(1) &gt; div.content.display-pop:nth-of-type(7) &gt; div.content-wrap:nth-of-type(1) &gt; div.container:nth-of-type(1) &gt; div.row:nth-of-type(1) &gt; div.col-md-10.col-md-push-1.col-structure:nth-of-type(1) &gt; div#posteinsurancebroker-moduli-standard-poste-insurance-broker-modulo-come-fare.row.row-fix:nth-of-type(1) &gt; div.col-xs-12.pi-wizard:nth-of-type(1) &gt; div.main-pills:nth-of-type(1) &gt; div.main-pills-wrap:nth-of-type(1) &gt; div.row.mt-4:nth-of-type(2) &gt; div.col-sm-9:nth-of-type(2) &gt; div.box-editable-area.text-center.text-sm-left.pt-2.pt-sm-0:nth-of-type(1) &gt; div.btn-container.clearfix:nth-of-type(1) &gt; a.btn.btn-icon.btn-xs.btn-primary.mt-2:nth-of-type(1)"]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69">
        <f>_xlfn.XLOOKUP(Tabella4[[#This Row],[ID Silk]],outTable[ID Silk],outTable[Numero ticket  ],,0,1)</f>
        <v>6008</v>
      </c>
    </row>
    <row r="170" spans="1:32">
      <c r="A170" s="34" t="str">
        <f>MID(Tabella4[[#This Row],[Servizio]],1,4)&amp;Tabella4[[#This Row],[UNI CEI EN 301549]]</f>
        <v>S0029.1.4.3</v>
      </c>
      <c r="B170" s="34" t="str">
        <f>Tabella4[[#This Row],[ID Silk]]&amp;"_1"</f>
        <v>S0029.1.4.3_1</v>
      </c>
      <c r="C170" s="34" t="s">
        <v>911</v>
      </c>
      <c r="D170" s="2" t="str">
        <f>"(#"&amp;Tabella4[[#This Row],['#ID]]&amp;")"</f>
        <v>(#TM0131)</v>
      </c>
      <c r="E170" s="34" t="str">
        <f>IF(MID(Tabella4[[#This Row],['#ID]],1,1)="M","Mobile",IF(MID(Tabella4[[#This Row],['#ID]],1,1)="D","Desktop",IF(MID(Tabella4[[#This Row],['#ID]],1,2)="TM","Manuale","Documenti")))</f>
        <v>Manuale</v>
      </c>
      <c r="F170" s="34" t="s">
        <v>1006</v>
      </c>
      <c r="G170" s="34" t="s">
        <v>228</v>
      </c>
      <c r="H170" s="34" t="str">
        <f>IF(Tabella4[[#This Row],[Componente]]="Documenti","10.","9.")&amp;Tabella4[[#This Row],[Criterio]]</f>
        <v>9.1.4.3</v>
      </c>
      <c r="I170" s="34" t="s">
        <v>1023</v>
      </c>
      <c r="J170" s="34" t="s">
        <v>1037</v>
      </c>
      <c r="K170" s="34" t="s">
        <v>549</v>
      </c>
      <c r="L170" s="34" t="s">
        <v>1038</v>
      </c>
      <c r="M170" s="34" t="s">
        <v>1039</v>
      </c>
      <c r="N170" t="s">
        <v>650</v>
      </c>
      <c r="O170" t="s">
        <v>651</v>
      </c>
      <c r="P170" t="s">
        <v>391</v>
      </c>
      <c r="R170" s="34" t="str">
        <f>IF(Tabella4[[#This Row],[Componente]]="Documenti",_xlfn.XLOOKUP(Tabella4[[#This Row],[URL]],Tabella27[URL],Tabella27[PDF ID],,0),_xlfn.XLOOKUP(Tabella4[[#This Row],[URL]],Tabella1[URL],Tabella1[Page ID],,0))</f>
        <v>#11</v>
      </c>
      <c r="S170" s="34" t="s">
        <v>1004</v>
      </c>
      <c r="T170" s="34" t="s">
        <v>547</v>
      </c>
      <c r="V170" t="s">
        <v>548</v>
      </c>
      <c r="W170" s="34" t="s">
        <v>1069</v>
      </c>
      <c r="X170" s="34" t="str">
        <f>IFERROR(IF(Tabella4[[#This Row],[Tool]]="lighthouse",Tabella4[[#This Row],[Detail]],MID(Tabella4[[#This Row],[Detail]],1,FIND("&gt;",Tabella4[[#This Row],[Detail]]))),Tabella4[[#This Row],[Detail]])</f>
        <v>&lt;a title="Chiama il numero 800 211 290" href="tel:800211290" data-activity-linkid="link-800 211 290"&gt;</v>
      </c>
      <c r="Y170" s="34" t="str">
        <f>SUBSTITUTE(IF(Tabella4[[#This Row],[Tool]]="axe-core",MID(Tabella4[[#This Row],[Rejected Element]],3,LEN(Tabella4[[#This Row],[Rejected Element]])-4),Tabella4[[#This Row],[Rejected Element]]),"\","")</f>
        <v>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v>
      </c>
      <c r="Z170" s="34">
        <f>COUNTIFS(Tabella4[Detail univoco],Tabella4[[#This Row],[Detail univoco]],Tabella4[Rejected Element Univoco],Tabella4[[#This Row],[Rejected Element Univoco]],Tabella4[ItemsNodeLabel],Tabella4[[#This Row],[ItemsNodeLabel]])</f>
        <v>0</v>
      </c>
      <c r="AA170" s="34" t="str">
        <f>IF(Tabella4[[#This Row],[Componente]]="Documenti",VLOOKUP(Tabella4[[#This Row],[URL]],Tabella27[[URL]:[Servizio]],4,FALSE),VLOOKUP(Tabella4[[#This Row],[Page ID]],Tabella1[[Page ID]:[Servizio]],4,FALSE))</f>
        <v>S002 Poste Guidare Sicuri</v>
      </c>
      <c r="AB170" s="34"/>
      <c r="AC170" s="34" t="str">
        <f>Tabella4[[#This Row],[User Impact]]</f>
        <v>2 - Serious</v>
      </c>
      <c r="AD170" s="34" t="str">
        <f>Copertina!C$2&amp;" - "&amp;Tabella4[[#This Row],[UNI CEI EN 301549]]&amp;" "&amp;VLOOKUP(Tabella4[[#This Row],[Criterio]],Tabella5[[ID]:[Criterio di successo]],2,FALSE)&amp;" - "&amp;Tabella4[[#This Row],[Servizio]]&amp;":"</f>
        <v>Insurance Brocker - 9.1.4.3 Contrasto (minimo) - S002 Poste Guidare Sicuri:</v>
      </c>
      <c r="AE17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(#TM0131)
S002 Poste Guidare Sicuri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https://posteinsurancebroker.poste.it/poste-guidare-sicuri/ - &lt;a title="Chiama il numero 800 211 290" href="tel:800211290" data-activity-linkid="link-800 211 290"&gt;800 211 290&lt;/a&gt; con selettore: 
["body#page.conceptB-con-fasciacolorata-in-alto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70">
        <f>_xlfn.XLOOKUP(Tabella4[[#This Row],[ID Silk]],outTable[ID Silk],outTable[Numero ticket  ],,0,1)</f>
        <v>6008</v>
      </c>
    </row>
    <row r="171" spans="1:32">
      <c r="A171" s="34" t="str">
        <f>MID(Tabella4[[#This Row],[Servizio]],1,4)&amp;Tabella4[[#This Row],[UNI CEI EN 301549]]</f>
        <v>S0029.1.4.3</v>
      </c>
      <c r="B171" s="34" t="str">
        <f>Tabella4[[#This Row],[ID Silk]]&amp;"_1"</f>
        <v>S0029.1.4.3_1</v>
      </c>
      <c r="C171" s="34" t="s">
        <v>912</v>
      </c>
      <c r="D171" s="2" t="str">
        <f>"(#"&amp;Tabella4[[#This Row],['#ID]]&amp;")"</f>
        <v>(#TM0132)</v>
      </c>
      <c r="E171" s="34" t="str">
        <f>IF(MID(Tabella4[[#This Row],['#ID]],1,1)="M","Mobile",IF(MID(Tabella4[[#This Row],['#ID]],1,1)="D","Desktop",IF(MID(Tabella4[[#This Row],['#ID]],1,2)="TM","Manuale","Documenti")))</f>
        <v>Manuale</v>
      </c>
      <c r="F171" s="34" t="s">
        <v>1006</v>
      </c>
      <c r="G171" s="34" t="s">
        <v>228</v>
      </c>
      <c r="H171" s="34" t="str">
        <f>IF(Tabella4[[#This Row],[Componente]]="Documenti","10.","9.")&amp;Tabella4[[#This Row],[Criterio]]</f>
        <v>9.1.4.3</v>
      </c>
      <c r="I171" s="34" t="s">
        <v>1023</v>
      </c>
      <c r="J171" s="34" t="s">
        <v>1037</v>
      </c>
      <c r="K171" s="34" t="s">
        <v>549</v>
      </c>
      <c r="L171" s="34" t="s">
        <v>1038</v>
      </c>
      <c r="M171" s="34" t="s">
        <v>1039</v>
      </c>
      <c r="N171" t="s">
        <v>652</v>
      </c>
      <c r="O171" t="s">
        <v>653</v>
      </c>
      <c r="P171" t="s">
        <v>391</v>
      </c>
      <c r="R171" s="34" t="str">
        <f>IF(Tabella4[[#This Row],[Componente]]="Documenti",_xlfn.XLOOKUP(Tabella4[[#This Row],[URL]],Tabella27[URL],Tabella27[PDF ID],,0),_xlfn.XLOOKUP(Tabella4[[#This Row],[URL]],Tabella1[URL],Tabella1[Page ID],,0))</f>
        <v>#11</v>
      </c>
      <c r="S171" s="34" t="s">
        <v>1004</v>
      </c>
      <c r="T171" s="34" t="s">
        <v>547</v>
      </c>
      <c r="V171" t="s">
        <v>548</v>
      </c>
      <c r="W171" s="34" t="s">
        <v>1069</v>
      </c>
      <c r="X171" s="34" t="str">
        <f>IFERROR(IF(Tabella4[[#This Row],[Tool]]="lighthouse",Tabella4[[#This Row],[Detail]],MID(Tabella4[[#This Row],[Detail]],1,FIND("&gt;",Tabella4[[#This Row],[Detail]]))),Tabella4[[#This Row],[Detail]])</f>
        <v>&lt;a title="Vai alla pagina dedicata e rispondi" href="https://aiutaciamigliorare.poste.it/sondaggi/prodotti-postevita-privati?pagina=poste-guidare-sicuri,famiglia_prodotto=Protezione" target="_self" class="btn btn-xs btn-primary me-1" data-activity-linkid="Rispondi-posteinsurancebroker-moduli-posteguidare-sicuri-aiutaci-a-migliorare-right-card-btn-secondary"&gt;</v>
      </c>
      <c r="Y171" s="34" t="str">
        <f>SUBSTITUTE(IF(Tabella4[[#This Row],[Tool]]="axe-core",MID(Tabella4[[#This Row],[Rejected Element]],3,LEN(Tabella4[[#This Row],[Rejected Element]])-4),Tabella4[[#This Row],[Rejected Element]]),"\","")</f>
        <v>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v>
      </c>
      <c r="Z171" s="34">
        <f>COUNTIFS(Tabella4[Detail univoco],Tabella4[[#This Row],[Detail univoco]],Tabella4[Rejected Element Univoco],Tabella4[[#This Row],[Rejected Element Univoco]],Tabella4[ItemsNodeLabel],Tabella4[[#This Row],[ItemsNodeLabel]])</f>
        <v>0</v>
      </c>
      <c r="AA171" s="34" t="str">
        <f>IF(Tabella4[[#This Row],[Componente]]="Documenti",VLOOKUP(Tabella4[[#This Row],[URL]],Tabella27[[URL]:[Servizio]],4,FALSE),VLOOKUP(Tabella4[[#This Row],[Page ID]],Tabella1[[Page ID]:[Servizio]],4,FALSE))</f>
        <v>S002 Poste Guidare Sicuri</v>
      </c>
      <c r="AB171" s="34"/>
      <c r="AC171" s="34" t="str">
        <f>Tabella4[[#This Row],[User Impact]]</f>
        <v>2 - Serious</v>
      </c>
      <c r="AD171" s="34" t="str">
        <f>Copertina!C$2&amp;" - "&amp;Tabella4[[#This Row],[UNI CEI EN 301549]]&amp;" "&amp;VLOOKUP(Tabella4[[#This Row],[Criterio]],Tabella5[[ID]:[Criterio di successo]],2,FALSE)&amp;" - "&amp;Tabella4[[#This Row],[Servizio]]&amp;":"</f>
        <v>Insurance Brocker - 9.1.4.3 Contrasto (minimo) - S002 Poste Guidare Sicuri:</v>
      </c>
      <c r="AE17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(#TM0132)
S002 Poste Guidare Sicuri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https://posteinsurancebroker.poste.it/poste-guidare-sicuri/ - &lt;a title="Vai alla pagina dedicata e rispondi" href="https://aiutaciamigliorare.poste.it/sondaggi/prodotti-postevita-privati?pagina=poste-guidare-sicuri,famiglia_prodotto=Protezione" target="_self" class="btn btn-xs btn-primary me-1" data-activity-linkid="Rispondi-posteinsurancebroker-moduli-posteguidare-sicuri-aiutaci-a-migliorare-right-card-btn-secondary"&gt; con selettore: 
["body#page.conceptB-con-fasciacolorata-in-alto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71">
        <f>_xlfn.XLOOKUP(Tabella4[[#This Row],[ID Silk]],outTable[ID Silk],outTable[Numero ticket  ],,0,1)</f>
        <v>6008</v>
      </c>
    </row>
    <row r="172" spans="1:32">
      <c r="A172" s="34" t="str">
        <f>MID(Tabella4[[#This Row],[Servizio]],1,4)&amp;Tabella4[[#This Row],[UNI CEI EN 301549]]</f>
        <v>S0029.2.1.1</v>
      </c>
      <c r="B172" s="34" t="str">
        <f>Tabella4[[#This Row],[ID Silk]]&amp;"_1"</f>
        <v>S0029.2.1.1_1</v>
      </c>
      <c r="C172" s="34" t="s">
        <v>913</v>
      </c>
      <c r="D172" s="2" t="str">
        <f>"(#"&amp;Tabella4[[#This Row],['#ID]]&amp;")"</f>
        <v>(#TM0133)</v>
      </c>
      <c r="E172" s="34" t="str">
        <f>IF(MID(Tabella4[[#This Row],['#ID]],1,1)="M","Mobile",IF(MID(Tabella4[[#This Row],['#ID]],1,1)="D","Desktop",IF(MID(Tabella4[[#This Row],['#ID]],1,2)="TM","Manuale","Documenti")))</f>
        <v>Manuale</v>
      </c>
      <c r="F172" s="34" t="s">
        <v>1005</v>
      </c>
      <c r="G172" s="34" t="s">
        <v>275</v>
      </c>
      <c r="H172" s="34" t="str">
        <f>IF(Tabella4[[#This Row],[Componente]]="Documenti","10.","9.")&amp;Tabella4[[#This Row],[Criterio]]</f>
        <v>9.2.1.1</v>
      </c>
      <c r="I172" s="34" t="s">
        <v>1007</v>
      </c>
      <c r="J172" s="34" t="s">
        <v>1019</v>
      </c>
      <c r="K172" s="34" t="s">
        <v>656</v>
      </c>
      <c r="L172" s="34" t="s">
        <v>1045</v>
      </c>
      <c r="M172" s="34" t="s">
        <v>1046</v>
      </c>
      <c r="N172" t="s">
        <v>657</v>
      </c>
      <c r="O172" t="s">
        <v>482</v>
      </c>
      <c r="P172" t="s">
        <v>391</v>
      </c>
      <c r="R172" s="34" t="str">
        <f>IF(Tabella4[[#This Row],[Componente]]="Documenti",_xlfn.XLOOKUP(Tabella4[[#This Row],[URL]],Tabella27[URL],Tabella27[PDF ID],,0),_xlfn.XLOOKUP(Tabella4[[#This Row],[URL]],Tabella1[URL],Tabella1[Page ID],,0))</f>
        <v>#11</v>
      </c>
      <c r="S172" s="34" t="s">
        <v>1004</v>
      </c>
      <c r="T172" s="34" t="s">
        <v>654</v>
      </c>
      <c r="V172" t="s">
        <v>655</v>
      </c>
      <c r="W172" s="34" t="s">
        <v>1072</v>
      </c>
      <c r="X172" s="34" t="str">
        <f>IFERROR(IF(Tabella4[[#This Row],[Tool]]="lighthouse",Tabella4[[#This Row],[Detail]],MID(Tabella4[[#This Row],[Detail]],1,FIND("&gt;",Tabella4[[#This Row],[Detail]]))),Tabella4[[#This Row],[Detail]])</f>
        <v/>
      </c>
      <c r="Y172" s="34" t="str">
        <f>SUBSTITUTE(IF(Tabella4[[#This Row],[Tool]]="axe-core",MID(Tabella4[[#This Row],[Rejected Element]],3,LEN(Tabella4[[#This Row],[Rejected Element]])-4),Tabella4[[#This Row],[Rejected Element]]),"\","")</f>
        <v>body#page.conceptB-con-fasciacolorata-in-alto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v>
      </c>
      <c r="Z172" s="34">
        <f>COUNTIFS(Tabella4[Detail univoco],Tabella4[[#This Row],[Detail univoco]],Tabella4[Rejected Element Univoco],Tabella4[[#This Row],[Rejected Element Univoco]],Tabella4[ItemsNodeLabel],Tabella4[[#This Row],[ItemsNodeLabel]])</f>
        <v>0</v>
      </c>
      <c r="AA172" s="34" t="str">
        <f>IF(Tabella4[[#This Row],[Componente]]="Documenti",VLOOKUP(Tabella4[[#This Row],[URL]],Tabella27[[URL]:[Servizio]],4,FALSE),VLOOKUP(Tabella4[[#This Row],[Page ID]],Tabella1[[Page ID]:[Servizio]],4,FALSE))</f>
        <v>S002 Poste Guidare Sicuri</v>
      </c>
      <c r="AB172" s="34"/>
      <c r="AC172" s="34" t="str">
        <f>Tabella4[[#This Row],[User Impact]]</f>
        <v>1 - Critical</v>
      </c>
      <c r="AD172" s="34" t="str">
        <f>Copertina!C$2&amp;" - "&amp;Tabella4[[#This Row],[UNI CEI EN 301549]]&amp;" "&amp;VLOOKUP(Tabella4[[#This Row],[Criterio]],Tabella5[[ID]:[Criterio di successo]],2,FALSE)&amp;" - "&amp;Tabella4[[#This Row],[Servizio]]&amp;":"</f>
        <v>Insurance Brocker - 9.2.1.1 Tastiera - S002 Poste Guidare Sicuri:</v>
      </c>
      <c r="AE17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- 9.2.1.1 Tastiera - S002 Poste Guidare Sicuri: (#TM0133)
S002 Poste Guidare Sicuri
Requisito: WCAG 2.1.1
Disabilità afflitte: Blind;Deafblind;Mobility
Impatto Utente: 1 - Critical
Descrizione: La funzione non può essere eseguita dalla sola tastiera - Non è possibile eseguire la funzione utilizzando solo la tastiera sulla stessa schermata o su una versione alternativa conforme qualificata. [Ulteriori informazioni] (https://docs.deque.com/issue-help/1.0.0/en/keyboard-inaccessible)
Esempio di violazione individuata sull'oggetto: 
https://posteinsurancebroker.poste.it/poste-guidare-sicuri/ -  con selettore: 
["body#page.conceptB-con-fasciacolorata-in-alto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
Dettaglio + screenshot (accedere con le seguenti credenziali: user, axeposte@gmail.com; password, Poste2024!): 
Possibile metodologia risolutiva: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https://posteitaliane.sharepoint.com/:w:/r/teams/ACCESSIBILITRISULTATIVERIFICHETECNICHE/Shared%20Documents/Generale/SCHEDE_REQUISITI/9.2.1.1%20Tastiera.docx?d=w7e0af80dcc2f478eb0c964bfb973ea4e&amp;csf=1&amp;web=1&amp;e=1LDvvU</v>
      </c>
      <c r="AF172">
        <f>_xlfn.XLOOKUP(Tabella4[[#This Row],[ID Silk]],outTable[ID Silk],outTable[Numero ticket  ],,0,1)</f>
        <v>6011</v>
      </c>
    </row>
    <row r="173" spans="1:32">
      <c r="A173" s="34" t="str">
        <f>MID(Tabella4[[#This Row],[Servizio]],1,4)&amp;Tabella4[[#This Row],[UNI CEI EN 301549]]</f>
        <v>S0029.1.3.1</v>
      </c>
      <c r="B173" s="34" t="str">
        <f>Tabella4[[#This Row],[ID Silk]]&amp;"_1"</f>
        <v>S0029.1.3.1_1</v>
      </c>
      <c r="C173" s="34" t="s">
        <v>914</v>
      </c>
      <c r="D173" s="2" t="str">
        <f>"(#"&amp;Tabella4[[#This Row],['#ID]]&amp;")"</f>
        <v>(#TM0134)</v>
      </c>
      <c r="E173" s="34" t="str">
        <f>IF(MID(Tabella4[[#This Row],['#ID]],1,1)="M","Mobile",IF(MID(Tabella4[[#This Row],['#ID]],1,1)="D","Desktop",IF(MID(Tabella4[[#This Row],['#ID]],1,2)="TM","Manuale","Documenti")))</f>
        <v>Manuale</v>
      </c>
      <c r="F173" s="34" t="s">
        <v>1005</v>
      </c>
      <c r="G173" s="34" t="s">
        <v>184</v>
      </c>
      <c r="H173" s="34" t="str">
        <f>IF(Tabella4[[#This Row],[Componente]]="Documenti","10.","9.")&amp;Tabella4[[#This Row],[Criterio]]</f>
        <v>9.1.3.1</v>
      </c>
      <c r="I173" s="34" t="s">
        <v>1036</v>
      </c>
      <c r="J173" s="34" t="s">
        <v>1008</v>
      </c>
      <c r="K173" s="34" t="s">
        <v>558</v>
      </c>
      <c r="L173" s="34" t="s">
        <v>1040</v>
      </c>
      <c r="M173" s="34" t="s">
        <v>1041</v>
      </c>
      <c r="N173" t="s">
        <v>658</v>
      </c>
      <c r="O173" t="s">
        <v>560</v>
      </c>
      <c r="P173" t="s">
        <v>391</v>
      </c>
      <c r="R173" s="34" t="str">
        <f>IF(Tabella4[[#This Row],[Componente]]="Documenti",_xlfn.XLOOKUP(Tabella4[[#This Row],[URL]],Tabella27[URL],Tabella27[PDF ID],,0),_xlfn.XLOOKUP(Tabella4[[#This Row],[URL]],Tabella1[URL],Tabella1[Page ID],,0))</f>
        <v>#11</v>
      </c>
      <c r="S173" s="34" t="s">
        <v>1004</v>
      </c>
      <c r="T173" s="34" t="s">
        <v>556</v>
      </c>
      <c r="V173" t="s">
        <v>557</v>
      </c>
      <c r="W173" s="34" t="s">
        <v>1070</v>
      </c>
      <c r="X173" s="34" t="str">
        <f>IFERROR(IF(Tabella4[[#This Row],[Tool]]="lighthouse",Tabella4[[#This Row],[Detail]],MID(Tabella4[[#This Row],[Detail]],1,FIND("&gt;",Tabella4[[#This Row],[Detail]]))),Tabella4[[#This Row],[Detail]])</f>
        <v>&lt;ul&gt;</v>
      </c>
      <c r="Y173" s="34" t="str">
        <f>SUBSTITUTE(IF(Tabella4[[#This Row],[Tool]]="axe-core",MID(Tabella4[[#This Row],[Rejected Element]],3,LEN(Tabella4[[#This Row],[Rejected Element]])-4),Tabella4[[#This Row],[Rejected Element]]),"\","")</f>
        <v>body#page.conceptB-con-fasciacolorata-in-alto &gt; nav#skiplink:nth-of-type(1) &gt; ul:nth-of-type(1)</v>
      </c>
      <c r="Z173" s="34">
        <f>COUNTIFS(Tabella4[Detail univoco],Tabella4[[#This Row],[Detail univoco]],Tabella4[Rejected Element Univoco],Tabella4[[#This Row],[Rejected Element Univoco]],Tabella4[ItemsNodeLabel],Tabella4[[#This Row],[ItemsNodeLabel]])</f>
        <v>0</v>
      </c>
      <c r="AA173" s="34" t="str">
        <f>IF(Tabella4[[#This Row],[Componente]]="Documenti",VLOOKUP(Tabella4[[#This Row],[URL]],Tabella27[[URL]:[Servizio]],4,FALSE),VLOOKUP(Tabella4[[#This Row],[Page ID]],Tabella1[[Page ID]:[Servizio]],4,FALSE))</f>
        <v>S002 Poste Guidare Sicuri</v>
      </c>
      <c r="AB173" s="34"/>
      <c r="AC173" s="34" t="str">
        <f>Tabella4[[#This Row],[User Impact]]</f>
        <v>3 - Moderate</v>
      </c>
      <c r="AD173" s="34" t="str">
        <f>Copertina!C$2&amp;" - "&amp;Tabella4[[#This Row],[UNI CEI EN 301549]]&amp;" "&amp;VLOOKUP(Tabella4[[#This Row],[Criterio]],Tabella5[[ID]:[Criterio di successo]],2,FALSE)&amp;" - "&amp;Tabella4[[#This Row],[Servizio]]&amp;":"</f>
        <v>Insurance Brocker - 9.1.3.1 Informazioni e correlazioni - S002 Poste Guidare Sicuri:</v>
      </c>
      <c r="AE17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S002 Poste Guidare Sicuri: (#TM0134)
S002 Poste Guidare Sicuri
Requisito: WCAG 1.3.1
Disabilità afflitte: Blind;Deafblind
Impatto Utente: 3 - Moderate
Descrizione: Il contenuto non è una list, ma è contrassegnato come tale - Il contenuto non è una list, ma è contrassegnato come tale. [Ulteriori informazioni] (https://docs.deque.com/issue-help/1.0.0/en/semantic-list-used-for-presentation)
Esempio di violazione individuata sull'oggetto: 
https://posteinsurancebroker.poste.it/poste-guidare-sicuri/ - &lt;ul&gt; con selettore: 
["body#page.conceptB-con-fasciacolorata-in-alto &gt; nav#skiplink:nth-of-type(1) &gt; ul:nth-of-type(1)"]
Dettaglio + screenshot (accedere con le seguenti credenziali: user, axeposte@gmail.com; password, Poste2024!): 
Possibile metodologia risolutiva:
Usa elementi di lista come &lt;ul&gt;, &lt;ol&gt;, e &lt;li&gt; solo per contenuti che devono essere presentati in forma di elenco. Assicurati che le liste siano semanticamente corrette per evitare confusione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173">
        <f>_xlfn.XLOOKUP(Tabella4[[#This Row],[ID Silk]],outTable[ID Silk],outTable[Numero ticket  ],,0,1)</f>
        <v>6006</v>
      </c>
    </row>
    <row r="174" spans="1:32">
      <c r="A174" s="34" t="str">
        <f>MID(Tabella4[[#This Row],[Servizio]],1,4)&amp;Tabella4[[#This Row],[UNI CEI EN 301549]]</f>
        <v>S0019.2.5.3</v>
      </c>
      <c r="B174" s="34" t="str">
        <f>Tabella4[[#This Row],[ID Silk]]&amp;"_1"</f>
        <v>S0019.2.5.3_1</v>
      </c>
      <c r="C174" s="34" t="s">
        <v>915</v>
      </c>
      <c r="D174" s="2" t="str">
        <f>"(#"&amp;Tabella4[[#This Row],['#ID]]&amp;")"</f>
        <v>(#TM0135)</v>
      </c>
      <c r="E174" s="34" t="str">
        <f>IF(MID(Tabella4[[#This Row],['#ID]],1,1)="M","Mobile",IF(MID(Tabella4[[#This Row],['#ID]],1,1)="D","Desktop",IF(MID(Tabella4[[#This Row],['#ID]],1,2)="TM","Manuale","Documenti")))</f>
        <v>Manuale</v>
      </c>
      <c r="F174" s="34" t="s">
        <v>1005</v>
      </c>
      <c r="G174" s="34" t="s">
        <v>324</v>
      </c>
      <c r="H174" s="34" t="str">
        <f>IF(Tabella4[[#This Row],[Componente]]="Documenti","10.","9.")&amp;Tabella4[[#This Row],[Criterio]]</f>
        <v>9.2.5.3</v>
      </c>
      <c r="I174" s="34" t="s">
        <v>1023</v>
      </c>
      <c r="J174" s="34" t="s">
        <v>1024</v>
      </c>
      <c r="K174" s="34" t="s">
        <v>1025</v>
      </c>
      <c r="L174" s="34" t="s">
        <v>1026</v>
      </c>
      <c r="M174" s="34" t="s">
        <v>1027</v>
      </c>
      <c r="N174" t="s">
        <v>483</v>
      </c>
      <c r="O174" t="s">
        <v>485</v>
      </c>
      <c r="P174" t="s">
        <v>382</v>
      </c>
      <c r="R174" s="34" t="str">
        <f>IF(Tabella4[[#This Row],[Componente]]="Documenti",_xlfn.XLOOKUP(Tabella4[[#This Row],[URL]],Tabella27[URL],Tabella27[PDF ID],,0),_xlfn.XLOOKUP(Tabella4[[#This Row],[URL]],Tabella1[URL],Tabella1[Page ID],,0))</f>
        <v>#1</v>
      </c>
      <c r="S174" s="34" t="s">
        <v>1004</v>
      </c>
      <c r="T174" s="34" t="s">
        <v>481</v>
      </c>
      <c r="V174" t="s">
        <v>484</v>
      </c>
      <c r="W174" s="34" t="s">
        <v>1066</v>
      </c>
      <c r="X174" s="34" t="str">
        <f>IFERROR(IF(Tabella4[[#This Row],[Tool]]="lighthouse",Tabella4[[#This Row],[Detail]],MID(Tabella4[[#This Row],[Detail]],1,FIND("&gt;",Tabella4[[#This Row],[Detail]]))),Tabella4[[#This Row],[Detail]])</f>
        <v>&lt;button id="business-button-open" class="offcanvas-toggle pi-targetarea" aria-label="Business" type="button" aria-haspopup="true" aria-controls="menu-siti" aria-expanded="false"&gt;</v>
      </c>
      <c r="Y174" s="34" t="str">
        <f>SUBSTITUTE(IF(Tabella4[[#This Row],[Tool]]="axe-core",MID(Tabella4[[#This Row],[Rejected Element]],3,LEN(Tabella4[[#This Row],[Rejected Element]])-4),Tabella4[[#This Row],[Rejected Element]]),"\","")</f>
        <v>#business-button-open</v>
      </c>
      <c r="Z174" s="34">
        <f>COUNTIFS(Tabella4[Detail univoco],Tabella4[[#This Row],[Detail univoco]],Tabella4[Rejected Element Univoco],Tabella4[[#This Row],[Rejected Element Univoco]],Tabella4[ItemsNodeLabel],Tabella4[[#This Row],[ItemsNodeLabel]])</f>
        <v>0</v>
      </c>
      <c r="AA174" s="34" t="str">
        <f>IF(Tabella4[[#This Row],[Componente]]="Documenti",VLOOKUP(Tabella4[[#This Row],[URL]],Tabella27[[URL]:[Servizio]],4,FALSE),VLOOKUP(Tabella4[[#This Row],[Page ID]],Tabella1[[Page ID]:[Servizio]],4,FALSE))</f>
        <v>S001 Homepage</v>
      </c>
      <c r="AB174" s="34"/>
      <c r="AC174" s="34" t="str">
        <f>Tabella4[[#This Row],[User Impact]]</f>
        <v>2 - Serious</v>
      </c>
      <c r="AD174" s="34" t="str">
        <f>Copertina!C$2&amp;" - "&amp;Tabella4[[#This Row],[UNI CEI EN 301549]]&amp;" "&amp;VLOOKUP(Tabella4[[#This Row],[Criterio]],Tabella5[[ID]:[Criterio di successo]],2,FALSE)&amp;" - "&amp;Tabella4[[#This Row],[Servizio]]&amp;":"</f>
        <v>Insurance Brocker - 9.2.5.3 Etichetta nel nome - S001 Homepage:</v>
      </c>
      <c r="AE17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S001 Homepage: (#TM0135)
S001 Homepage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 - &lt;button id="business-button-open" class="offcanvas-toggle pi-targetarea" aria-label="Business" type="button" aria-haspopup="true" aria-controls="menu-siti" aria-expanded="false"&gt; con selettore: 
["#business-button-open"]
Dettaglio + screenshot (accedere con le seguenti credenziali: user, axeposte@gmail.com; password, Poste2024!): 
Possibile metodologia risolutiva:
Correggi uno dei seguenti problemi:
Il testo all'interno dell'elemento non è incluso nel nome accessibile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174">
        <f>_xlfn.XLOOKUP(Tabella4[[#This Row],[ID Silk]],outTable[ID Silk],outTable[Numero ticket  ],,0,1)</f>
        <v>6005</v>
      </c>
    </row>
    <row r="175" spans="1:32">
      <c r="A175" s="34" t="str">
        <f>MID(Tabella4[[#This Row],[Servizio]],1,4)&amp;Tabella4[[#This Row],[UNI CEI EN 301549]]</f>
        <v>S0019.2.5.3</v>
      </c>
      <c r="B175" s="34" t="str">
        <f>Tabella4[[#This Row],[ID Silk]]&amp;"_1"</f>
        <v>S0019.2.5.3_1</v>
      </c>
      <c r="C175" s="34" t="s">
        <v>916</v>
      </c>
      <c r="D175" s="2" t="str">
        <f>"(#"&amp;Tabella4[[#This Row],['#ID]]&amp;")"</f>
        <v>(#TM0136)</v>
      </c>
      <c r="E175" s="34" t="str">
        <f>IF(MID(Tabella4[[#This Row],['#ID]],1,1)="M","Mobile",IF(MID(Tabella4[[#This Row],['#ID]],1,1)="D","Desktop",IF(MID(Tabella4[[#This Row],['#ID]],1,2)="TM","Manuale","Documenti")))</f>
        <v>Manuale</v>
      </c>
      <c r="F175" s="34" t="s">
        <v>1005</v>
      </c>
      <c r="G175" s="34" t="s">
        <v>324</v>
      </c>
      <c r="H175" s="34" t="str">
        <f>IF(Tabella4[[#This Row],[Componente]]="Documenti","10.","9.")&amp;Tabella4[[#This Row],[Criterio]]</f>
        <v>9.2.5.3</v>
      </c>
      <c r="I175" s="34" t="s">
        <v>1023</v>
      </c>
      <c r="J175" s="34" t="s">
        <v>1024</v>
      </c>
      <c r="K175" s="34" t="s">
        <v>1025</v>
      </c>
      <c r="L175" s="34" t="s">
        <v>1026</v>
      </c>
      <c r="M175" s="34" t="s">
        <v>1027</v>
      </c>
      <c r="N175" t="s">
        <v>486</v>
      </c>
      <c r="O175" t="s">
        <v>487</v>
      </c>
      <c r="P175" t="s">
        <v>382</v>
      </c>
      <c r="R175" s="34" t="str">
        <f>IF(Tabella4[[#This Row],[Componente]]="Documenti",_xlfn.XLOOKUP(Tabella4[[#This Row],[URL]],Tabella27[URL],Tabella27[PDF ID],,0),_xlfn.XLOOKUP(Tabella4[[#This Row],[URL]],Tabella1[URL],Tabella1[Page ID],,0))</f>
        <v>#1</v>
      </c>
      <c r="S175" s="34" t="s">
        <v>1004</v>
      </c>
      <c r="T175" s="34" t="s">
        <v>481</v>
      </c>
      <c r="V175" t="s">
        <v>484</v>
      </c>
      <c r="W175" s="34" t="s">
        <v>1066</v>
      </c>
      <c r="X175" s="34" t="str">
        <f>IFERROR(IF(Tabella4[[#This Row],[Tool]]="lighthouse",Tabella4[[#This Row],[Detail]],MID(Tabella4[[#This Row],[Detail]],1,FIND("&gt;",Tabella4[[#This Row],[Detail]]))),Tabella4[[#This Row],[Detail]])</f>
        <v>&lt;button id="assistenza-cta" class="fedbar-object offcanvas-toggle" aria-label="assistenza" aria-controls="assistenza-side" aria-expanded="false" data-menu-pnl="assistenza-default-panel" aria-haspopup="true" title="Assistenza" data-activity-linkid="header-assistenza-btn"&gt;</v>
      </c>
      <c r="Y175" s="34" t="str">
        <f>SUBSTITUTE(IF(Tabella4[[#This Row],[Tool]]="axe-core",MID(Tabella4[[#This Row],[Rejected Element]],3,LEN(Tabella4[[#This Row],[Rejected Element]])-4),Tabella4[[#This Row],[Rejected Element]]),"\","")</f>
        <v>#assistenza-cta</v>
      </c>
      <c r="Z175" s="34">
        <f>COUNTIFS(Tabella4[Detail univoco],Tabella4[[#This Row],[Detail univoco]],Tabella4[Rejected Element Univoco],Tabella4[[#This Row],[Rejected Element Univoco]],Tabella4[ItemsNodeLabel],Tabella4[[#This Row],[ItemsNodeLabel]])</f>
        <v>0</v>
      </c>
      <c r="AA175" s="34" t="str">
        <f>IF(Tabella4[[#This Row],[Componente]]="Documenti",VLOOKUP(Tabella4[[#This Row],[URL]],Tabella27[[URL]:[Servizio]],4,FALSE),VLOOKUP(Tabella4[[#This Row],[Page ID]],Tabella1[[Page ID]:[Servizio]],4,FALSE))</f>
        <v>S001 Homepage</v>
      </c>
      <c r="AB175" s="34"/>
      <c r="AC175" s="34" t="str">
        <f>Tabella4[[#This Row],[User Impact]]</f>
        <v>2 - Serious</v>
      </c>
      <c r="AD175" s="34" t="str">
        <f>Copertina!C$2&amp;" - "&amp;Tabella4[[#This Row],[UNI CEI EN 301549]]&amp;" "&amp;VLOOKUP(Tabella4[[#This Row],[Criterio]],Tabella5[[ID]:[Criterio di successo]],2,FALSE)&amp;" - "&amp;Tabella4[[#This Row],[Servizio]]&amp;":"</f>
        <v>Insurance Brocker - 9.2.5.3 Etichetta nel nome - S001 Homepage:</v>
      </c>
      <c r="AE17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S001 Homepage: (#TM0136)
S001 Homepage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 - &lt;button id="assistenza-cta" class="fedbar-object offcanvas-toggle" aria-label="assistenza" aria-controls="assistenza-side" aria-expanded="false" data-menu-pnl="assistenza-default-panel" aria-haspopup="true" title="Assistenza" data-activity-linkid="header-assistenza-btn"&gt; con selettore: 
["#assistenza-cta"]
Dettaglio + screenshot (accedere con le seguenti credenziali: user, axeposte@gmail.com; password, Poste2024!): 
Possibile metodologia risolutiva:
Correggi uno dei seguenti problemi:
Il testo all'interno dell'elemento non è incluso nel nome accessibile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175">
        <f>_xlfn.XLOOKUP(Tabella4[[#This Row],[ID Silk]],outTable[ID Silk],outTable[Numero ticket  ],,0,1)</f>
        <v>6005</v>
      </c>
    </row>
    <row r="176" spans="1:32">
      <c r="A176" s="34" t="str">
        <f>MID(Tabella4[[#This Row],[Servizio]],1,4)&amp;Tabella4[[#This Row],[UNI CEI EN 301549]]</f>
        <v>S0019.2.5.3</v>
      </c>
      <c r="B176" s="34" t="str">
        <f>Tabella4[[#This Row],[ID Silk]]&amp;"_1"</f>
        <v>S0019.2.5.3_1</v>
      </c>
      <c r="C176" s="34" t="s">
        <v>917</v>
      </c>
      <c r="D176" s="2" t="str">
        <f>"(#"&amp;Tabella4[[#This Row],['#ID]]&amp;")"</f>
        <v>(#TM0137)</v>
      </c>
      <c r="E176" s="34" t="str">
        <f>IF(MID(Tabella4[[#This Row],['#ID]],1,1)="M","Mobile",IF(MID(Tabella4[[#This Row],['#ID]],1,1)="D","Desktop",IF(MID(Tabella4[[#This Row],['#ID]],1,2)="TM","Manuale","Documenti")))</f>
        <v>Manuale</v>
      </c>
      <c r="F176" s="34" t="s">
        <v>1005</v>
      </c>
      <c r="G176" s="34" t="s">
        <v>324</v>
      </c>
      <c r="H176" s="34" t="str">
        <f>IF(Tabella4[[#This Row],[Componente]]="Documenti","10.","9.")&amp;Tabella4[[#This Row],[Criterio]]</f>
        <v>9.2.5.3</v>
      </c>
      <c r="I176" s="34" t="s">
        <v>1023</v>
      </c>
      <c r="J176" s="34" t="s">
        <v>1024</v>
      </c>
      <c r="K176" s="34" t="s">
        <v>1025</v>
      </c>
      <c r="L176" s="34" t="s">
        <v>1026</v>
      </c>
      <c r="M176" s="34" t="s">
        <v>1027</v>
      </c>
      <c r="N176" t="s">
        <v>488</v>
      </c>
      <c r="O176" t="s">
        <v>489</v>
      </c>
      <c r="P176" t="s">
        <v>382</v>
      </c>
      <c r="R176" s="34" t="str">
        <f>IF(Tabella4[[#This Row],[Componente]]="Documenti",_xlfn.XLOOKUP(Tabella4[[#This Row],[URL]],Tabella27[URL],Tabella27[PDF ID],,0),_xlfn.XLOOKUP(Tabella4[[#This Row],[URL]],Tabella1[URL],Tabella1[Page ID],,0))</f>
        <v>#1</v>
      </c>
      <c r="S176" s="34" t="s">
        <v>1004</v>
      </c>
      <c r="T176" s="34" t="s">
        <v>481</v>
      </c>
      <c r="V176" t="s">
        <v>484</v>
      </c>
      <c r="W176" s="34" t="s">
        <v>1066</v>
      </c>
      <c r="X176" s="34" t="str">
        <f>IFERROR(IF(Tabella4[[#This Row],[Tool]]="lighthouse",Tabella4[[#This Row],[Detail]],MID(Tabella4[[#This Row],[Detail]],1,FIND("&gt;",Tabella4[[#This Row],[Detail]]))),Tabella4[[#This Row],[Detail]])</f>
        <v>&lt;button class="navbar-object offcanvas-toggle" id="mn-ctrl" type="button" aria-haspopup="true" aria-controls="menu-navigazione" aria-expanded="false" aria-label="Apre il menu di navigazione" data-activity-linkid="Btn Menu Mobile"&gt;</v>
      </c>
      <c r="Y176" s="34" t="str">
        <f>SUBSTITUTE(IF(Tabella4[[#This Row],[Tool]]="axe-core",MID(Tabella4[[#This Row],[Rejected Element]],3,LEN(Tabella4[[#This Row],[Rejected Element]])-4),Tabella4[[#This Row],[Rejected Element]]),"\","")</f>
        <v>#mn-ctrl</v>
      </c>
      <c r="Z176" s="34">
        <f>COUNTIFS(Tabella4[Detail univoco],Tabella4[[#This Row],[Detail univoco]],Tabella4[Rejected Element Univoco],Tabella4[[#This Row],[Rejected Element Univoco]],Tabella4[ItemsNodeLabel],Tabella4[[#This Row],[ItemsNodeLabel]])</f>
        <v>0</v>
      </c>
      <c r="AA176" s="34" t="str">
        <f>IF(Tabella4[[#This Row],[Componente]]="Documenti",VLOOKUP(Tabella4[[#This Row],[URL]],Tabella27[[URL]:[Servizio]],4,FALSE),VLOOKUP(Tabella4[[#This Row],[Page ID]],Tabella1[[Page ID]:[Servizio]],4,FALSE))</f>
        <v>S001 Homepage</v>
      </c>
      <c r="AB176" s="34"/>
      <c r="AC176" s="34" t="str">
        <f>Tabella4[[#This Row],[User Impact]]</f>
        <v>2 - Serious</v>
      </c>
      <c r="AD176" s="34" t="str">
        <f>Copertina!C$2&amp;" - "&amp;Tabella4[[#This Row],[UNI CEI EN 301549]]&amp;" "&amp;VLOOKUP(Tabella4[[#This Row],[Criterio]],Tabella5[[ID]:[Criterio di successo]],2,FALSE)&amp;" - "&amp;Tabella4[[#This Row],[Servizio]]&amp;":"</f>
        <v>Insurance Brocker - 9.2.5.3 Etichetta nel nome - S001 Homepage:</v>
      </c>
      <c r="AE17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S001 Homepage: (#TM0137)
S001 Homepage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 - &lt;button class="navbar-object offcanvas-toggle" id="mn-ctrl" type="button" aria-haspopup="true" aria-controls="menu-navigazione" aria-expanded="false" aria-label="Apre il menu di navigazione" data-activity-linkid="Btn Menu Mobile"&gt; con selettore: 
["#mn-ctrl"]
Dettaglio + screenshot (accedere con le seguenti credenziali: user, axeposte@gmail.com; password, Poste2024!): 
Possibile metodologia risolutiva:
Correggi uno dei seguenti problemi:
Il testo all'interno dell'elemento non è incluso nel nome accessibile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176">
        <f>_xlfn.XLOOKUP(Tabella4[[#This Row],[ID Silk]],outTable[ID Silk],outTable[Numero ticket  ],,0,1)</f>
        <v>6005</v>
      </c>
    </row>
    <row r="177" spans="1:32">
      <c r="A177" s="34" t="str">
        <f>MID(Tabella4[[#This Row],[Servizio]],1,4)&amp;Tabella4[[#This Row],[UNI CEI EN 301549]]</f>
        <v>S0019.1.4.3</v>
      </c>
      <c r="B177" s="34" t="str">
        <f>Tabella4[[#This Row],[ID Silk]]&amp;"_1"</f>
        <v>S0019.1.4.3_1</v>
      </c>
      <c r="C177" s="34" t="s">
        <v>918</v>
      </c>
      <c r="D177" s="2" t="str">
        <f>"(#"&amp;Tabella4[[#This Row],['#ID]]&amp;")"</f>
        <v>(#TM0138)</v>
      </c>
      <c r="E177" s="34" t="str">
        <f>IF(MID(Tabella4[[#This Row],['#ID]],1,1)="M","Mobile",IF(MID(Tabella4[[#This Row],['#ID]],1,1)="D","Desktop",IF(MID(Tabella4[[#This Row],['#ID]],1,2)="TM","Manuale","Documenti")))</f>
        <v>Manuale</v>
      </c>
      <c r="F177" s="34" t="s">
        <v>1006</v>
      </c>
      <c r="G177" s="34" t="s">
        <v>228</v>
      </c>
      <c r="H177" s="34" t="str">
        <f>IF(Tabella4[[#This Row],[Componente]]="Documenti","10.","9.")&amp;Tabella4[[#This Row],[Criterio]]</f>
        <v>9.1.4.3</v>
      </c>
      <c r="I177" s="34" t="s">
        <v>1023</v>
      </c>
      <c r="J177" s="34" t="s">
        <v>1037</v>
      </c>
      <c r="K177" s="34" t="s">
        <v>549</v>
      </c>
      <c r="L177" s="34" t="s">
        <v>1038</v>
      </c>
      <c r="M177" s="34" t="s">
        <v>1039</v>
      </c>
      <c r="N177" t="s">
        <v>659</v>
      </c>
      <c r="O177" t="s">
        <v>551</v>
      </c>
      <c r="P177" t="s">
        <v>382</v>
      </c>
      <c r="R177" s="34" t="str">
        <f>IF(Tabella4[[#This Row],[Componente]]="Documenti",_xlfn.XLOOKUP(Tabella4[[#This Row],[URL]],Tabella27[URL],Tabella27[PDF ID],,0),_xlfn.XLOOKUP(Tabella4[[#This Row],[URL]],Tabella1[URL],Tabella1[Page ID],,0))</f>
        <v>#1</v>
      </c>
      <c r="S177" s="34" t="s">
        <v>1004</v>
      </c>
      <c r="T177" s="34" t="s">
        <v>547</v>
      </c>
      <c r="V177" t="s">
        <v>548</v>
      </c>
      <c r="W177" s="34" t="s">
        <v>1069</v>
      </c>
      <c r="X177" s="34" t="str">
        <f>IFERROR(IF(Tabella4[[#This Row],[Tool]]="lighthouse",Tabella4[[#This Row],[Detail]],MID(Tabella4[[#This Row],[Detail]],1,FIND("&gt;",Tabella4[[#This Row],[Detail]]))),Tabella4[[#This Row],[Detail]])</f>
        <v>&lt;a tabindex="0" class="skip-link sr-only-focusable-abs" href="#accessibility-anchor"&gt;</v>
      </c>
      <c r="Y177" s="34" t="str">
        <f>SUBSTITUTE(IF(Tabella4[[#This Row],[Tool]]="axe-core",MID(Tabella4[[#This Row],[Rejected Element]],3,LEN(Tabella4[[#This Row],[Rejected Element]])-4),Tabella4[[#This Row],[Rejected Element]]),"\","")</f>
        <v>body#page.pattern-circle-01 &gt; nav#skiplink:nth-of-type(1) &gt; ul:nth-of-type(1) &gt; li:nth-of-type(1) &gt; a.skip-link.sr-only-focusable-abs:nth-of-type(1)</v>
      </c>
      <c r="Z177" s="34">
        <f>COUNTIFS(Tabella4[Detail univoco],Tabella4[[#This Row],[Detail univoco]],Tabella4[Rejected Element Univoco],Tabella4[[#This Row],[Rejected Element Univoco]],Tabella4[ItemsNodeLabel],Tabella4[[#This Row],[ItemsNodeLabel]])</f>
        <v>0</v>
      </c>
      <c r="AA177" s="34" t="str">
        <f>IF(Tabella4[[#This Row],[Componente]]="Documenti",VLOOKUP(Tabella4[[#This Row],[URL]],Tabella27[[URL]:[Servizio]],4,FALSE),VLOOKUP(Tabella4[[#This Row],[Page ID]],Tabella1[[Page ID]:[Servizio]],4,FALSE))</f>
        <v>S001 Homepage</v>
      </c>
      <c r="AB177" s="34"/>
      <c r="AC177" s="34" t="str">
        <f>Tabella4[[#This Row],[User Impact]]</f>
        <v>2 - Serious</v>
      </c>
      <c r="AD177" s="34" t="str">
        <f>Copertina!C$2&amp;" - "&amp;Tabella4[[#This Row],[UNI CEI EN 301549]]&amp;" "&amp;VLOOKUP(Tabella4[[#This Row],[Criterio]],Tabella5[[ID]:[Criterio di successo]],2,FALSE)&amp;" - "&amp;Tabella4[[#This Row],[Servizio]]&amp;":"</f>
        <v>Insurance Brocker - 9.1.4.3 Contrasto (minimo) - S001 Homepage:</v>
      </c>
      <c r="AE17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S001 Homepage: (#TM0138)
S001 Homepage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 - &lt;a tabindex="0" class="skip-link sr-only-focusable-abs" href="#accessibility-anchor"&gt;Passa al contenuto principale&lt;/a&gt; con selettore: 
["body#page.pattern-circle-01 &gt; nav#skiplink:nth-of-type(1) &gt; ul:nth-of-type(1) &gt; li:nth-of-type(1)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77">
        <f>_xlfn.XLOOKUP(Tabella4[[#This Row],[ID Silk]],outTable[ID Silk],outTable[Numero ticket  ],,0,1)</f>
        <v>6002</v>
      </c>
    </row>
    <row r="178" spans="1:32">
      <c r="A178" s="34" t="str">
        <f>MID(Tabella4[[#This Row],[Servizio]],1,4)&amp;Tabella4[[#This Row],[UNI CEI EN 301549]]</f>
        <v>S0019.1.4.3</v>
      </c>
      <c r="B178" s="34" t="str">
        <f>Tabella4[[#This Row],[ID Silk]]&amp;"_1"</f>
        <v>S0019.1.4.3_1</v>
      </c>
      <c r="C178" s="34" t="s">
        <v>919</v>
      </c>
      <c r="D178" s="2" t="str">
        <f>"(#"&amp;Tabella4[[#This Row],['#ID]]&amp;")"</f>
        <v>(#TM0139)</v>
      </c>
      <c r="E178" s="34" t="str">
        <f>IF(MID(Tabella4[[#This Row],['#ID]],1,1)="M","Mobile",IF(MID(Tabella4[[#This Row],['#ID]],1,1)="D","Desktop",IF(MID(Tabella4[[#This Row],['#ID]],1,2)="TM","Manuale","Documenti")))</f>
        <v>Manuale</v>
      </c>
      <c r="F178" s="34" t="s">
        <v>1006</v>
      </c>
      <c r="G178" s="34" t="s">
        <v>228</v>
      </c>
      <c r="H178" s="34" t="str">
        <f>IF(Tabella4[[#This Row],[Componente]]="Documenti","10.","9.")&amp;Tabella4[[#This Row],[Criterio]]</f>
        <v>9.1.4.3</v>
      </c>
      <c r="I178" s="34" t="s">
        <v>1023</v>
      </c>
      <c r="J178" s="34" t="s">
        <v>1037</v>
      </c>
      <c r="K178" s="34" t="s">
        <v>549</v>
      </c>
      <c r="L178" s="34" t="s">
        <v>1038</v>
      </c>
      <c r="M178" s="34" t="s">
        <v>1039</v>
      </c>
      <c r="N178" t="s">
        <v>660</v>
      </c>
      <c r="O178" t="s">
        <v>553</v>
      </c>
      <c r="P178" t="s">
        <v>382</v>
      </c>
      <c r="R178" s="34" t="str">
        <f>IF(Tabella4[[#This Row],[Componente]]="Documenti",_xlfn.XLOOKUP(Tabella4[[#This Row],[URL]],Tabella27[URL],Tabella27[PDF ID],,0),_xlfn.XLOOKUP(Tabella4[[#This Row],[URL]],Tabella1[URL],Tabella1[Page ID],,0))</f>
        <v>#1</v>
      </c>
      <c r="S178" s="34" t="s">
        <v>1004</v>
      </c>
      <c r="T178" s="34" t="s">
        <v>547</v>
      </c>
      <c r="V178" t="s">
        <v>548</v>
      </c>
      <c r="W178" s="34" t="s">
        <v>1069</v>
      </c>
      <c r="X178" s="34" t="str">
        <f>IFERROR(IF(Tabella4[[#This Row],[Tool]]="lighthouse",Tabella4[[#This Row],[Detail]],MID(Tabella4[[#This Row],[Detail]],1,FIND("&gt;",Tabella4[[#This Row],[Detail]]))),Tabella4[[#This Row],[Detail]])</f>
        <v>&lt;a class="skip-link sr-only-focusable-abs" href="#footer"&gt;</v>
      </c>
      <c r="Y178" s="34" t="str">
        <f>SUBSTITUTE(IF(Tabella4[[#This Row],[Tool]]="axe-core",MID(Tabella4[[#This Row],[Rejected Element]],3,LEN(Tabella4[[#This Row],[Rejected Element]])-4),Tabella4[[#This Row],[Rejected Element]]),"\","")</f>
        <v>body#page.pattern-circle-01 &gt; nav#skiplink:nth-of-type(1) &gt; ul:nth-of-type(1) &gt; li:nth-of-type(3) &gt; a.skip-link.sr-only-focusable-abs:nth-of-type(1)</v>
      </c>
      <c r="Z178" s="34">
        <f>COUNTIFS(Tabella4[Detail univoco],Tabella4[[#This Row],[Detail univoco]],Tabella4[Rejected Element Univoco],Tabella4[[#This Row],[Rejected Element Univoco]],Tabella4[ItemsNodeLabel],Tabella4[[#This Row],[ItemsNodeLabel]])</f>
        <v>0</v>
      </c>
      <c r="AA178" s="34" t="str">
        <f>IF(Tabella4[[#This Row],[Componente]]="Documenti",VLOOKUP(Tabella4[[#This Row],[URL]],Tabella27[[URL]:[Servizio]],4,FALSE),VLOOKUP(Tabella4[[#This Row],[Page ID]],Tabella1[[Page ID]:[Servizio]],4,FALSE))</f>
        <v>S001 Homepage</v>
      </c>
      <c r="AB178" s="34"/>
      <c r="AC178" s="34" t="str">
        <f>Tabella4[[#This Row],[User Impact]]</f>
        <v>2 - Serious</v>
      </c>
      <c r="AD178" s="34" t="str">
        <f>Copertina!C$2&amp;" - "&amp;Tabella4[[#This Row],[UNI CEI EN 301549]]&amp;" "&amp;VLOOKUP(Tabella4[[#This Row],[Criterio]],Tabella5[[ID]:[Criterio di successo]],2,FALSE)&amp;" - "&amp;Tabella4[[#This Row],[Servizio]]&amp;":"</f>
        <v>Insurance Brocker - 9.1.4.3 Contrasto (minimo) - S001 Homepage:</v>
      </c>
      <c r="AE17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S001 Homepage: (#TM0139)
S001 Homepage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 - &lt;a class="skip-link sr-only-focusable-abs" href="#footer"&gt;Passa al footer di pagina&lt;/a&gt; con selettore: 
["body#page.pattern-circle-01 &gt; nav#skiplink:nth-of-type(1) &gt; ul:nth-of-type(1) &gt; li:nth-of-type(3)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78">
        <f>_xlfn.XLOOKUP(Tabella4[[#This Row],[ID Silk]],outTable[ID Silk],outTable[Numero ticket  ],,0,1)</f>
        <v>6002</v>
      </c>
    </row>
    <row r="179" spans="1:32">
      <c r="A179" s="34" t="str">
        <f>MID(Tabella4[[#This Row],[Servizio]],1,4)&amp;Tabella4[[#This Row],[UNI CEI EN 301549]]</f>
        <v>S0019.1.4.3</v>
      </c>
      <c r="B179" s="34" t="str">
        <f>Tabella4[[#This Row],[ID Silk]]&amp;"_1"</f>
        <v>S0019.1.4.3_1</v>
      </c>
      <c r="C179" s="34" t="s">
        <v>920</v>
      </c>
      <c r="D179" s="2" t="str">
        <f>"(#"&amp;Tabella4[[#This Row],['#ID]]&amp;")"</f>
        <v>(#TM0140)</v>
      </c>
      <c r="E179" s="34" t="str">
        <f>IF(MID(Tabella4[[#This Row],['#ID]],1,1)="M","Mobile",IF(MID(Tabella4[[#This Row],['#ID]],1,1)="D","Desktop",IF(MID(Tabella4[[#This Row],['#ID]],1,2)="TM","Manuale","Documenti")))</f>
        <v>Manuale</v>
      </c>
      <c r="F179" s="34" t="s">
        <v>1006</v>
      </c>
      <c r="G179" s="34" t="s">
        <v>228</v>
      </c>
      <c r="H179" s="34" t="str">
        <f>IF(Tabella4[[#This Row],[Componente]]="Documenti","10.","9.")&amp;Tabella4[[#This Row],[Criterio]]</f>
        <v>9.1.4.3</v>
      </c>
      <c r="I179" s="34" t="s">
        <v>1023</v>
      </c>
      <c r="J179" s="34" t="s">
        <v>1037</v>
      </c>
      <c r="K179" s="34" t="s">
        <v>549</v>
      </c>
      <c r="L179" s="34" t="s">
        <v>1038</v>
      </c>
      <c r="M179" s="34" t="s">
        <v>1039</v>
      </c>
      <c r="N179" t="s">
        <v>661</v>
      </c>
      <c r="O179" t="s">
        <v>651</v>
      </c>
      <c r="P179" t="s">
        <v>382</v>
      </c>
      <c r="R179" s="34" t="str">
        <f>IF(Tabella4[[#This Row],[Componente]]="Documenti",_xlfn.XLOOKUP(Tabella4[[#This Row],[URL]],Tabella27[URL],Tabella27[PDF ID],,0),_xlfn.XLOOKUP(Tabella4[[#This Row],[URL]],Tabella1[URL],Tabella1[Page ID],,0))</f>
        <v>#1</v>
      </c>
      <c r="S179" s="34" t="s">
        <v>1004</v>
      </c>
      <c r="T179" s="34" t="s">
        <v>547</v>
      </c>
      <c r="V179" t="s">
        <v>548</v>
      </c>
      <c r="W179" s="34" t="s">
        <v>1069</v>
      </c>
      <c r="X179" s="34" t="str">
        <f>IFERROR(IF(Tabella4[[#This Row],[Tool]]="lighthouse",Tabella4[[#This Row],[Detail]],MID(Tabella4[[#This Row],[Detail]],1,FIND("&gt;",Tabella4[[#This Row],[Detail]]))),Tabella4[[#This Row],[Detail]])</f>
        <v>&lt;a title="Chiama il numero 800 211 290" href="tel:800211290" data-activity-linkid="link-800 211 290"&gt;</v>
      </c>
      <c r="Y179" s="34" t="str">
        <f>SUBSTITUTE(IF(Tabella4[[#This Row],[Tool]]="axe-core",MID(Tabella4[[#This Row],[Rejected Element]],3,LEN(Tabella4[[#This Row],[Rejected Element]])-4),Tabella4[[#This Row],[Rejected Element]]),"\","")</f>
        <v>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v>
      </c>
      <c r="Z179" s="34">
        <f>COUNTIFS(Tabella4[Detail univoco],Tabella4[[#This Row],[Detail univoco]],Tabella4[Rejected Element Univoco],Tabella4[[#This Row],[Rejected Element Univoco]],Tabella4[ItemsNodeLabel],Tabella4[[#This Row],[ItemsNodeLabel]])</f>
        <v>0</v>
      </c>
      <c r="AA179" s="34" t="str">
        <f>IF(Tabella4[[#This Row],[Componente]]="Documenti",VLOOKUP(Tabella4[[#This Row],[URL]],Tabella27[[URL]:[Servizio]],4,FALSE),VLOOKUP(Tabella4[[#This Row],[Page ID]],Tabella1[[Page ID]:[Servizio]],4,FALSE))</f>
        <v>S001 Homepage</v>
      </c>
      <c r="AB179" s="34"/>
      <c r="AC179" s="34" t="str">
        <f>Tabella4[[#This Row],[User Impact]]</f>
        <v>2 - Serious</v>
      </c>
      <c r="AD179" s="34" t="str">
        <f>Copertina!C$2&amp;" - "&amp;Tabella4[[#This Row],[UNI CEI EN 301549]]&amp;" "&amp;VLOOKUP(Tabella4[[#This Row],[Criterio]],Tabella5[[ID]:[Criterio di successo]],2,FALSE)&amp;" - "&amp;Tabella4[[#This Row],[Servizio]]&amp;":"</f>
        <v>Insurance Brocker - 9.1.4.3 Contrasto (minimo) - S001 Homepage:</v>
      </c>
      <c r="AE17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S001 Homepage: (#TM0140)
S001 Homepage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 - &lt;a title="Chiama il numero 800 211 290" href="tel:800211290" data-activity-linkid="link-800 211 290"&gt;800 211 290&lt;/a&gt; con selettore: 
["body#page.pattern-circle-01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79">
        <f>_xlfn.XLOOKUP(Tabella4[[#This Row],[ID Silk]],outTable[ID Silk],outTable[Numero ticket  ],,0,1)</f>
        <v>6002</v>
      </c>
    </row>
    <row r="180" spans="1:32">
      <c r="A180" s="34" t="str">
        <f>MID(Tabella4[[#This Row],[Servizio]],1,4)&amp;Tabella4[[#This Row],[UNI CEI EN 301549]]</f>
        <v>S0019.1.4.3</v>
      </c>
      <c r="B180" s="34" t="str">
        <f>Tabella4[[#This Row],[ID Silk]]&amp;"_1"</f>
        <v>S0019.1.4.3_1</v>
      </c>
      <c r="C180" s="34" t="s">
        <v>921</v>
      </c>
      <c r="D180" s="2" t="str">
        <f>"(#"&amp;Tabella4[[#This Row],['#ID]]&amp;")"</f>
        <v>(#TM0141)</v>
      </c>
      <c r="E180" s="34" t="str">
        <f>IF(MID(Tabella4[[#This Row],['#ID]],1,1)="M","Mobile",IF(MID(Tabella4[[#This Row],['#ID]],1,1)="D","Desktop",IF(MID(Tabella4[[#This Row],['#ID]],1,2)="TM","Manuale","Documenti")))</f>
        <v>Manuale</v>
      </c>
      <c r="F180" s="34" t="s">
        <v>1006</v>
      </c>
      <c r="G180" s="34" t="s">
        <v>228</v>
      </c>
      <c r="H180" s="34" t="str">
        <f>IF(Tabella4[[#This Row],[Componente]]="Documenti","10.","9.")&amp;Tabella4[[#This Row],[Criterio]]</f>
        <v>9.1.4.3</v>
      </c>
      <c r="I180" s="34" t="s">
        <v>1023</v>
      </c>
      <c r="J180" s="34" t="s">
        <v>1037</v>
      </c>
      <c r="K180" s="34" t="s">
        <v>549</v>
      </c>
      <c r="L180" s="34" t="s">
        <v>1038</v>
      </c>
      <c r="M180" s="34" t="s">
        <v>1039</v>
      </c>
      <c r="N180" t="s">
        <v>662</v>
      </c>
      <c r="O180" t="s">
        <v>663</v>
      </c>
      <c r="P180" t="s">
        <v>382</v>
      </c>
      <c r="R180" s="34" t="str">
        <f>IF(Tabella4[[#This Row],[Componente]]="Documenti",_xlfn.XLOOKUP(Tabella4[[#This Row],[URL]],Tabella27[URL],Tabella27[PDF ID],,0),_xlfn.XLOOKUP(Tabella4[[#This Row],[URL]],Tabella1[URL],Tabella1[Page ID],,0))</f>
        <v>#1</v>
      </c>
      <c r="S180" s="34" t="s">
        <v>1004</v>
      </c>
      <c r="T180" s="34" t="s">
        <v>547</v>
      </c>
      <c r="V180" t="s">
        <v>548</v>
      </c>
      <c r="W180" s="34" t="s">
        <v>1069</v>
      </c>
      <c r="X180" s="34" t="str">
        <f>IFERROR(IF(Tabella4[[#This Row],[Tool]]="lighthouse",Tabella4[[#This Row],[Detail]],MID(Tabella4[[#This Row],[Detail]],1,FIND("&gt;",Tabella4[[#This Row],[Detail]]))),Tabella4[[#This Row],[Detail]])</f>
        <v>&lt;a title="Vai alla pagina dedicata e rispondi" href="https://aiutaciamigliorare.poste.it/sondaggi/prodotti-postevita-privati?pagina=posteinsurance-broker,famiglia_prodotto=Protezione" target="_self" class="btn btn-xs btn-primary me-1" data-activity-linkid="Rispondi-posteinsurancebroker-moduli-posteinsurance-broker-brand-aiutaci-a-migliorare-right-card-btn-secondary"&gt;</v>
      </c>
      <c r="Y180" s="34" t="str">
        <f>SUBSTITUTE(IF(Tabella4[[#This Row],[Tool]]="axe-core",MID(Tabella4[[#This Row],[Rejected Element]],3,LEN(Tabella4[[#This Row],[Rejected Element]])-4),Tabella4[[#This Row],[Rejected Element]]),"\","")</f>
        <v>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v>
      </c>
      <c r="Z180" s="34">
        <f>COUNTIFS(Tabella4[Detail univoco],Tabella4[[#This Row],[Detail univoco]],Tabella4[Rejected Element Univoco],Tabella4[[#This Row],[Rejected Element Univoco]],Tabella4[ItemsNodeLabel],Tabella4[[#This Row],[ItemsNodeLabel]])</f>
        <v>0</v>
      </c>
      <c r="AA180" s="34" t="str">
        <f>IF(Tabella4[[#This Row],[Componente]]="Documenti",VLOOKUP(Tabella4[[#This Row],[URL]],Tabella27[[URL]:[Servizio]],4,FALSE),VLOOKUP(Tabella4[[#This Row],[Page ID]],Tabella1[[Page ID]:[Servizio]],4,FALSE))</f>
        <v>S001 Homepage</v>
      </c>
      <c r="AB180" s="34"/>
      <c r="AC180" s="34" t="str">
        <f>Tabella4[[#This Row],[User Impact]]</f>
        <v>2 - Serious</v>
      </c>
      <c r="AD180" s="34" t="str">
        <f>Copertina!C$2&amp;" - "&amp;Tabella4[[#This Row],[UNI CEI EN 301549]]&amp;" "&amp;VLOOKUP(Tabella4[[#This Row],[Criterio]],Tabella5[[ID]:[Criterio di successo]],2,FALSE)&amp;" - "&amp;Tabella4[[#This Row],[Servizio]]&amp;":"</f>
        <v>Insurance Brocker - 9.1.4.3 Contrasto (minimo) - S001 Homepage:</v>
      </c>
      <c r="AE18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S001 Homepage: (#TM0141)
S001 Homepage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 - &lt;a title="Vai alla pagina dedicata e rispondi" href="https://aiutaciamigliorare.poste.it/sondaggi/prodotti-postevita-privati?pagina=posteinsurance-broker,famiglia_prodotto=Protezione" target="_self" class="btn btn-xs btn-primary me-1" data-activity-linkid="Rispondi-posteinsurancebroker-moduli-posteinsurance-broker-brand-aiutaci-a-migliorare-right-card-btn-secondary"&gt; con selettore: 
["body#page.pattern-circle-01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80">
        <f>_xlfn.XLOOKUP(Tabella4[[#This Row],[ID Silk]],outTable[ID Silk],outTable[Numero ticket  ],,0,1)</f>
        <v>6002</v>
      </c>
    </row>
    <row r="181" spans="1:32">
      <c r="A181" s="34" t="str">
        <f>MID(Tabella4[[#This Row],[Servizio]],1,4)&amp;Tabella4[[#This Row],[UNI CEI EN 301549]]</f>
        <v>S0019.1.4.3</v>
      </c>
      <c r="B181" s="34" t="str">
        <f>Tabella4[[#This Row],[ID Silk]]&amp;"_1"</f>
        <v>S0019.1.4.3_1</v>
      </c>
      <c r="C181" s="34" t="s">
        <v>922</v>
      </c>
      <c r="D181" s="2" t="str">
        <f>"(#"&amp;Tabella4[[#This Row],['#ID]]&amp;")"</f>
        <v>(#TM0142)</v>
      </c>
      <c r="E181" s="34" t="str">
        <f>IF(MID(Tabella4[[#This Row],['#ID]],1,1)="M","Mobile",IF(MID(Tabella4[[#This Row],['#ID]],1,1)="D","Desktop",IF(MID(Tabella4[[#This Row],['#ID]],1,2)="TM","Manuale","Documenti")))</f>
        <v>Manuale</v>
      </c>
      <c r="F181" s="34" t="s">
        <v>1006</v>
      </c>
      <c r="G181" s="34" t="s">
        <v>228</v>
      </c>
      <c r="H181" s="34" t="str">
        <f>IF(Tabella4[[#This Row],[Componente]]="Documenti","10.","9.")&amp;Tabella4[[#This Row],[Criterio]]</f>
        <v>9.1.4.3</v>
      </c>
      <c r="I181" s="34" t="s">
        <v>1023</v>
      </c>
      <c r="J181" s="34" t="s">
        <v>1037</v>
      </c>
      <c r="K181" s="34" t="s">
        <v>549</v>
      </c>
      <c r="L181" s="34" t="s">
        <v>1038</v>
      </c>
      <c r="M181" s="34" t="s">
        <v>1039</v>
      </c>
      <c r="N181" t="s">
        <v>664</v>
      </c>
      <c r="O181" t="s">
        <v>665</v>
      </c>
      <c r="P181" t="s">
        <v>382</v>
      </c>
      <c r="R181" s="34" t="str">
        <f>IF(Tabella4[[#This Row],[Componente]]="Documenti",_xlfn.XLOOKUP(Tabella4[[#This Row],[URL]],Tabella27[URL],Tabella27[PDF ID],,0),_xlfn.XLOOKUP(Tabella4[[#This Row],[URL]],Tabella1[URL],Tabella1[Page ID],,0))</f>
        <v>#1</v>
      </c>
      <c r="S181" s="34" t="s">
        <v>1004</v>
      </c>
      <c r="T181" s="34" t="s">
        <v>547</v>
      </c>
      <c r="V181" t="s">
        <v>548</v>
      </c>
      <c r="W181" s="34" t="s">
        <v>1069</v>
      </c>
      <c r="X181" s="34" t="str">
        <f>IFERROR(IF(Tabella4[[#This Row],[Tool]]="lighthouse",Tabella4[[#This Row],[Detail]],MID(Tabella4[[#This Row],[Detail]],1,FIND("&gt;",Tabella4[[#This Row],[Detail]]))),Tabella4[[#This Row],[Detail]])</f>
        <v>&lt;a title="Vai alla pagina dedicata alla privacy " href="https://posteinsurancebroker.poste.it/privacy-policy" target="_self" data-collection="comunications" data-slug="privacy-policy-1699871679326" data-os-id="66a9a128-a9ee-48ea-9b94-c84805388ee4" data-activity-linkid="link-approfondisci"&gt;</v>
      </c>
      <c r="Y181" s="34" t="str">
        <f>SUBSTITUTE(IF(Tabella4[[#This Row],[Tool]]="axe-core",MID(Tabella4[[#This Row],[Rejected Element]],3,LEN(Tabella4[[#This Row],[Rejected Element]])-4),Tabella4[[#This Row],[Rejected Element]]),"\","")</f>
        <v>body#page.pattern-circle-01 &gt; footer:nth-of-type(1) &gt; div.content.content-footer.content-footer-extra:nth-of-type(2) &gt; div.content-wrap:nth-of-type(1) &gt; div.container:nth-of-type(1) &gt; div.row:nth-of-type(1) &gt; div.col-sm-12:nth-of-type(1) &gt; div.row.my-4:nth-of-type(1) &gt; div.col-sm-8:nth-of-type(2) &gt; div.clearfix:nth-of-type(1) &gt; div.base-footer.mt-3.mt-sm-0:nth-of-type(1) &gt; div.clearfix:nth-of-type(1) &gt; ul.list-unstyled.pull-sm-right:nth-of-type(1) &gt; li:nth-of-type(2) &gt; div.content.content-alert-browser.mb-0:nth-of-type(1) &gt; div#content-alert-cookie.content.content-alert-cookie.mb-0:nth-of-type(1) &gt; div.container:nth-of-type(1) &gt; div.row:nth-of-type(1) &gt; div.col-md-12:nth-of-type(1) &gt; div#alertCookie.innerspacer-xs-top-30.innerspacer-xs-bottom-20:nth-of-type(1) &gt; div#alertCookie-inner:nth-of-type(1) &gt; div.text-center.text-sm-left:nth-of-type(1) &gt; p:nth-of-type(1) &gt; a:nth-of-type(1)</v>
      </c>
      <c r="Z181" s="34">
        <f>COUNTIFS(Tabella4[Detail univoco],Tabella4[[#This Row],[Detail univoco]],Tabella4[Rejected Element Univoco],Tabella4[[#This Row],[Rejected Element Univoco]],Tabella4[ItemsNodeLabel],Tabella4[[#This Row],[ItemsNodeLabel]])</f>
        <v>0</v>
      </c>
      <c r="AA181" s="34" t="str">
        <f>IF(Tabella4[[#This Row],[Componente]]="Documenti",VLOOKUP(Tabella4[[#This Row],[URL]],Tabella27[[URL]:[Servizio]],4,FALSE),VLOOKUP(Tabella4[[#This Row],[Page ID]],Tabella1[[Page ID]:[Servizio]],4,FALSE))</f>
        <v>S001 Homepage</v>
      </c>
      <c r="AB181" s="34"/>
      <c r="AC181" s="34" t="str">
        <f>Tabella4[[#This Row],[User Impact]]</f>
        <v>2 - Serious</v>
      </c>
      <c r="AD181" s="34" t="str">
        <f>Copertina!C$2&amp;" - "&amp;Tabella4[[#This Row],[UNI CEI EN 301549]]&amp;" "&amp;VLOOKUP(Tabella4[[#This Row],[Criterio]],Tabella5[[ID]:[Criterio di successo]],2,FALSE)&amp;" - "&amp;Tabella4[[#This Row],[Servizio]]&amp;":"</f>
        <v>Insurance Brocker - 9.1.4.3 Contrasto (minimo) - S001 Homepage:</v>
      </c>
      <c r="AE18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S001 Homepage: (#TM0142)
S001 Homepage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 - &lt;a title="Vai alla pagina dedicata alla privacy " href="https://posteinsurancebroker.poste.it/privacy-policy" target="_self" data-collection="comunications" data-slug="privacy-policy-1699871679326" data-os-id="66a9a128-a9ee-48ea-9b94-c84805388ee4" data-activity-linkid="link-approfondisci"&gt; con selettore: 
["body#page.pattern-circle-01 &gt; footer:nth-of-type(1) &gt; div.content.content-footer.content-footer-extra:nth-of-type(2) &gt; div.content-wrap:nth-of-type(1) &gt; div.container:nth-of-type(1) &gt; div.row:nth-of-type(1) &gt; div.col-sm-12:nth-of-type(1) &gt; div.row.my-4:nth-of-type(1) &gt; div.col-sm-8:nth-of-type(2) &gt; div.clearfix:nth-of-type(1) &gt; div.base-footer.mt-3.mt-sm-0:nth-of-type(1) &gt; div.clearfix:nth-of-type(1) &gt; ul.list-unstyled.pull-sm-right:nth-of-type(1) &gt; li:nth-of-type(2) &gt; div.content.content-alert-browser.mb-0:nth-of-type(1) &gt; div#content-alert-cookie.content.content-alert-cookie.mb-0:nth-of-type(1) &gt; div.container:nth-of-type(1) &gt; div.row:nth-of-type(1) &gt; div.col-md-12:nth-of-type(1) &gt; div#alertCookie.innerspacer-xs-top-30.innerspacer-xs-bottom-20:nth-of-type(1) &gt; div#alertCookie-inner:nth-of-type(1) &gt; div.text-center.text-sm-left:nth-of-type(1) &gt; p:nth-of-type(1)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81">
        <f>_xlfn.XLOOKUP(Tabella4[[#This Row],[ID Silk]],outTable[ID Silk],outTable[Numero ticket  ],,0,1)</f>
        <v>6002</v>
      </c>
    </row>
    <row r="182" spans="1:32">
      <c r="A182" s="34" t="str">
        <f>MID(Tabella4[[#This Row],[Servizio]],1,4)&amp;Tabella4[[#This Row],[UNI CEI EN 301549]]</f>
        <v>S0019.2.1.1</v>
      </c>
      <c r="B182" s="34" t="str">
        <f>Tabella4[[#This Row],[ID Silk]]&amp;"_1"</f>
        <v>S0019.2.1.1_1</v>
      </c>
      <c r="C182" s="34" t="s">
        <v>923</v>
      </c>
      <c r="D182" s="2" t="str">
        <f>"(#"&amp;Tabella4[[#This Row],['#ID]]&amp;")"</f>
        <v>(#TM0143)</v>
      </c>
      <c r="E182" s="34" t="str">
        <f>IF(MID(Tabella4[[#This Row],['#ID]],1,1)="M","Mobile",IF(MID(Tabella4[[#This Row],['#ID]],1,1)="D","Desktop",IF(MID(Tabella4[[#This Row],['#ID]],1,2)="TM","Manuale","Documenti")))</f>
        <v>Manuale</v>
      </c>
      <c r="F182" s="34" t="s">
        <v>1005</v>
      </c>
      <c r="G182" s="34" t="s">
        <v>275</v>
      </c>
      <c r="H182" s="34" t="str">
        <f>IF(Tabella4[[#This Row],[Componente]]="Documenti","10.","9.")&amp;Tabella4[[#This Row],[Criterio]]</f>
        <v>9.2.1.1</v>
      </c>
      <c r="I182" s="34" t="s">
        <v>1007</v>
      </c>
      <c r="J182" s="34" t="s">
        <v>1019</v>
      </c>
      <c r="K182" s="34" t="s">
        <v>656</v>
      </c>
      <c r="L182" s="34" t="s">
        <v>1045</v>
      </c>
      <c r="M182" s="34" t="s">
        <v>1046</v>
      </c>
      <c r="N182" t="s">
        <v>666</v>
      </c>
      <c r="O182" t="s">
        <v>482</v>
      </c>
      <c r="P182" t="s">
        <v>382</v>
      </c>
      <c r="R182" s="34" t="str">
        <f>IF(Tabella4[[#This Row],[Componente]]="Documenti",_xlfn.XLOOKUP(Tabella4[[#This Row],[URL]],Tabella27[URL],Tabella27[PDF ID],,0),_xlfn.XLOOKUP(Tabella4[[#This Row],[URL]],Tabella1[URL],Tabella1[Page ID],,0))</f>
        <v>#1</v>
      </c>
      <c r="S182" s="34" t="s">
        <v>1004</v>
      </c>
      <c r="T182" s="34" t="s">
        <v>654</v>
      </c>
      <c r="V182" t="s">
        <v>655</v>
      </c>
      <c r="W182" s="34" t="s">
        <v>1072</v>
      </c>
      <c r="X182" s="34" t="str">
        <f>IFERROR(IF(Tabella4[[#This Row],[Tool]]="lighthouse",Tabella4[[#This Row],[Detail]],MID(Tabella4[[#This Row],[Detail]],1,FIND("&gt;",Tabella4[[#This Row],[Detail]]))),Tabella4[[#This Row],[Detail]])</f>
        <v/>
      </c>
      <c r="Y182" s="34" t="str">
        <f>SUBSTITUTE(IF(Tabella4[[#This Row],[Tool]]="axe-core",MID(Tabella4[[#This Row],[Rejected Element]],3,LEN(Tabella4[[#This Row],[Rejected Element]])-4),Tabella4[[#This Row],[Rejected Element]]),"\","")</f>
        <v>body#page.pattern-circle-01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v>
      </c>
      <c r="Z182" s="34">
        <f>COUNTIFS(Tabella4[Detail univoco],Tabella4[[#This Row],[Detail univoco]],Tabella4[Rejected Element Univoco],Tabella4[[#This Row],[Rejected Element Univoco]],Tabella4[ItemsNodeLabel],Tabella4[[#This Row],[ItemsNodeLabel]])</f>
        <v>0</v>
      </c>
      <c r="AA182" s="34" t="str">
        <f>IF(Tabella4[[#This Row],[Componente]]="Documenti",VLOOKUP(Tabella4[[#This Row],[URL]],Tabella27[[URL]:[Servizio]],4,FALSE),VLOOKUP(Tabella4[[#This Row],[Page ID]],Tabella1[[Page ID]:[Servizio]],4,FALSE))</f>
        <v>S001 Homepage</v>
      </c>
      <c r="AB182" s="34"/>
      <c r="AC182" s="34" t="str">
        <f>Tabella4[[#This Row],[User Impact]]</f>
        <v>1 - Critical</v>
      </c>
      <c r="AD182" s="34" t="str">
        <f>Copertina!C$2&amp;" - "&amp;Tabella4[[#This Row],[UNI CEI EN 301549]]&amp;" "&amp;VLOOKUP(Tabella4[[#This Row],[Criterio]],Tabella5[[ID]:[Criterio di successo]],2,FALSE)&amp;" - "&amp;Tabella4[[#This Row],[Servizio]]&amp;":"</f>
        <v>Insurance Brocker - 9.2.1.1 Tastiera - S001 Homepage:</v>
      </c>
      <c r="AE18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- 9.2.1.1 Tastiera - S001 Homepage: (#TM0143)
S001 Homepage
Requisito: WCAG 2.1.1
Disabilità afflitte: Blind;Deafblind;Mobility
Impatto Utente: 1 - Critical
Descrizione: La funzione non può essere eseguita dalla sola tastiera - Non è possibile eseguire la funzione utilizzando solo la tastiera sulla stessa schermata o su una versione alternativa conforme qualificata. [Ulteriori informazioni] (https://docs.deque.com/issue-help/1.0.0/en/keyboard-inaccessible)
Esempio di violazione individuata sull'oggetto: 
https://posteinsurancebroker.poste.it/ -  con selettore: 
["body#page.pattern-circle-01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
Dettaglio + screenshot (accedere con le seguenti credenziali: user, axeposte@gmail.com; password, Poste2024!): 
Possibile metodologia risolutiva: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https://posteitaliane.sharepoint.com/:w:/r/teams/ACCESSIBILITRISULTATIVERIFICHETECNICHE/Shared%20Documents/Generale/SCHEDE_REQUISITI/9.2.1.1%20Tastiera.docx?d=w7e0af80dcc2f478eb0c964bfb973ea4e&amp;csf=1&amp;web=1&amp;e=1LDvvU</v>
      </c>
      <c r="AF182">
        <f>_xlfn.XLOOKUP(Tabella4[[#This Row],[ID Silk]],outTable[ID Silk],outTable[Numero ticket  ],,0,1)</f>
        <v>6003</v>
      </c>
    </row>
    <row r="183" spans="1:32">
      <c r="A183" s="34" t="str">
        <f>MID(Tabella4[[#This Row],[Servizio]],1,4)&amp;Tabella4[[#This Row],[UNI CEI EN 301549]]</f>
        <v>S0019.4.1.2</v>
      </c>
      <c r="B183" s="34" t="str">
        <f>Tabella4[[#This Row],[ID Silk]]&amp;"_1"</f>
        <v>S0019.4.1.2_1</v>
      </c>
      <c r="C183" s="34" t="s">
        <v>924</v>
      </c>
      <c r="D183" s="2" t="str">
        <f>"(#"&amp;Tabella4[[#This Row],['#ID]]&amp;")"</f>
        <v>(#TM0144)</v>
      </c>
      <c r="E183" s="34" t="str">
        <f>IF(MID(Tabella4[[#This Row],['#ID]],1,1)="M","Mobile",IF(MID(Tabella4[[#This Row],['#ID]],1,1)="D","Desktop",IF(MID(Tabella4[[#This Row],['#ID]],1,2)="TM","Manuale","Documenti")))</f>
        <v>Manuale</v>
      </c>
      <c r="F183" s="34" t="s">
        <v>1005</v>
      </c>
      <c r="G183" s="34" t="s">
        <v>368</v>
      </c>
      <c r="H183" s="34" t="str">
        <f>IF(Tabella4[[#This Row],[Componente]]="Documenti","10.","9.")&amp;Tabella4[[#This Row],[Criterio]]</f>
        <v>9.4.1.2</v>
      </c>
      <c r="I183" s="34" t="s">
        <v>1007</v>
      </c>
      <c r="J183" s="34" t="s">
        <v>1019</v>
      </c>
      <c r="K183" s="34" t="s">
        <v>669</v>
      </c>
      <c r="L183" s="34" t="s">
        <v>1047</v>
      </c>
      <c r="M183" s="34" t="s">
        <v>1048</v>
      </c>
      <c r="N183" t="s">
        <v>670</v>
      </c>
      <c r="O183" t="s">
        <v>671</v>
      </c>
      <c r="P183" t="s">
        <v>382</v>
      </c>
      <c r="R183" s="34" t="str">
        <f>IF(Tabella4[[#This Row],[Componente]]="Documenti",_xlfn.XLOOKUP(Tabella4[[#This Row],[URL]],Tabella27[URL],Tabella27[PDF ID],,0),_xlfn.XLOOKUP(Tabella4[[#This Row],[URL]],Tabella1[URL],Tabella1[Page ID],,0))</f>
        <v>#1</v>
      </c>
      <c r="S183" s="34" t="s">
        <v>1004</v>
      </c>
      <c r="T183" s="34" t="s">
        <v>667</v>
      </c>
      <c r="V183" t="s">
        <v>668</v>
      </c>
      <c r="W183" s="34" t="s">
        <v>1073</v>
      </c>
      <c r="X183" s="34" t="str">
        <f>IFERROR(IF(Tabella4[[#This Row],[Tool]]="lighthouse",Tabella4[[#This Row],[Detail]],MID(Tabella4[[#This Row],[Detail]],1,FIND("&gt;",Tabella4[[#This Row],[Detail]]))),Tabella4[[#This Row],[Detail]])</f>
        <v>&lt;a title="Vai alla pagina dedicata a Poste Guidare Sicuri" href="https://posteinsurancebroker.poste.it/poste-guidare-sicuri/" target="_self" class="btn btn-xs btn-default" rel="noopener noreferrer" data-activity-linkid="Scopri di pi&amp;amp;ugrave;-posteinsurancebroker-moduli-posteinsurancebroker-catalogo-prodotti-product-card-1-btn-default-posteguidaresicuri"&gt;</v>
      </c>
      <c r="Y183" s="34" t="str">
        <f>SUBSTITUTE(IF(Tabella4[[#This Row],[Tool]]="axe-core",MID(Tabella4[[#This Row],[Rejected Element]],3,LEN(Tabella4[[#This Row],[Rejected Element]])-4),Tabella4[[#This Row],[Rejected Element]]),"\","")</f>
        <v>body#page.pattern-circle-01 &gt; main#accessibility-anchor:nth-of-type(1) &gt; div#posteinsurancebroker-moduli-posteinsurancebroker-catalogo-prodotti.content.display-pop:nth-of-type(5) &gt; div.content-wrap:nth-of-type(1) &gt; div.container:nth-of-type(1) &gt; div.row.row-fix.mx-auto:nth-of-type(1) &gt; div.col-xs-12.px-0:nth-of-type(1) &gt; div.row.row-space:nth-of-type(2) &gt; div.col-sm-12:nth-of-type(1) &gt; div.panel.panel-cards.panel-cards-detailed-bg.mode-img-middle:nth-of-type(1) &gt; div.panel-wrap.cards-wrap.panel-wrap-right.ms-0:nth-of-type(2) &gt; div.panel-body:nth-of-type(1) &gt; div.cards-content:nth-of-type(1) &gt; div.row:nth-of-type(2) &gt; div.col-sm-7.col-sm-push-5.col-md-8.col-md-push-4.col-lg-9.col-lg-push-3:nth-of-type(4) &gt; div.btn-container.mt-2.clearfix:nth-of-type(1) &gt; a.btn.btn-xs.btn-default:nth-of-type(1)</v>
      </c>
      <c r="Z183" s="34">
        <f>COUNTIFS(Tabella4[Detail univoco],Tabella4[[#This Row],[Detail univoco]],Tabella4[Rejected Element Univoco],Tabella4[[#This Row],[Rejected Element Univoco]],Tabella4[ItemsNodeLabel],Tabella4[[#This Row],[ItemsNodeLabel]])</f>
        <v>0</v>
      </c>
      <c r="AA183" s="34" t="str">
        <f>IF(Tabella4[[#This Row],[Componente]]="Documenti",VLOOKUP(Tabella4[[#This Row],[URL]],Tabella27[[URL]:[Servizio]],4,FALSE),VLOOKUP(Tabella4[[#This Row],[Page ID]],Tabella1[[Page ID]:[Servizio]],4,FALSE))</f>
        <v>S001 Homepage</v>
      </c>
      <c r="AB183" s="34"/>
      <c r="AC183" s="34" t="str">
        <f>Tabella4[[#This Row],[User Impact]]</f>
        <v>1 - Critical</v>
      </c>
      <c r="AD183" s="34" t="str">
        <f>Copertina!C$2&amp;" - "&amp;Tabella4[[#This Row],[UNI CEI EN 301549]]&amp;" "&amp;VLOOKUP(Tabella4[[#This Row],[Criterio]],Tabella5[[ID]:[Criterio di successo]],2,FALSE)&amp;" - "&amp;Tabella4[[#This Row],[Servizio]]&amp;":"</f>
        <v>Insurance Brocker - 9.4.1.2 Nome, ruolo, valore - S001 Homepage:</v>
      </c>
      <c r="AE18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S001 Homepage: (#TM0144)
S001 Homepage
Requisito: WCAG 4.1.2
Disabilità afflitte: Blind;Deafblind;Mobility
Impatto Utente: 1 - Critical
Descrizione: Nome: il nome dell'elemento è mancante o errato - Il nome accessibile dell'elemento è mancante o non è appropriato per lo scopo dell'elemento. [Ulteriori informazioni] (https://docs.deque.com/issue-help/1.0.0/en/aria-name-missing-incorrect)
Esempio di violazione individuata sull'oggetto: 
https://posteinsurancebroker.poste.it/ - &lt;a title="Vai alla pagina dedicata a Poste Guidare Sicuri" href="https://posteinsurancebroker.poste.it/poste-guidare-sicuri/" target="_self" class="btn btn-xs btn-default" rel="noopener noreferrer" data-activity-linkid="Scopri di pi&amp;amp;ugrave;-posteinsurancebroker-moduli-posteinsurancebroker-catalogo-prodotti-product-card-1-btn-default-posteguidaresicuri"&gt; con selettore: 
["body#page.pattern-circle-01 &gt; main#accessibility-anchor:nth-of-type(1) &gt; div#posteinsurancebroker-moduli-posteinsurancebroker-catalogo-prodotti.content.display-pop:nth-of-type(5) &gt; div.content-wrap:nth-of-type(1) &gt; div.container:nth-of-type(1) &gt; div.row.row-fix.mx-auto:nth-of-type(1) &gt; div.col-xs-12.px-0:nth-of-type(1) &gt; div.row.row-space:nth-of-type(2) &gt; div.col-sm-12:nth-of-type(1) &gt; div.panel.panel-cards.panel-cards-detailed-bg.mode-img-middle:nth-of-type(1) &gt; div.panel-wrap.cards-wrap.panel-wrap-right.ms-0:nth-of-type(2) &gt; div.panel-body:nth-of-type(1) &gt; div.cards-content:nth-of-type(1) &gt; div.row:nth-of-type(2) &gt; div.col-sm-7.col-sm-push-5.col-md-8.col-md-push-4.col-lg-9.col-lg-push-3:nth-of-type(4) &gt; div.btn-container.mt-2.clearfix:nth-of-type(1) &gt; a.btn.btn-xs.btn-default:nth-of-type(1)"]
Dettaglio + screenshot (accedere con le seguenti credenziali: user, axeposte@gmail.com; password, Poste2024!): 
Possibile metodologia risolutiva:
Il nome accessibile dell'elemento non è presente o non è appropriato per lo scopo dell'elemento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83">
        <f>_xlfn.XLOOKUP(Tabella4[[#This Row],[ID Silk]],outTable[ID Silk],outTable[Numero ticket  ],,0,1)</f>
        <v>6009</v>
      </c>
    </row>
    <row r="184" spans="1:32">
      <c r="A184" s="34" t="str">
        <f>MID(Tabella4[[#This Row],[Servizio]],1,4)&amp;Tabella4[[#This Row],[UNI CEI EN 301549]]</f>
        <v>S0019.1.3.1</v>
      </c>
      <c r="B184" s="34" t="str">
        <f>Tabella4[[#This Row],[ID Silk]]&amp;"_1"</f>
        <v>S0019.1.3.1_1</v>
      </c>
      <c r="C184" s="34" t="s">
        <v>925</v>
      </c>
      <c r="D184" s="2" t="str">
        <f>"(#"&amp;Tabella4[[#This Row],['#ID]]&amp;")"</f>
        <v>(#TM0145)</v>
      </c>
      <c r="E184" s="34" t="str">
        <f>IF(MID(Tabella4[[#This Row],['#ID]],1,1)="M","Mobile",IF(MID(Tabella4[[#This Row],['#ID]],1,1)="D","Desktop",IF(MID(Tabella4[[#This Row],['#ID]],1,2)="TM","Manuale","Documenti")))</f>
        <v>Manuale</v>
      </c>
      <c r="F184" s="34" t="s">
        <v>1005</v>
      </c>
      <c r="G184" s="34" t="s">
        <v>184</v>
      </c>
      <c r="H184" s="34" t="str">
        <f>IF(Tabella4[[#This Row],[Componente]]="Documenti","10.","9.")&amp;Tabella4[[#This Row],[Criterio]]</f>
        <v>9.1.3.1</v>
      </c>
      <c r="I184" s="34" t="s">
        <v>1023</v>
      </c>
      <c r="J184" s="34" t="s">
        <v>1008</v>
      </c>
      <c r="K184" s="34" t="s">
        <v>674</v>
      </c>
      <c r="L184" s="34" t="s">
        <v>1049</v>
      </c>
      <c r="M184" s="34" t="s">
        <v>1050</v>
      </c>
      <c r="N184" t="s">
        <v>675</v>
      </c>
      <c r="O184" t="s">
        <v>482</v>
      </c>
      <c r="P184" t="s">
        <v>382</v>
      </c>
      <c r="R184" s="34" t="str">
        <f>IF(Tabella4[[#This Row],[Componente]]="Documenti",_xlfn.XLOOKUP(Tabella4[[#This Row],[URL]],Tabella27[URL],Tabella27[PDF ID],,0),_xlfn.XLOOKUP(Tabella4[[#This Row],[URL]],Tabella1[URL],Tabella1[Page ID],,0))</f>
        <v>#1</v>
      </c>
      <c r="S184" s="34" t="s">
        <v>1004</v>
      </c>
      <c r="T184" s="34" t="s">
        <v>672</v>
      </c>
      <c r="V184" t="s">
        <v>673</v>
      </c>
      <c r="W184" s="34" t="s">
        <v>1074</v>
      </c>
      <c r="X184" s="34" t="str">
        <f>IFERROR(IF(Tabella4[[#This Row],[Tool]]="lighthouse",Tabella4[[#This Row],[Detail]],MID(Tabella4[[#This Row],[Detail]],1,FIND("&gt;",Tabella4[[#This Row],[Detail]]))),Tabella4[[#This Row],[Detail]])</f>
        <v/>
      </c>
      <c r="Y184" s="34" t="str">
        <f>SUBSTITUTE(IF(Tabella4[[#This Row],[Tool]]="axe-core",MID(Tabella4[[#This Row],[Rejected Element]],3,LEN(Tabella4[[#This Row],[Rejected Element]])-4),Tabella4[[#This Row],[Rejected Element]]),"\","")</f>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span.h6.block:nth-of-type(1)</v>
      </c>
      <c r="Z184" s="34">
        <f>COUNTIFS(Tabella4[Detail univoco],Tabella4[[#This Row],[Detail univoco]],Tabella4[Rejected Element Univoco],Tabella4[[#This Row],[Rejected Element Univoco]],Tabella4[ItemsNodeLabel],Tabella4[[#This Row],[ItemsNodeLabel]])</f>
        <v>0</v>
      </c>
      <c r="AA184" s="34" t="str">
        <f>IF(Tabella4[[#This Row],[Componente]]="Documenti",VLOOKUP(Tabella4[[#This Row],[URL]],Tabella27[[URL]:[Servizio]],4,FALSE),VLOOKUP(Tabella4[[#This Row],[Page ID]],Tabella1[[Page ID]:[Servizio]],4,FALSE))</f>
        <v>S001 Homepage</v>
      </c>
      <c r="AB184" s="34"/>
      <c r="AC184" s="34" t="str">
        <f>Tabella4[[#This Row],[User Impact]]</f>
        <v>2 - Serious</v>
      </c>
      <c r="AD184" s="34" t="str">
        <f>Copertina!C$2&amp;" - "&amp;Tabella4[[#This Row],[UNI CEI EN 301549]]&amp;" "&amp;VLOOKUP(Tabella4[[#This Row],[Criterio]],Tabella5[[ID]:[Criterio di successo]],2,FALSE)&amp;" - "&amp;Tabella4[[#This Row],[Servizio]]&amp;":"</f>
        <v>Insurance Brocker - 9.1.3.1 Informazioni e correlazioni - S001 Homepage:</v>
      </c>
      <c r="AE18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S001 Homepage: (#TM0145)
S001 Homepage
Requisito: WCAG 1.3.1
Disabilità afflitte: Blind;Deafblind
Impatto Utente: 2 - Serious
Descrizione: Il testo dell'intestazione visiva non è contrassegnato come intestazione - Il testo viene visualizzato e funziona come un'intestazione di sezione, ma non viene contrassegnato come tale. [Ulteriori informazioni] (https://docs.deque.com/issue-help/1.0.0/en/semantic-heading)
Esempio di violazione individuata sull'oggetto: 
https://posteinsurancebroker.poste.it/ -  con selettore: 
["body#page.pattern-circle-01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span.h6.block:nth-of-type(1)"]
Dettaglio + screenshot (accedere con le seguenti credenziali: user, axeposte@gmail.com; password, Poste2024!): 
Possibile metodologia risolutiva:
Il testo che agisce come intestazione visivamente o strutturalmente DOVREBBE essere designato come una intestazione nel markup (h1,h2,...).
Possibile soluzione:
Assicurarsi che il testo che funge da intestazione visiva sia marcato con i tag appropriati di intestazione HTML, come `&lt;h1&gt;`, `&lt;h2&gt;`, ecc. Questo aiuta a definire chiaramente la struttura della pagina per i lettori di schermo.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184">
        <f>_xlfn.XLOOKUP(Tabella4[[#This Row],[ID Silk]],outTable[ID Silk],outTable[Numero ticket  ],,0,1)</f>
        <v>6001</v>
      </c>
    </row>
    <row r="185" spans="1:32">
      <c r="A185" s="34" t="str">
        <f>MID(Tabella4[[#This Row],[Servizio]],1,4)&amp;Tabella4[[#This Row],[UNI CEI EN 301549]]</f>
        <v>S0019.1.3.1</v>
      </c>
      <c r="B185" s="34" t="str">
        <f>Tabella4[[#This Row],[ID Silk]]&amp;"_1"</f>
        <v>S0019.1.3.1_1</v>
      </c>
      <c r="C185" s="34" t="s">
        <v>926</v>
      </c>
      <c r="D185" s="2" t="str">
        <f>"(#"&amp;Tabella4[[#This Row],['#ID]]&amp;")"</f>
        <v>(#TM0146)</v>
      </c>
      <c r="E185" s="34" t="str">
        <f>IF(MID(Tabella4[[#This Row],['#ID]],1,1)="M","Mobile",IF(MID(Tabella4[[#This Row],['#ID]],1,1)="D","Desktop",IF(MID(Tabella4[[#This Row],['#ID]],1,2)="TM","Manuale","Documenti")))</f>
        <v>Manuale</v>
      </c>
      <c r="F185" s="34" t="s">
        <v>1005</v>
      </c>
      <c r="G185" s="34" t="s">
        <v>184</v>
      </c>
      <c r="H185" s="34" t="str">
        <f>IF(Tabella4[[#This Row],[Componente]]="Documenti","10.","9.")&amp;Tabella4[[#This Row],[Criterio]]</f>
        <v>9.1.3.1</v>
      </c>
      <c r="I185" s="34" t="s">
        <v>1023</v>
      </c>
      <c r="J185" s="34" t="s">
        <v>1008</v>
      </c>
      <c r="K185" s="34" t="s">
        <v>674</v>
      </c>
      <c r="L185" s="34" t="s">
        <v>1049</v>
      </c>
      <c r="M185" s="34" t="s">
        <v>1050</v>
      </c>
      <c r="N185" t="s">
        <v>676</v>
      </c>
      <c r="O185" t="s">
        <v>482</v>
      </c>
      <c r="P185" t="s">
        <v>382</v>
      </c>
      <c r="R185" s="34" t="str">
        <f>IF(Tabella4[[#This Row],[Componente]]="Documenti",_xlfn.XLOOKUP(Tabella4[[#This Row],[URL]],Tabella27[URL],Tabella27[PDF ID],,0),_xlfn.XLOOKUP(Tabella4[[#This Row],[URL]],Tabella1[URL],Tabella1[Page ID],,0))</f>
        <v>#1</v>
      </c>
      <c r="S185" s="34" t="s">
        <v>1004</v>
      </c>
      <c r="T185" s="34" t="s">
        <v>672</v>
      </c>
      <c r="V185" t="s">
        <v>673</v>
      </c>
      <c r="W185" s="34" t="s">
        <v>1074</v>
      </c>
      <c r="X185" s="34" t="str">
        <f>IFERROR(IF(Tabella4[[#This Row],[Tool]]="lighthouse",Tabella4[[#This Row],[Detail]],MID(Tabella4[[#This Row],[Detail]],1,FIND("&gt;",Tabella4[[#This Row],[Detail]]))),Tabella4[[#This Row],[Detail]])</f>
        <v/>
      </c>
      <c r="Y185" s="34" t="str">
        <f>SUBSTITUTE(IF(Tabella4[[#This Row],[Tool]]="axe-core",MID(Tabella4[[#This Row],[Rejected Element]],3,LEN(Tabella4[[#This Row],[Rejected Element]])-4),Tabella4[[#This Row],[Rejected Element]]),"\","")</f>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span.h6.block:nth-of-type(2)</v>
      </c>
      <c r="Z185" s="34">
        <f>COUNTIFS(Tabella4[Detail univoco],Tabella4[[#This Row],[Detail univoco]],Tabella4[Rejected Element Univoco],Tabella4[[#This Row],[Rejected Element Univoco]],Tabella4[ItemsNodeLabel],Tabella4[[#This Row],[ItemsNodeLabel]])</f>
        <v>0</v>
      </c>
      <c r="AA185" s="34" t="str">
        <f>IF(Tabella4[[#This Row],[Componente]]="Documenti",VLOOKUP(Tabella4[[#This Row],[URL]],Tabella27[[URL]:[Servizio]],4,FALSE),VLOOKUP(Tabella4[[#This Row],[Page ID]],Tabella1[[Page ID]:[Servizio]],4,FALSE))</f>
        <v>S001 Homepage</v>
      </c>
      <c r="AB185" s="34"/>
      <c r="AC185" s="34" t="str">
        <f>Tabella4[[#This Row],[User Impact]]</f>
        <v>2 - Serious</v>
      </c>
      <c r="AD185" s="34" t="str">
        <f>Copertina!C$2&amp;" - "&amp;Tabella4[[#This Row],[UNI CEI EN 301549]]&amp;" "&amp;VLOOKUP(Tabella4[[#This Row],[Criterio]],Tabella5[[ID]:[Criterio di successo]],2,FALSE)&amp;" - "&amp;Tabella4[[#This Row],[Servizio]]&amp;":"</f>
        <v>Insurance Brocker - 9.1.3.1 Informazioni e correlazioni - S001 Homepage:</v>
      </c>
      <c r="AE18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S001 Homepage: (#TM0146)
S001 Homepage
Requisito: WCAG 1.3.1
Disabilità afflitte: Blind;Deafblind
Impatto Utente: 2 - Serious
Descrizione: Il testo dell'intestazione visiva non è contrassegnato come intestazione - Il testo viene visualizzato e funziona come un'intestazione di sezione, ma non viene contrassegnato come tale. [Ulteriori informazioni] (https://docs.deque.com/issue-help/1.0.0/en/semantic-heading)
Esempio di violazione individuata sull'oggetto: 
https://posteinsurancebroker.poste.it/ -  con selettore: 
["body#page.pattern-circle-01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span.h6.block:nth-of-type(2)"]
Dettaglio + screenshot (accedere con le seguenti credenziali: user, axeposte@gmail.com; password, Poste2024!): 
Possibile metodologia risolutiva:
Il testo che agisce come intestazione visivamente o strutturalmente DOVREBBE essere designato come una intestazione nel markup (h1,h2,...).
Possibile soluzione:
Assicurarsi che il testo che funge da intestazione visiva sia marcato con i tag appropriati di intestazione HTML, come `&lt;h1&gt;`, `&lt;h2&gt;`, ecc. Questo aiuta a definire chiaramente la struttura della pagina per i lettori di schermo.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185">
        <f>_xlfn.XLOOKUP(Tabella4[[#This Row],[ID Silk]],outTable[ID Silk],outTable[Numero ticket  ],,0,1)</f>
        <v>6001</v>
      </c>
    </row>
    <row r="186" spans="1:32">
      <c r="A186" s="34" t="str">
        <f>MID(Tabella4[[#This Row],[Servizio]],1,4)&amp;Tabella4[[#This Row],[UNI CEI EN 301549]]</f>
        <v>S0019.1.3.1</v>
      </c>
      <c r="B186" s="34" t="str">
        <f>Tabella4[[#This Row],[ID Silk]]&amp;"_1"</f>
        <v>S0019.1.3.1_1</v>
      </c>
      <c r="C186" s="34" t="s">
        <v>927</v>
      </c>
      <c r="D186" s="2" t="str">
        <f>"(#"&amp;Tabella4[[#This Row],['#ID]]&amp;")"</f>
        <v>(#TM0147)</v>
      </c>
      <c r="E186" s="34" t="str">
        <f>IF(MID(Tabella4[[#This Row],['#ID]],1,1)="M","Mobile",IF(MID(Tabella4[[#This Row],['#ID]],1,1)="D","Desktop",IF(MID(Tabella4[[#This Row],['#ID]],1,2)="TM","Manuale","Documenti")))</f>
        <v>Manuale</v>
      </c>
      <c r="F186" s="34" t="s">
        <v>1005</v>
      </c>
      <c r="G186" s="34" t="s">
        <v>184</v>
      </c>
      <c r="H186" s="34" t="str">
        <f>IF(Tabella4[[#This Row],[Componente]]="Documenti","10.","9.")&amp;Tabella4[[#This Row],[Criterio]]</f>
        <v>9.1.3.1</v>
      </c>
      <c r="I186" s="34" t="s">
        <v>1023</v>
      </c>
      <c r="J186" s="34" t="s">
        <v>1008</v>
      </c>
      <c r="K186" s="34" t="s">
        <v>674</v>
      </c>
      <c r="L186" s="34" t="s">
        <v>1049</v>
      </c>
      <c r="M186" s="34" t="s">
        <v>1050</v>
      </c>
      <c r="N186" t="s">
        <v>677</v>
      </c>
      <c r="O186" t="s">
        <v>482</v>
      </c>
      <c r="P186" t="s">
        <v>382</v>
      </c>
      <c r="R186" s="34" t="str">
        <f>IF(Tabella4[[#This Row],[Componente]]="Documenti",_xlfn.XLOOKUP(Tabella4[[#This Row],[URL]],Tabella27[URL],Tabella27[PDF ID],,0),_xlfn.XLOOKUP(Tabella4[[#This Row],[URL]],Tabella1[URL],Tabella1[Page ID],,0))</f>
        <v>#1</v>
      </c>
      <c r="S186" s="34" t="s">
        <v>1004</v>
      </c>
      <c r="T186" s="34" t="s">
        <v>672</v>
      </c>
      <c r="V186" t="s">
        <v>673</v>
      </c>
      <c r="W186" s="34" t="s">
        <v>1074</v>
      </c>
      <c r="X186" s="34" t="str">
        <f>IFERROR(IF(Tabella4[[#This Row],[Tool]]="lighthouse",Tabella4[[#This Row],[Detail]],MID(Tabella4[[#This Row],[Detail]],1,FIND("&gt;",Tabella4[[#This Row],[Detail]]))),Tabella4[[#This Row],[Detail]])</f>
        <v/>
      </c>
      <c r="Y186" s="34" t="str">
        <f>SUBSTITUTE(IF(Tabella4[[#This Row],[Tool]]="axe-core",MID(Tabella4[[#This Row],[Rejected Element]],3,LEN(Tabella4[[#This Row],[Rejected Element]])-4),Tabella4[[#This Row],[Rejected Element]]),"\","")</f>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div.col-sm-4:nth-of-type(2) &gt; span.h6.block:nth-of-type(1)</v>
      </c>
      <c r="Z186" s="34">
        <f>COUNTIFS(Tabella4[Detail univoco],Tabella4[[#This Row],[Detail univoco]],Tabella4[Rejected Element Univoco],Tabella4[[#This Row],[Rejected Element Univoco]],Tabella4[ItemsNodeLabel],Tabella4[[#This Row],[ItemsNodeLabel]])</f>
        <v>0</v>
      </c>
      <c r="AA186" s="34" t="str">
        <f>IF(Tabella4[[#This Row],[Componente]]="Documenti",VLOOKUP(Tabella4[[#This Row],[URL]],Tabella27[[URL]:[Servizio]],4,FALSE),VLOOKUP(Tabella4[[#This Row],[Page ID]],Tabella1[[Page ID]:[Servizio]],4,FALSE))</f>
        <v>S001 Homepage</v>
      </c>
      <c r="AB186" s="34"/>
      <c r="AC186" s="34" t="str">
        <f>Tabella4[[#This Row],[User Impact]]</f>
        <v>2 - Serious</v>
      </c>
      <c r="AD186" s="34" t="str">
        <f>Copertina!C$2&amp;" - "&amp;Tabella4[[#This Row],[UNI CEI EN 301549]]&amp;" "&amp;VLOOKUP(Tabella4[[#This Row],[Criterio]],Tabella5[[ID]:[Criterio di successo]],2,FALSE)&amp;" - "&amp;Tabella4[[#This Row],[Servizio]]&amp;":"</f>
        <v>Insurance Brocker - 9.1.3.1 Informazioni e correlazioni - S001 Homepage:</v>
      </c>
      <c r="AE18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S001 Homepage: (#TM0147)
S001 Homepage
Requisito: WCAG 1.3.1
Disabilità afflitte: Blind;Deafblind
Impatto Utente: 2 - Serious
Descrizione: Il testo dell'intestazione visiva non è contrassegnato come intestazione - Il testo viene visualizzato e funziona come un'intestazione di sezione, ma non viene contrassegnato come tale. [Ulteriori informazioni] (https://docs.deque.com/issue-help/1.0.0/en/semantic-heading)
Esempio di violazione individuata sull'oggetto: 
https://posteinsurancebroker.poste.it/ -  con selettore: 
["body#page.pattern-circle-01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div.col-sm-4:nth-of-type(2) &gt; span.h6.block:nth-of-type(1)"]
Dettaglio + screenshot (accedere con le seguenti credenziali: user, axeposte@gmail.com; password, Poste2024!): 
Possibile metodologia risolutiva:
Il testo che agisce come intestazione visivamente o strutturalmente DOVREBBE essere designato come una intestazione nel markup (h1,h2,...).
Possibile soluzione:
Assicurarsi che il testo che funge da intestazione visiva sia marcato con i tag appropriati di intestazione HTML, come `&lt;h1&gt;`, `&lt;h2&gt;`, ecc. Questo aiuta a definire chiaramente la struttura della pagina per i lettori di schermo.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186">
        <f>_xlfn.XLOOKUP(Tabella4[[#This Row],[ID Silk]],outTable[ID Silk],outTable[Numero ticket  ],,0,1)</f>
        <v>6001</v>
      </c>
    </row>
    <row r="187" spans="1:32">
      <c r="A187" s="34" t="str">
        <f>MID(Tabella4[[#This Row],[Servizio]],1,4)&amp;Tabella4[[#This Row],[UNI CEI EN 301549]]</f>
        <v>S0019.1.3.1</v>
      </c>
      <c r="B187" s="34" t="str">
        <f>Tabella4[[#This Row],[ID Silk]]&amp;"_1"</f>
        <v>S0019.1.3.1_1</v>
      </c>
      <c r="C187" s="34" t="s">
        <v>928</v>
      </c>
      <c r="D187" s="2" t="str">
        <f>"(#"&amp;Tabella4[[#This Row],['#ID]]&amp;")"</f>
        <v>(#TM0148)</v>
      </c>
      <c r="E187" s="34" t="str">
        <f>IF(MID(Tabella4[[#This Row],['#ID]],1,1)="M","Mobile",IF(MID(Tabella4[[#This Row],['#ID]],1,1)="D","Desktop",IF(MID(Tabella4[[#This Row],['#ID]],1,2)="TM","Manuale","Documenti")))</f>
        <v>Manuale</v>
      </c>
      <c r="F187" s="34" t="s">
        <v>1005</v>
      </c>
      <c r="G187" s="34" t="s">
        <v>184</v>
      </c>
      <c r="H187" s="34" t="str">
        <f>IF(Tabella4[[#This Row],[Componente]]="Documenti","10.","9.")&amp;Tabella4[[#This Row],[Criterio]]</f>
        <v>9.1.3.1</v>
      </c>
      <c r="I187" s="34" t="s">
        <v>1023</v>
      </c>
      <c r="J187" s="34" t="s">
        <v>1008</v>
      </c>
      <c r="K187" s="34" t="s">
        <v>674</v>
      </c>
      <c r="L187" s="34" t="s">
        <v>1049</v>
      </c>
      <c r="M187" s="34" t="s">
        <v>1050</v>
      </c>
      <c r="N187" t="s">
        <v>678</v>
      </c>
      <c r="O187" t="s">
        <v>482</v>
      </c>
      <c r="P187" t="s">
        <v>382</v>
      </c>
      <c r="R187" s="34" t="str">
        <f>IF(Tabella4[[#This Row],[Componente]]="Documenti",_xlfn.XLOOKUP(Tabella4[[#This Row],[URL]],Tabella27[URL],Tabella27[PDF ID],,0),_xlfn.XLOOKUP(Tabella4[[#This Row],[URL]],Tabella1[URL],Tabella1[Page ID],,0))</f>
        <v>#1</v>
      </c>
      <c r="S187" s="34" t="s">
        <v>1004</v>
      </c>
      <c r="T187" s="34" t="s">
        <v>672</v>
      </c>
      <c r="V187" t="s">
        <v>673</v>
      </c>
      <c r="W187" s="34" t="s">
        <v>1074</v>
      </c>
      <c r="X187" s="34" t="str">
        <f>IFERROR(IF(Tabella4[[#This Row],[Tool]]="lighthouse",Tabella4[[#This Row],[Detail]],MID(Tabella4[[#This Row],[Detail]],1,FIND("&gt;",Tabella4[[#This Row],[Detail]]))),Tabella4[[#This Row],[Detail]])</f>
        <v/>
      </c>
      <c r="Y187" s="34" t="str">
        <f>SUBSTITUTE(IF(Tabella4[[#This Row],[Tool]]="axe-core",MID(Tabella4[[#This Row],[Rejected Element]],3,LEN(Tabella4[[#This Row],[Rejected Element]])-4),Tabella4[[#This Row],[Rejected Element]]),"\","")</f>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span.h6.block:nth-of-type(1)</v>
      </c>
      <c r="Z187" s="34">
        <f>COUNTIFS(Tabella4[Detail univoco],Tabella4[[#This Row],[Detail univoco]],Tabella4[Rejected Element Univoco],Tabella4[[#This Row],[Rejected Element Univoco]],Tabella4[ItemsNodeLabel],Tabella4[[#This Row],[ItemsNodeLabel]])</f>
        <v>0</v>
      </c>
      <c r="AA187" s="34" t="str">
        <f>IF(Tabella4[[#This Row],[Componente]]="Documenti",VLOOKUP(Tabella4[[#This Row],[URL]],Tabella27[[URL]:[Servizio]],4,FALSE),VLOOKUP(Tabella4[[#This Row],[Page ID]],Tabella1[[Page ID]:[Servizio]],4,FALSE))</f>
        <v>S001 Homepage</v>
      </c>
      <c r="AB187" s="34"/>
      <c r="AC187" s="34" t="str">
        <f>Tabella4[[#This Row],[User Impact]]</f>
        <v>2 - Serious</v>
      </c>
      <c r="AD187" s="34" t="str">
        <f>Copertina!C$2&amp;" - "&amp;Tabella4[[#This Row],[UNI CEI EN 301549]]&amp;" "&amp;VLOOKUP(Tabella4[[#This Row],[Criterio]],Tabella5[[ID]:[Criterio di successo]],2,FALSE)&amp;" - "&amp;Tabella4[[#This Row],[Servizio]]&amp;":"</f>
        <v>Insurance Brocker - 9.1.3.1 Informazioni e correlazioni - S001 Homepage:</v>
      </c>
      <c r="AE18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S001 Homepage: (#TM0148)
S001 Homepage
Requisito: WCAG 1.3.1
Disabilità afflitte: Blind;Deafblind
Impatto Utente: 2 - Serious
Descrizione: Il testo dell'intestazione visiva non è contrassegnato come intestazione - Il testo viene visualizzato e funziona come un'intestazione di sezione, ma non viene contrassegnato come tale. [Ulteriori informazioni] (https://docs.deque.com/issue-help/1.0.0/en/semantic-heading)
Esempio di violazione individuata sull'oggetto: 
https://posteinsurancebroker.poste.it/ -  con selettore: 
["body#page.pattern-circle-01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span.h6.block:nth-of-type(1)"]
Dettaglio + screenshot (accedere con le seguenti credenziali: user, axeposte@gmail.com; password, Poste2024!): 
Possibile metodologia risolutiva:
Il testo che agisce come intestazione visivamente o strutturalmente DOVREBBE essere designato come una intestazione nel markup (h1,h2,...).
Possibile soluzione:
Assicurarsi che il testo che funge da intestazione visiva sia marcato con i tag appropriati di intestazione HTML, come `&lt;h1&gt;`, `&lt;h2&gt;`, ecc. Questo aiuta a definire chiaramente la struttura della pagina per i lettori di schermo.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187">
        <f>_xlfn.XLOOKUP(Tabella4[[#This Row],[ID Silk]],outTable[ID Silk],outTable[Numero ticket  ],,0,1)</f>
        <v>6001</v>
      </c>
    </row>
    <row r="188" spans="1:32">
      <c r="A188" s="34" t="str">
        <f>MID(Tabella4[[#This Row],[Servizio]],1,4)&amp;Tabella4[[#This Row],[UNI CEI EN 301549]]</f>
        <v>S0019.1.3.1</v>
      </c>
      <c r="B188" s="34" t="str">
        <f>Tabella4[[#This Row],[ID Silk]]&amp;"_1"</f>
        <v>S0019.1.3.1_1</v>
      </c>
      <c r="C188" s="34" t="s">
        <v>929</v>
      </c>
      <c r="D188" s="2" t="str">
        <f>"(#"&amp;Tabella4[[#This Row],['#ID]]&amp;")"</f>
        <v>(#TM0149)</v>
      </c>
      <c r="E188" s="34" t="str">
        <f>IF(MID(Tabella4[[#This Row],['#ID]],1,1)="M","Mobile",IF(MID(Tabella4[[#This Row],['#ID]],1,1)="D","Desktop",IF(MID(Tabella4[[#This Row],['#ID]],1,2)="TM","Manuale","Documenti")))</f>
        <v>Manuale</v>
      </c>
      <c r="F188" s="34" t="s">
        <v>1005</v>
      </c>
      <c r="G188" s="34" t="s">
        <v>184</v>
      </c>
      <c r="H188" s="34" t="str">
        <f>IF(Tabella4[[#This Row],[Componente]]="Documenti","10.","9.")&amp;Tabella4[[#This Row],[Criterio]]</f>
        <v>9.1.3.1</v>
      </c>
      <c r="I188" s="34" t="s">
        <v>1023</v>
      </c>
      <c r="J188" s="34" t="s">
        <v>1008</v>
      </c>
      <c r="K188" s="34" t="s">
        <v>674</v>
      </c>
      <c r="L188" s="34" t="s">
        <v>1049</v>
      </c>
      <c r="M188" s="34" t="s">
        <v>1050</v>
      </c>
      <c r="N188" t="s">
        <v>679</v>
      </c>
      <c r="O188" t="s">
        <v>482</v>
      </c>
      <c r="P188" t="s">
        <v>382</v>
      </c>
      <c r="R188" s="34" t="str">
        <f>IF(Tabella4[[#This Row],[Componente]]="Documenti",_xlfn.XLOOKUP(Tabella4[[#This Row],[URL]],Tabella27[URL],Tabella27[PDF ID],,0),_xlfn.XLOOKUP(Tabella4[[#This Row],[URL]],Tabella1[URL],Tabella1[Page ID],,0))</f>
        <v>#1</v>
      </c>
      <c r="S188" s="34" t="s">
        <v>1004</v>
      </c>
      <c r="T188" s="34" t="s">
        <v>672</v>
      </c>
      <c r="V188" t="s">
        <v>673</v>
      </c>
      <c r="W188" s="34" t="s">
        <v>1074</v>
      </c>
      <c r="X188" s="34" t="str">
        <f>IFERROR(IF(Tabella4[[#This Row],[Tool]]="lighthouse",Tabella4[[#This Row],[Detail]],MID(Tabella4[[#This Row],[Detail]],1,FIND("&gt;",Tabella4[[#This Row],[Detail]]))),Tabella4[[#This Row],[Detail]])</f>
        <v/>
      </c>
      <c r="Y188" s="34" t="str">
        <f>SUBSTITUTE(IF(Tabella4[[#This Row],[Tool]]="axe-core",MID(Tabella4[[#This Row],[Rejected Element]],3,LEN(Tabella4[[#This Row],[Rejected Element]])-4),Tabella4[[#This Row],[Rejected Element]]),"\","")</f>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span.h6.block:nth-of-type(2)</v>
      </c>
      <c r="Z188" s="34">
        <f>COUNTIFS(Tabella4[Detail univoco],Tabella4[[#This Row],[Detail univoco]],Tabella4[Rejected Element Univoco],Tabella4[[#This Row],[Rejected Element Univoco]],Tabella4[ItemsNodeLabel],Tabella4[[#This Row],[ItemsNodeLabel]])</f>
        <v>0</v>
      </c>
      <c r="AA188" s="34" t="str">
        <f>IF(Tabella4[[#This Row],[Componente]]="Documenti",VLOOKUP(Tabella4[[#This Row],[URL]],Tabella27[[URL]:[Servizio]],4,FALSE),VLOOKUP(Tabella4[[#This Row],[Page ID]],Tabella1[[Page ID]:[Servizio]],4,FALSE))</f>
        <v>S001 Homepage</v>
      </c>
      <c r="AB188" s="34"/>
      <c r="AC188" s="34" t="str">
        <f>Tabella4[[#This Row],[User Impact]]</f>
        <v>2 - Serious</v>
      </c>
      <c r="AD188" s="34" t="str">
        <f>Copertina!C$2&amp;" - "&amp;Tabella4[[#This Row],[UNI CEI EN 301549]]&amp;" "&amp;VLOOKUP(Tabella4[[#This Row],[Criterio]],Tabella5[[ID]:[Criterio di successo]],2,FALSE)&amp;" - "&amp;Tabella4[[#This Row],[Servizio]]&amp;":"</f>
        <v>Insurance Brocker - 9.1.3.1 Informazioni e correlazioni - S001 Homepage:</v>
      </c>
      <c r="AE18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S001 Homepage: (#TM0149)
S001 Homepage
Requisito: WCAG 1.3.1
Disabilità afflitte: Blind;Deafblind
Impatto Utente: 2 - Serious
Descrizione: Il testo dell'intestazione visiva non è contrassegnato come intestazione - Il testo viene visualizzato e funziona come un'intestazione di sezione, ma non viene contrassegnato come tale. [Ulteriori informazioni] (https://docs.deque.com/issue-help/1.0.0/en/semantic-heading)
Esempio di violazione individuata sull'oggetto: 
https://posteinsurancebroker.poste.it/ -  con selettore: 
["body#page.pattern-circle-01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span.h6.block:nth-of-type(2)"]
Dettaglio + screenshot (accedere con le seguenti credenziali: user, axeposte@gmail.com; password, Poste2024!): 
Possibile metodologia risolutiva:
Il testo che agisce come intestazione visivamente o strutturalmente DOVREBBE essere designato come una intestazione nel markup (h1,h2,...).
Possibile soluzione:
Assicurarsi che il testo che funge da intestazione visiva sia marcato con i tag appropriati di intestazione HTML, come `&lt;h1&gt;`, `&lt;h2&gt;`, ecc. Questo aiuta a definire chiaramente la struttura della pagina per i lettori di schermo.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188">
        <f>_xlfn.XLOOKUP(Tabella4[[#This Row],[ID Silk]],outTable[ID Silk],outTable[Numero ticket  ],,0,1)</f>
        <v>6001</v>
      </c>
    </row>
    <row r="189" spans="1:32">
      <c r="A189" s="34" t="str">
        <f>MID(Tabella4[[#This Row],[Servizio]],1,4)&amp;Tabella4[[#This Row],[UNI CEI EN 301549]]</f>
        <v>S0019.1.3.1</v>
      </c>
      <c r="B189" s="34" t="str">
        <f>Tabella4[[#This Row],[ID Silk]]&amp;"_1"</f>
        <v>S0019.1.3.1_1</v>
      </c>
      <c r="C189" s="34" t="s">
        <v>930</v>
      </c>
      <c r="D189" s="2" t="str">
        <f>"(#"&amp;Tabella4[[#This Row],['#ID]]&amp;")"</f>
        <v>(#TM0150)</v>
      </c>
      <c r="E189" s="34" t="str">
        <f>IF(MID(Tabella4[[#This Row],['#ID]],1,1)="M","Mobile",IF(MID(Tabella4[[#This Row],['#ID]],1,1)="D","Desktop",IF(MID(Tabella4[[#This Row],['#ID]],1,2)="TM","Manuale","Documenti")))</f>
        <v>Manuale</v>
      </c>
      <c r="F189" s="34" t="s">
        <v>1005</v>
      </c>
      <c r="G189" s="34" t="s">
        <v>184</v>
      </c>
      <c r="H189" s="34" t="str">
        <f>IF(Tabella4[[#This Row],[Componente]]="Documenti","10.","9.")&amp;Tabella4[[#This Row],[Criterio]]</f>
        <v>9.1.3.1</v>
      </c>
      <c r="I189" s="34" t="s">
        <v>1036</v>
      </c>
      <c r="J189" s="34" t="s">
        <v>1008</v>
      </c>
      <c r="K189" s="34" t="s">
        <v>558</v>
      </c>
      <c r="L189" s="34" t="s">
        <v>1040</v>
      </c>
      <c r="M189" s="34" t="s">
        <v>1041</v>
      </c>
      <c r="N189" t="s">
        <v>680</v>
      </c>
      <c r="O189" t="s">
        <v>560</v>
      </c>
      <c r="P189" t="s">
        <v>382</v>
      </c>
      <c r="R189" s="34" t="str">
        <f>IF(Tabella4[[#This Row],[Componente]]="Documenti",_xlfn.XLOOKUP(Tabella4[[#This Row],[URL]],Tabella27[URL],Tabella27[PDF ID],,0),_xlfn.XLOOKUP(Tabella4[[#This Row],[URL]],Tabella1[URL],Tabella1[Page ID],,0))</f>
        <v>#1</v>
      </c>
      <c r="S189" s="34" t="s">
        <v>1004</v>
      </c>
      <c r="T189" s="34" t="s">
        <v>556</v>
      </c>
      <c r="V189" t="s">
        <v>557</v>
      </c>
      <c r="W189" s="34" t="s">
        <v>1070</v>
      </c>
      <c r="X189" s="34" t="str">
        <f>IFERROR(IF(Tabella4[[#This Row],[Tool]]="lighthouse",Tabella4[[#This Row],[Detail]],MID(Tabella4[[#This Row],[Detail]],1,FIND("&gt;",Tabella4[[#This Row],[Detail]]))),Tabella4[[#This Row],[Detail]])</f>
        <v>&lt;ul&gt;</v>
      </c>
      <c r="Y189" s="34" t="str">
        <f>SUBSTITUTE(IF(Tabella4[[#This Row],[Tool]]="axe-core",MID(Tabella4[[#This Row],[Rejected Element]],3,LEN(Tabella4[[#This Row],[Rejected Element]])-4),Tabella4[[#This Row],[Rejected Element]]),"\","")</f>
        <v>body#page.pattern-circle-01 &gt; nav#skiplink:nth-of-type(1) &gt; ul:nth-of-type(1)</v>
      </c>
      <c r="Z189" s="34">
        <f>COUNTIFS(Tabella4[Detail univoco],Tabella4[[#This Row],[Detail univoco]],Tabella4[Rejected Element Univoco],Tabella4[[#This Row],[Rejected Element Univoco]],Tabella4[ItemsNodeLabel],Tabella4[[#This Row],[ItemsNodeLabel]])</f>
        <v>0</v>
      </c>
      <c r="AA189" s="34" t="str">
        <f>IF(Tabella4[[#This Row],[Componente]]="Documenti",VLOOKUP(Tabella4[[#This Row],[URL]],Tabella27[[URL]:[Servizio]],4,FALSE),VLOOKUP(Tabella4[[#This Row],[Page ID]],Tabella1[[Page ID]:[Servizio]],4,FALSE))</f>
        <v>S001 Homepage</v>
      </c>
      <c r="AB189" s="34"/>
      <c r="AC189" s="34" t="str">
        <f>Tabella4[[#This Row],[User Impact]]</f>
        <v>3 - Moderate</v>
      </c>
      <c r="AD189" s="34" t="str">
        <f>Copertina!C$2&amp;" - "&amp;Tabella4[[#This Row],[UNI CEI EN 301549]]&amp;" "&amp;VLOOKUP(Tabella4[[#This Row],[Criterio]],Tabella5[[ID]:[Criterio di successo]],2,FALSE)&amp;" - "&amp;Tabella4[[#This Row],[Servizio]]&amp;":"</f>
        <v>Insurance Brocker - 9.1.3.1 Informazioni e correlazioni - S001 Homepage:</v>
      </c>
      <c r="AE18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S001 Homepage: (#TM0150)
S001 Homepage
Requisito: WCAG 1.3.1
Disabilità afflitte: Blind;Deafblind
Impatto Utente: 3 - Moderate
Descrizione: Il contenuto non è una list, ma è contrassegnato come tale - Il contenuto non è una list, ma è contrassegnato come tale. [Ulteriori informazioni] (https://docs.deque.com/issue-help/1.0.0/en/semantic-list-used-for-presentation)
Esempio di violazione individuata sull'oggetto: 
https://posteinsurancebroker.poste.it/ - &lt;ul&gt; con selettore: 
["body#page.pattern-circle-01 &gt; nav#skiplink:nth-of-type(1) &gt; ul:nth-of-type(1)"]
Dettaglio + screenshot (accedere con le seguenti credenziali: user, axeposte@gmail.com; password, Poste2024!): 
Possibile metodologia risolutiva:
Usa elementi di lista come &lt;ul&gt;, &lt;ol&gt;, e &lt;li&gt; solo per contenuti che devono essere presentati in forma di elenco. Assicurati che le liste siano semanticamente corrette per evitare confusione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189">
        <f>_xlfn.XLOOKUP(Tabella4[[#This Row],[ID Silk]],outTable[ID Silk],outTable[Numero ticket  ],,0,1)</f>
        <v>6001</v>
      </c>
    </row>
    <row r="190" spans="1:32">
      <c r="A190" s="34" t="str">
        <f>MID(Tabella4[[#This Row],[Servizio]],1,4)&amp;Tabella4[[#This Row],[UNI CEI EN 301549]]</f>
        <v>S0029.4.1.2</v>
      </c>
      <c r="B190" s="34" t="str">
        <f>Tabella4[[#This Row],[ID Silk]]&amp;"_1"</f>
        <v>S0029.4.1.2_1</v>
      </c>
      <c r="C190" s="34" t="s">
        <v>931</v>
      </c>
      <c r="D190" s="2" t="str">
        <f>"(#"&amp;Tabella4[[#This Row],['#ID]]&amp;")"</f>
        <v>(#TM0151)</v>
      </c>
      <c r="E190" s="34" t="str">
        <f>IF(MID(Tabella4[[#This Row],['#ID]],1,1)="M","Mobile",IF(MID(Tabella4[[#This Row],['#ID]],1,1)="D","Desktop",IF(MID(Tabella4[[#This Row],['#ID]],1,2)="TM","Manuale","Documenti")))</f>
        <v>Manuale</v>
      </c>
      <c r="F190" s="34" t="s">
        <v>1005</v>
      </c>
      <c r="G190" s="34" t="s">
        <v>368</v>
      </c>
      <c r="H190" s="34" t="str">
        <f>IF(Tabella4[[#This Row],[Componente]]="Documenti","10.","9.")&amp;Tabella4[[#This Row],[Criterio]]</f>
        <v>9.4.1.2</v>
      </c>
      <c r="I190" s="34" t="s">
        <v>1007</v>
      </c>
      <c r="J190" s="34" t="s">
        <v>1008</v>
      </c>
      <c r="K190" s="34" t="s">
        <v>1051</v>
      </c>
      <c r="L190" s="34" t="s">
        <v>1052</v>
      </c>
      <c r="M190" s="34" t="s">
        <v>1053</v>
      </c>
      <c r="N190" t="s">
        <v>682</v>
      </c>
      <c r="O190" t="s">
        <v>684</v>
      </c>
      <c r="P190" t="s">
        <v>389</v>
      </c>
      <c r="R190" s="34" t="str">
        <f>IF(Tabella4[[#This Row],[Componente]]="Documenti",_xlfn.XLOOKUP(Tabella4[[#This Row],[URL]],Tabella27[URL],Tabella27[PDF ID],,0),_xlfn.XLOOKUP(Tabella4[[#This Row],[URL]],Tabella1[URL],Tabella1[Page ID],,0))</f>
        <v>#9</v>
      </c>
      <c r="S190" s="34" t="s">
        <v>1004</v>
      </c>
      <c r="T190" s="34" t="s">
        <v>681</v>
      </c>
      <c r="V190" t="s">
        <v>683</v>
      </c>
      <c r="W190" s="34" t="s">
        <v>1075</v>
      </c>
      <c r="X190" s="34" t="str">
        <f>IFERROR(IF(Tabella4[[#This Row],[Tool]]="lighthouse",Tabella4[[#This Row],[Detail]],MID(Tabella4[[#This Row],[Detail]],1,FIND("&gt;",Tabella4[[#This Row],[Detail]]))),Tabella4[[#This Row],[Detail]])</f>
        <v>&lt;button _ngcontent-fkk-c2="" class="btn btn-default border-0" type="button"&gt;</v>
      </c>
      <c r="Y190" s="34" t="str">
        <f>SUBSTITUTE(IF(Tabella4[[#This Row],[Tool]]="axe-core",MID(Tabella4[[#This Row],[Rejected Element]],3,LEN(Tabella4[[#This Row],[Rejected Element]])-4),Tabella4[[#This Row],[Rejected Element]]),"\","")</f>
        <v>.btn-default</v>
      </c>
      <c r="Z190" s="34">
        <f>COUNTIFS(Tabella4[Detail univoco],Tabella4[[#This Row],[Detail univoco]],Tabella4[Rejected Element Univoco],Tabella4[[#This Row],[Rejected Element Univoco]],Tabella4[ItemsNodeLabel],Tabella4[[#This Row],[ItemsNodeLabel]])</f>
        <v>0</v>
      </c>
      <c r="AA190" s="34" t="str">
        <f>IF(Tabella4[[#This Row],[Componente]]="Documenti",VLOOKUP(Tabella4[[#This Row],[URL]],Tabella27[[URL]:[Servizio]],4,FALSE),VLOOKUP(Tabella4[[#This Row],[Page ID]],Tabella1[[Page ID]:[Servizio]],4,FALSE))</f>
        <v>S002 Poste Guidare Sicuri</v>
      </c>
      <c r="AB190" s="34"/>
      <c r="AC190" s="34" t="str">
        <f>Tabella4[[#This Row],[User Impact]]</f>
        <v>1 - Critical</v>
      </c>
      <c r="AD190" s="34" t="str">
        <f>Copertina!C$2&amp;" - "&amp;Tabella4[[#This Row],[UNI CEI EN 301549]]&amp;" "&amp;VLOOKUP(Tabella4[[#This Row],[Criterio]],Tabella5[[ID]:[Criterio di successo]],2,FALSE)&amp;" - "&amp;Tabella4[[#This Row],[Servizio]]&amp;":"</f>
        <v>Insurance Brocker - 9.4.1.2 Nome, ruolo, valore - S002 Poste Guidare Sicuri:</v>
      </c>
      <c r="AE19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(#TM0151)
S002 Poste Guidare Sicuri
Requisito: WCAG 4.1.2
Disabilità afflitte: Blind;Deafblind
Impatto Utente: 1 - Critical
Descrizione: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Esempio di violazione individuata sull'oggetto: 
https://posteinsurancebroker.poste.it/fastquote/index.html - &lt;button _ngcontent-fkk-c2="" class="btn btn-default border-0" type="button"&gt;&lt;span _ngcontent-fkk-c2="" aria-hidden="true" class="poste poste-calendar"&gt;&lt;/span&gt;&lt;/button&gt; con selettore: 
[".btn-default"]
Dettaglio + screenshot (accedere con le seguenti credenziali: user, axeposte@gmail.com; password, Poste2024!): 
Possibile metodologia risolutiva:
Assegna a ogni pulsante un nome accessibile utilizzando il contenuto visibile (es. testo) o attributi come aria-label o aria-labelledby. Ad esempio: &lt;button aria-label="Invia"&gt;.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190">
        <f>_xlfn.XLOOKUP(Tabella4[[#This Row],[ID Silk]],outTable[ID Silk],outTable[Numero ticket  ],,0,1)</f>
        <v>6016</v>
      </c>
    </row>
    <row r="191" spans="1:32">
      <c r="A191" s="34" t="str">
        <f>MID(Tabella4[[#This Row],[Servizio]],1,4)&amp;Tabella4[[#This Row],[UNI CEI EN 301549]]</f>
        <v>S0029.1.4.3</v>
      </c>
      <c r="B191" s="34" t="str">
        <f>Tabella4[[#This Row],[ID Silk]]&amp;"_1"</f>
        <v>S0029.1.4.3_1</v>
      </c>
      <c r="C191" s="34" t="s">
        <v>932</v>
      </c>
      <c r="D191" s="2" t="str">
        <f>"(#"&amp;Tabella4[[#This Row],['#ID]]&amp;")"</f>
        <v>(#TM0152)</v>
      </c>
      <c r="E191" s="34" t="str">
        <f>IF(MID(Tabella4[[#This Row],['#ID]],1,1)="M","Mobile",IF(MID(Tabella4[[#This Row],['#ID]],1,1)="D","Desktop",IF(MID(Tabella4[[#This Row],['#ID]],1,2)="TM","Manuale","Documenti")))</f>
        <v>Manuale</v>
      </c>
      <c r="F191" s="34" t="s">
        <v>1006</v>
      </c>
      <c r="G191" s="34" t="s">
        <v>228</v>
      </c>
      <c r="H191" s="34" t="str">
        <f>IF(Tabella4[[#This Row],[Componente]]="Documenti","10.","9.")&amp;Tabella4[[#This Row],[Criterio]]</f>
        <v>9.1.4.3</v>
      </c>
      <c r="I191" s="34" t="s">
        <v>1023</v>
      </c>
      <c r="J191" s="34" t="s">
        <v>1037</v>
      </c>
      <c r="K191" s="34" t="s">
        <v>1054</v>
      </c>
      <c r="L191" s="34" t="s">
        <v>1055</v>
      </c>
      <c r="M191" s="34" t="s">
        <v>1056</v>
      </c>
      <c r="N191" t="s">
        <v>686</v>
      </c>
      <c r="O191" t="s">
        <v>688</v>
      </c>
      <c r="P191" t="s">
        <v>389</v>
      </c>
      <c r="R191" s="34" t="str">
        <f>IF(Tabella4[[#This Row],[Componente]]="Documenti",_xlfn.XLOOKUP(Tabella4[[#This Row],[URL]],Tabella27[URL],Tabella27[PDF ID],,0),_xlfn.XLOOKUP(Tabella4[[#This Row],[URL]],Tabella1[URL],Tabella1[Page ID],,0))</f>
        <v>#9</v>
      </c>
      <c r="S191" s="34" t="s">
        <v>1004</v>
      </c>
      <c r="T191" s="34" t="s">
        <v>685</v>
      </c>
      <c r="V191" t="s">
        <v>687</v>
      </c>
      <c r="W191" s="34" t="s">
        <v>1076</v>
      </c>
      <c r="X191" s="34" t="str">
        <f>IFERROR(IF(Tabella4[[#This Row],[Tool]]="lighthouse",Tabella4[[#This Row],[Detail]],MID(Tabella4[[#This Row],[Detail]],1,FIND("&gt;",Tabella4[[#This Row],[Detail]]))),Tabella4[[#This Row],[Detail]])</f>
        <v>&lt;label _ngcontent-fkk-c2="" for="plate"&gt;</v>
      </c>
      <c r="Y191" s="34" t="str">
        <f>SUBSTITUTE(IF(Tabella4[[#This Row],[Tool]]="axe-core",MID(Tabella4[[#This Row],[Rejected Element]],3,LEN(Tabella4[[#This Row],[Rejected Element]])-4),Tabella4[[#This Row],[Rejected Element]]),"\","")</f>
        <v>.col-md-6.form-group:nth-child(1) &gt; label[for="plate"]</v>
      </c>
      <c r="Z191" s="34">
        <f>COUNTIFS(Tabella4[Detail univoco],Tabella4[[#This Row],[Detail univoco]],Tabella4[Rejected Element Univoco],Tabella4[[#This Row],[Rejected Element Univoco]],Tabella4[ItemsNodeLabel],Tabella4[[#This Row],[ItemsNodeLabel]])</f>
        <v>0</v>
      </c>
      <c r="AA191" s="34" t="str">
        <f>IF(Tabella4[[#This Row],[Componente]]="Documenti",VLOOKUP(Tabella4[[#This Row],[URL]],Tabella27[[URL]:[Servizio]],4,FALSE),VLOOKUP(Tabella4[[#This Row],[Page ID]],Tabella1[[Page ID]:[Servizio]],4,FALSE))</f>
        <v>S002 Poste Guidare Sicuri</v>
      </c>
      <c r="AB191" s="34"/>
      <c r="AC191" s="34" t="str">
        <f>Tabella4[[#This Row],[User Impact]]</f>
        <v>2 - Serious</v>
      </c>
      <c r="AD191" s="34" t="str">
        <f>Copertina!C$2&amp;" - "&amp;Tabella4[[#This Row],[UNI CEI EN 301549]]&amp;" "&amp;VLOOKUP(Tabella4[[#This Row],[Criterio]],Tabella5[[ID]:[Criterio di successo]],2,FALSE)&amp;" - "&amp;Tabella4[[#This Row],[Servizio]]&amp;":"</f>
        <v>Insurance Brocker - 9.1.4.3 Contrasto (minimo) - S002 Poste Guidare Sicuri:</v>
      </c>
      <c r="AE19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(#TM0152)
S002 Poste Guidare Sicuri
Requisito: WCAG 1.4.3
Disabilità afflitte: Colorblindness;Low Vision
Impatto Utente: 2 - Serious
Descrizione: I colori di sfondo e di primo piano non hanno un rapporto di contrasto sufficiente. - Il testo a basso contrasto è difficile o impossibile da leggere per molti utenti. [Ulteriori informazioni] (https://dequeuniversity.com/rules/axe/4.10/color-contrast)
Esempio di violazione individuata sull'oggetto: 
https://posteinsurancebroker.poste.it/fastquote/index.html - &lt;label _ngcontent-fkk-c2="" for="plate"&gt;Targa del veicolo&lt;/label&gt; con selettore: 
[".col-md-6.form-group:nth-child(1) &gt; label[for=\"plate\"]"]
Dettaglio + screenshot (accedere con le seguenti credenziali: user, axeposte@gmail.com; password, Poste2024!): 
Possibile metodologia risolutiva:
Aumenta il contrasto tra testo e sfondo per rendere il contenuto leggibile da utenti con difficoltà visive. WCAG richiede un rapporto di almeno 4.5:1 per il testo normale e 3:1 per il testo grande, quindi scegli colori che rispettino queste soglie.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91">
        <f>_xlfn.XLOOKUP(Tabella4[[#This Row],[ID Silk]],outTable[ID Silk],outTable[Numero ticket  ],,0,1)</f>
        <v>6008</v>
      </c>
    </row>
    <row r="192" spans="1:32">
      <c r="A192" s="34" t="str">
        <f>MID(Tabella4[[#This Row],[Servizio]],1,4)&amp;Tabella4[[#This Row],[UNI CEI EN 301549]]</f>
        <v>S0029.1.4.3</v>
      </c>
      <c r="B192" s="34" t="str">
        <f>Tabella4[[#This Row],[ID Silk]]&amp;"_1"</f>
        <v>S0029.1.4.3_1</v>
      </c>
      <c r="C192" s="34" t="s">
        <v>933</v>
      </c>
      <c r="D192" s="2" t="str">
        <f>"(#"&amp;Tabella4[[#This Row],['#ID]]&amp;")"</f>
        <v>(#TM0153)</v>
      </c>
      <c r="E192" s="34" t="str">
        <f>IF(MID(Tabella4[[#This Row],['#ID]],1,1)="M","Mobile",IF(MID(Tabella4[[#This Row],['#ID]],1,1)="D","Desktop",IF(MID(Tabella4[[#This Row],['#ID]],1,2)="TM","Manuale","Documenti")))</f>
        <v>Manuale</v>
      </c>
      <c r="F192" s="34" t="s">
        <v>1006</v>
      </c>
      <c r="G192" s="34" t="s">
        <v>228</v>
      </c>
      <c r="H192" s="34" t="str">
        <f>IF(Tabella4[[#This Row],[Componente]]="Documenti","10.","9.")&amp;Tabella4[[#This Row],[Criterio]]</f>
        <v>9.1.4.3</v>
      </c>
      <c r="I192" s="34" t="s">
        <v>1023</v>
      </c>
      <c r="J192" s="34" t="s">
        <v>1037</v>
      </c>
      <c r="K192" s="34" t="s">
        <v>1054</v>
      </c>
      <c r="L192" s="34" t="s">
        <v>1055</v>
      </c>
      <c r="M192" s="34" t="s">
        <v>1056</v>
      </c>
      <c r="N192" t="s">
        <v>689</v>
      </c>
      <c r="O192" t="s">
        <v>690</v>
      </c>
      <c r="P192" t="s">
        <v>389</v>
      </c>
      <c r="R192" s="34" t="str">
        <f>IF(Tabella4[[#This Row],[Componente]]="Documenti",_xlfn.XLOOKUP(Tabella4[[#This Row],[URL]],Tabella27[URL],Tabella27[PDF ID],,0),_xlfn.XLOOKUP(Tabella4[[#This Row],[URL]],Tabella1[URL],Tabella1[Page ID],,0))</f>
        <v>#9</v>
      </c>
      <c r="S192" s="34" t="s">
        <v>1004</v>
      </c>
      <c r="T192" s="34" t="s">
        <v>685</v>
      </c>
      <c r="V192" t="s">
        <v>687</v>
      </c>
      <c r="W192" s="34" t="s">
        <v>1076</v>
      </c>
      <c r="X192" s="34" t="str">
        <f>IFERROR(IF(Tabella4[[#This Row],[Tool]]="lighthouse",Tabella4[[#This Row],[Detail]],MID(Tabella4[[#This Row],[Detail]],1,FIND("&gt;",Tabella4[[#This Row],[Detail]]))),Tabella4[[#This Row],[Detail]])</f>
        <v>&lt;label _ngcontent-fkk-c2="" for="birthday"&gt;</v>
      </c>
      <c r="Y192" s="34" t="str">
        <f>SUBSTITUTE(IF(Tabella4[[#This Row],[Tool]]="axe-core",MID(Tabella4[[#This Row],[Rejected Element]],3,LEN(Tabella4[[#This Row],[Rejected Element]])-4),Tabella4[[#This Row],[Rejected Element]]),"\","")</f>
        <v>label[for="birthday"]</v>
      </c>
      <c r="Z192" s="34">
        <f>COUNTIFS(Tabella4[Detail univoco],Tabella4[[#This Row],[Detail univoco]],Tabella4[Rejected Element Univoco],Tabella4[[#This Row],[Rejected Element Univoco]],Tabella4[ItemsNodeLabel],Tabella4[[#This Row],[ItemsNodeLabel]])</f>
        <v>0</v>
      </c>
      <c r="AA192" s="34" t="str">
        <f>IF(Tabella4[[#This Row],[Componente]]="Documenti",VLOOKUP(Tabella4[[#This Row],[URL]],Tabella27[[URL]:[Servizio]],4,FALSE),VLOOKUP(Tabella4[[#This Row],[Page ID]],Tabella1[[Page ID]:[Servizio]],4,FALSE))</f>
        <v>S002 Poste Guidare Sicuri</v>
      </c>
      <c r="AB192" s="34"/>
      <c r="AC192" s="34" t="str">
        <f>Tabella4[[#This Row],[User Impact]]</f>
        <v>2 - Serious</v>
      </c>
      <c r="AD192" s="34" t="str">
        <f>Copertina!C$2&amp;" - "&amp;Tabella4[[#This Row],[UNI CEI EN 301549]]&amp;" "&amp;VLOOKUP(Tabella4[[#This Row],[Criterio]],Tabella5[[ID]:[Criterio di successo]],2,FALSE)&amp;" - "&amp;Tabella4[[#This Row],[Servizio]]&amp;":"</f>
        <v>Insurance Brocker - 9.1.4.3 Contrasto (minimo) - S002 Poste Guidare Sicuri:</v>
      </c>
      <c r="AE19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(#TM0153)
S002 Poste Guidare Sicuri
Requisito: WCAG 1.4.3
Disabilità afflitte: Colorblindness;Low Vision
Impatto Utente: 2 - Serious
Descrizione: I colori di sfondo e di primo piano non hanno un rapporto di contrasto sufficiente. - Il testo a basso contrasto è difficile o impossibile da leggere per molti utenti. [Ulteriori informazioni] (https://dequeuniversity.com/rules/axe/4.10/color-contrast)
Esempio di violazione individuata sull'oggetto: 
https://posteinsurancebroker.poste.it/fastquote/index.html - &lt;label _ngcontent-fkk-c2="" for="birthday"&gt;Data di nascita del proprietario&lt;/label&gt; con selettore: 
["label[for=\"birthday\"]"]
Dettaglio + screenshot (accedere con le seguenti credenziali: user, axeposte@gmail.com; password, Poste2024!): 
Possibile metodologia risolutiva:
Aumenta il contrasto tra testo e sfondo per rendere il contenuto leggibile da utenti con difficoltà visive. WCAG richiede un rapporto di almeno 4.5:1 per il testo normale e 3:1 per il testo grande, quindi scegli colori che rispettino queste soglie.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92">
        <f>_xlfn.XLOOKUP(Tabella4[[#This Row],[ID Silk]],outTable[ID Silk],outTable[Numero ticket  ],,0,1)</f>
        <v>6008</v>
      </c>
    </row>
    <row r="193" spans="1:32">
      <c r="A193" s="34" t="str">
        <f>MID(Tabella4[[#This Row],[Servizio]],1,4)&amp;Tabella4[[#This Row],[UNI CEI EN 301549]]</f>
        <v>S0029.1.4.3</v>
      </c>
      <c r="B193" s="34" t="str">
        <f>Tabella4[[#This Row],[ID Silk]]&amp;"_1"</f>
        <v>S0029.1.4.3_1</v>
      </c>
      <c r="C193" s="34" t="s">
        <v>934</v>
      </c>
      <c r="D193" s="2" t="str">
        <f>"(#"&amp;Tabella4[[#This Row],['#ID]]&amp;")"</f>
        <v>(#TM0154)</v>
      </c>
      <c r="E193" s="34" t="str">
        <f>IF(MID(Tabella4[[#This Row],['#ID]],1,1)="M","Mobile",IF(MID(Tabella4[[#This Row],['#ID]],1,1)="D","Desktop",IF(MID(Tabella4[[#This Row],['#ID]],1,2)="TM","Manuale","Documenti")))</f>
        <v>Manuale</v>
      </c>
      <c r="F193" s="34" t="s">
        <v>1006</v>
      </c>
      <c r="G193" s="34" t="s">
        <v>228</v>
      </c>
      <c r="H193" s="34" t="str">
        <f>IF(Tabella4[[#This Row],[Componente]]="Documenti","10.","9.")&amp;Tabella4[[#This Row],[Criterio]]</f>
        <v>9.1.4.3</v>
      </c>
      <c r="I193" s="34" t="s">
        <v>1023</v>
      </c>
      <c r="J193" s="34" t="s">
        <v>1037</v>
      </c>
      <c r="K193" s="34" t="s">
        <v>1054</v>
      </c>
      <c r="L193" s="34" t="s">
        <v>1055</v>
      </c>
      <c r="M193" s="34" t="s">
        <v>1056</v>
      </c>
      <c r="N193" t="s">
        <v>691</v>
      </c>
      <c r="O193" t="s">
        <v>692</v>
      </c>
      <c r="P193" t="s">
        <v>389</v>
      </c>
      <c r="R193" s="34" t="str">
        <f>IF(Tabella4[[#This Row],[Componente]]="Documenti",_xlfn.XLOOKUP(Tabella4[[#This Row],[URL]],Tabella27[URL],Tabella27[PDF ID],,0),_xlfn.XLOOKUP(Tabella4[[#This Row],[URL]],Tabella1[URL],Tabella1[Page ID],,0))</f>
        <v>#9</v>
      </c>
      <c r="S193" s="34" t="s">
        <v>1004</v>
      </c>
      <c r="T193" s="34" t="s">
        <v>685</v>
      </c>
      <c r="V193" t="s">
        <v>687</v>
      </c>
      <c r="W193" s="34" t="s">
        <v>1076</v>
      </c>
      <c r="X193" s="34" t="str">
        <f>IFERROR(IF(Tabella4[[#This Row],[Tool]]="lighthouse",Tabella4[[#This Row],[Detail]],MID(Tabella4[[#This Row],[Detail]],1,FIND("&gt;",Tabella4[[#This Row],[Detail]]))),Tabella4[[#This Row],[Detail]])</f>
        <v>&lt;label _ngcontent-fkk-c2="" for="provinceCode"&gt;</v>
      </c>
      <c r="Y193" s="34" t="str">
        <f>SUBSTITUTE(IF(Tabella4[[#This Row],[Tool]]="axe-core",MID(Tabella4[[#This Row],[Rejected Element]],3,LEN(Tabella4[[#This Row],[Rejected Element]])-4),Tabella4[[#This Row],[Rejected Element]]),"\","")</f>
        <v>label[for="provinceCode"]</v>
      </c>
      <c r="Z193" s="34">
        <f>COUNTIFS(Tabella4[Detail univoco],Tabella4[[#This Row],[Detail univoco]],Tabella4[Rejected Element Univoco],Tabella4[[#This Row],[Rejected Element Univoco]],Tabella4[ItemsNodeLabel],Tabella4[[#This Row],[ItemsNodeLabel]])</f>
        <v>0</v>
      </c>
      <c r="AA193" s="34" t="str">
        <f>IF(Tabella4[[#This Row],[Componente]]="Documenti",VLOOKUP(Tabella4[[#This Row],[URL]],Tabella27[[URL]:[Servizio]],4,FALSE),VLOOKUP(Tabella4[[#This Row],[Page ID]],Tabella1[[Page ID]:[Servizio]],4,FALSE))</f>
        <v>S002 Poste Guidare Sicuri</v>
      </c>
      <c r="AB193" s="34"/>
      <c r="AC193" s="34" t="str">
        <f>Tabella4[[#This Row],[User Impact]]</f>
        <v>2 - Serious</v>
      </c>
      <c r="AD193" s="34" t="str">
        <f>Copertina!C$2&amp;" - "&amp;Tabella4[[#This Row],[UNI CEI EN 301549]]&amp;" "&amp;VLOOKUP(Tabella4[[#This Row],[Criterio]],Tabella5[[ID]:[Criterio di successo]],2,FALSE)&amp;" - "&amp;Tabella4[[#This Row],[Servizio]]&amp;":"</f>
        <v>Insurance Brocker - 9.1.4.3 Contrasto (minimo) - S002 Poste Guidare Sicuri:</v>
      </c>
      <c r="AE19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(#TM0154)
S002 Poste Guidare Sicuri
Requisito: WCAG 1.4.3
Disabilità afflitte: Colorblindness;Low Vision
Impatto Utente: 2 - Serious
Descrizione: I colori di sfondo e di primo piano non hanno un rapporto di contrasto sufficiente. - Il testo a basso contrasto è difficile o impossibile da leggere per molti utenti. [Ulteriori informazioni] (https://dequeuniversity.com/rules/axe/4.10/color-contrast)
Esempio di violazione individuata sull'oggetto: 
https://posteinsurancebroker.poste.it/fastquote/index.html - &lt;label _ngcontent-fkk-c2="" for="provinceCode"&gt;Provincia di residenza proprietario&lt;/label&gt; con selettore: 
["label[for=\"provinceCode\"]"]
Dettaglio + screenshot (accedere con le seguenti credenziali: user, axeposte@gmail.com; password, Poste2024!): 
Possibile metodologia risolutiva:
Aumenta il contrasto tra testo e sfondo per rendere il contenuto leggibile da utenti con difficoltà visive. WCAG richiede un rapporto di almeno 4.5:1 per il testo normale e 3:1 per il testo grande, quindi scegli colori che rispettino queste soglie.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93">
        <f>_xlfn.XLOOKUP(Tabella4[[#This Row],[ID Silk]],outTable[ID Silk],outTable[Numero ticket  ],,0,1)</f>
        <v>6008</v>
      </c>
    </row>
    <row r="194" spans="1:32">
      <c r="A194" s="34" t="str">
        <f>MID(Tabella4[[#This Row],[Servizio]],1,4)&amp;Tabella4[[#This Row],[UNI CEI EN 301549]]</f>
        <v>S0029.1.4.3</v>
      </c>
      <c r="B194" s="34" t="str">
        <f>Tabella4[[#This Row],[ID Silk]]&amp;"_1"</f>
        <v>S0029.1.4.3_1</v>
      </c>
      <c r="C194" s="34" t="s">
        <v>935</v>
      </c>
      <c r="D194" s="2" t="str">
        <f>"(#"&amp;Tabella4[[#This Row],['#ID]]&amp;")"</f>
        <v>(#TM0155)</v>
      </c>
      <c r="E194" s="34" t="str">
        <f>IF(MID(Tabella4[[#This Row],['#ID]],1,1)="M","Mobile",IF(MID(Tabella4[[#This Row],['#ID]],1,1)="D","Desktop",IF(MID(Tabella4[[#This Row],['#ID]],1,2)="TM","Manuale","Documenti")))</f>
        <v>Manuale</v>
      </c>
      <c r="F194" s="34" t="s">
        <v>1006</v>
      </c>
      <c r="G194" s="34" t="s">
        <v>228</v>
      </c>
      <c r="H194" s="34" t="str">
        <f>IF(Tabella4[[#This Row],[Componente]]="Documenti","10.","9.")&amp;Tabella4[[#This Row],[Criterio]]</f>
        <v>9.1.4.3</v>
      </c>
      <c r="I194" s="34" t="s">
        <v>1023</v>
      </c>
      <c r="J194" s="34" t="s">
        <v>1037</v>
      </c>
      <c r="K194" s="34" t="s">
        <v>1054</v>
      </c>
      <c r="L194" s="34" t="s">
        <v>1055</v>
      </c>
      <c r="M194" s="34" t="s">
        <v>1056</v>
      </c>
      <c r="N194" t="s">
        <v>693</v>
      </c>
      <c r="O194" t="s">
        <v>694</v>
      </c>
      <c r="P194" t="s">
        <v>389</v>
      </c>
      <c r="R194" s="34" t="str">
        <f>IF(Tabella4[[#This Row],[Componente]]="Documenti",_xlfn.XLOOKUP(Tabella4[[#This Row],[URL]],Tabella27[URL],Tabella27[PDF ID],,0),_xlfn.XLOOKUP(Tabella4[[#This Row],[URL]],Tabella1[URL],Tabella1[Page ID],,0))</f>
        <v>#9</v>
      </c>
      <c r="S194" s="34" t="s">
        <v>1004</v>
      </c>
      <c r="T194" s="34" t="s">
        <v>685</v>
      </c>
      <c r="V194" t="s">
        <v>687</v>
      </c>
      <c r="W194" s="34" t="s">
        <v>1076</v>
      </c>
      <c r="X194" s="34" t="str">
        <f>IFERROR(IF(Tabella4[[#This Row],[Tool]]="lighthouse",Tabella4[[#This Row],[Detail]],MID(Tabella4[[#This Row],[Detail]],1,FIND("&gt;",Tabella4[[#This Row],[Detail]]))),Tabella4[[#This Row],[Detail]])</f>
        <v>&lt;label _ngcontent-fkk-c2="" for="plate"&gt;</v>
      </c>
      <c r="Y194" s="34" t="str">
        <f>SUBSTITUTE(IF(Tabella4[[#This Row],[Tool]]="axe-core",MID(Tabella4[[#This Row],[Rejected Element]],3,LEN(Tabella4[[#This Row],[Rejected Element]])-4),Tabella4[[#This Row],[Rejected Element]]),"\","")</f>
        <v>.col-md-6.form-group:nth-child(4) &gt; label[for="plate"]</v>
      </c>
      <c r="Z194" s="34">
        <f>COUNTIFS(Tabella4[Detail univoco],Tabella4[[#This Row],[Detail univoco]],Tabella4[Rejected Element Univoco],Tabella4[[#This Row],[Rejected Element Univoco]],Tabella4[ItemsNodeLabel],Tabella4[[#This Row],[ItemsNodeLabel]])</f>
        <v>0</v>
      </c>
      <c r="AA194" s="34" t="str">
        <f>IF(Tabella4[[#This Row],[Componente]]="Documenti",VLOOKUP(Tabella4[[#This Row],[URL]],Tabella27[[URL]:[Servizio]],4,FALSE),VLOOKUP(Tabella4[[#This Row],[Page ID]],Tabella1[[Page ID]:[Servizio]],4,FALSE))</f>
        <v>S002 Poste Guidare Sicuri</v>
      </c>
      <c r="AB194" s="34"/>
      <c r="AC194" s="34" t="str">
        <f>Tabella4[[#This Row],[User Impact]]</f>
        <v>2 - Serious</v>
      </c>
      <c r="AD194" s="34" t="str">
        <f>Copertina!C$2&amp;" - "&amp;Tabella4[[#This Row],[UNI CEI EN 301549]]&amp;" "&amp;VLOOKUP(Tabella4[[#This Row],[Criterio]],Tabella5[[ID]:[Criterio di successo]],2,FALSE)&amp;" - "&amp;Tabella4[[#This Row],[Servizio]]&amp;":"</f>
        <v>Insurance Brocker - 9.1.4.3 Contrasto (minimo) - S002 Poste Guidare Sicuri:</v>
      </c>
      <c r="AE19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(#TM0155)
S002 Poste Guidare Sicuri
Requisito: WCAG 1.4.3
Disabilità afflitte: Colorblindness;Low Vision
Impatto Utente: 2 - Serious
Descrizione: I colori di sfondo e di primo piano non hanno un rapporto di contrasto sufficiente. - Il testo a basso contrasto è difficile o impossibile da leggere per molti utenti. [Ulteriori informazioni] (https://dequeuniversity.com/rules/axe/4.10/color-contrast)
Esempio di violazione individuata sull'oggetto: 
https://posteinsurancebroker.poste.it/fastquote/index.html - &lt;label _ngcontent-fkk-c2="" for="plate"&gt;Cellulare&lt;/label&gt; con selettore: 
[".col-md-6.form-group:nth-child(4) &gt; label[for=\"plate\"]"]
Dettaglio + screenshot (accedere con le seguenti credenziali: user, axeposte@gmail.com; password, Poste2024!): 
Possibile metodologia risolutiva:
Aumenta il contrasto tra testo e sfondo per rendere il contenuto leggibile da utenti con difficoltà visive. WCAG richiede un rapporto di almeno 4.5:1 per il testo normale e 3:1 per il testo grande, quindi scegli colori che rispettino queste soglie.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94">
        <f>_xlfn.XLOOKUP(Tabella4[[#This Row],[ID Silk]],outTable[ID Silk],outTable[Numero ticket  ],,0,1)</f>
        <v>6008</v>
      </c>
    </row>
    <row r="195" spans="1:32">
      <c r="A195" s="34" t="str">
        <f>MID(Tabella4[[#This Row],[Servizio]],1,4)&amp;Tabella4[[#This Row],[UNI CEI EN 301549]]</f>
        <v>S0029.1.4.3</v>
      </c>
      <c r="B195" s="34" t="str">
        <f>Tabella4[[#This Row],[ID Silk]]&amp;"_1"</f>
        <v>S0029.1.4.3_1</v>
      </c>
      <c r="C195" s="34" t="s">
        <v>936</v>
      </c>
      <c r="D195" s="2" t="str">
        <f>"(#"&amp;Tabella4[[#This Row],['#ID]]&amp;")"</f>
        <v>(#TM0156)</v>
      </c>
      <c r="E195" s="34" t="str">
        <f>IF(MID(Tabella4[[#This Row],['#ID]],1,1)="M","Mobile",IF(MID(Tabella4[[#This Row],['#ID]],1,1)="D","Desktop",IF(MID(Tabella4[[#This Row],['#ID]],1,2)="TM","Manuale","Documenti")))</f>
        <v>Manuale</v>
      </c>
      <c r="F195" s="34" t="s">
        <v>1006</v>
      </c>
      <c r="G195" s="34" t="s">
        <v>228</v>
      </c>
      <c r="H195" s="34" t="str">
        <f>IF(Tabella4[[#This Row],[Componente]]="Documenti","10.","9.")&amp;Tabella4[[#This Row],[Criterio]]</f>
        <v>9.1.4.3</v>
      </c>
      <c r="I195" s="34" t="s">
        <v>1023</v>
      </c>
      <c r="J195" s="34" t="s">
        <v>1037</v>
      </c>
      <c r="K195" s="34" t="s">
        <v>1054</v>
      </c>
      <c r="L195" s="34" t="s">
        <v>1055</v>
      </c>
      <c r="M195" s="34" t="s">
        <v>1056</v>
      </c>
      <c r="N195" t="s">
        <v>695</v>
      </c>
      <c r="O195" t="s">
        <v>696</v>
      </c>
      <c r="P195" t="s">
        <v>389</v>
      </c>
      <c r="R195" s="34" t="str">
        <f>IF(Tabella4[[#This Row],[Componente]]="Documenti",_xlfn.XLOOKUP(Tabella4[[#This Row],[URL]],Tabella27[URL],Tabella27[PDF ID],,0),_xlfn.XLOOKUP(Tabella4[[#This Row],[URL]],Tabella1[URL],Tabella1[Page ID],,0))</f>
        <v>#9</v>
      </c>
      <c r="S195" s="34" t="s">
        <v>1004</v>
      </c>
      <c r="T195" s="34" t="s">
        <v>685</v>
      </c>
      <c r="V195" t="s">
        <v>687</v>
      </c>
      <c r="W195" s="34" t="s">
        <v>1076</v>
      </c>
      <c r="X195" s="34" t="str">
        <f>IFERROR(IF(Tabella4[[#This Row],[Tool]]="lighthouse",Tabella4[[#This Row],[Detail]],MID(Tabella4[[#This Row],[Detail]],1,FIND("&gt;",Tabella4[[#This Row],[Detail]]))),Tabella4[[#This Row],[Detail]])</f>
        <v>&lt;label _ngcontent-fkk-c2="" for="plate"&gt;</v>
      </c>
      <c r="Y195" s="34" t="str">
        <f>SUBSTITUTE(IF(Tabella4[[#This Row],[Tool]]="axe-core",MID(Tabella4[[#This Row],[Rejected Element]],3,LEN(Tabella4[[#This Row],[Rejected Element]])-4),Tabella4[[#This Row],[Rejected Element]]),"\","")</f>
        <v>.col-md-6.form-group:nth-child(5) &gt; label[for="plate"]</v>
      </c>
      <c r="Z195" s="34">
        <f>COUNTIFS(Tabella4[Detail univoco],Tabella4[[#This Row],[Detail univoco]],Tabella4[Rejected Element Univoco],Tabella4[[#This Row],[Rejected Element Univoco]],Tabella4[ItemsNodeLabel],Tabella4[[#This Row],[ItemsNodeLabel]])</f>
        <v>0</v>
      </c>
      <c r="AA195" s="34" t="str">
        <f>IF(Tabella4[[#This Row],[Componente]]="Documenti",VLOOKUP(Tabella4[[#This Row],[URL]],Tabella27[[URL]:[Servizio]],4,FALSE),VLOOKUP(Tabella4[[#This Row],[Page ID]],Tabella1[[Page ID]:[Servizio]],4,FALSE))</f>
        <v>S002 Poste Guidare Sicuri</v>
      </c>
      <c r="AB195" s="34"/>
      <c r="AC195" s="34" t="str">
        <f>Tabella4[[#This Row],[User Impact]]</f>
        <v>2 - Serious</v>
      </c>
      <c r="AD195" s="34" t="str">
        <f>Copertina!C$2&amp;" - "&amp;Tabella4[[#This Row],[UNI CEI EN 301549]]&amp;" "&amp;VLOOKUP(Tabella4[[#This Row],[Criterio]],Tabella5[[ID]:[Criterio di successo]],2,FALSE)&amp;" - "&amp;Tabella4[[#This Row],[Servizio]]&amp;":"</f>
        <v>Insurance Brocker - 9.1.4.3 Contrasto (minimo) - S002 Poste Guidare Sicuri:</v>
      </c>
      <c r="AE19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(#TM0156)
S002 Poste Guidare Sicuri
Requisito: WCAG 1.4.3
Disabilità afflitte: Colorblindness;Low Vision
Impatto Utente: 2 - Serious
Descrizione: I colori di sfondo e di primo piano non hanno un rapporto di contrasto sufficiente. - Il testo a basso contrasto è difficile o impossibile da leggere per molti utenti. [Ulteriori informazioni] (https://dequeuniversity.com/rules/axe/4.10/color-contrast)
Esempio di violazione individuata sull'oggetto: 
https://posteinsurancebroker.poste.it/fastquote/index.html - &lt;label _ngcontent-fkk-c2="" for="plate"&gt;Indirizzo email&lt;/label&gt; con selettore: 
[".col-md-6.form-group:nth-child(5) &gt; label[for=\"plate\"]"]
Dettaglio + screenshot (accedere con le seguenti credenziali: user, axeposte@gmail.com; password, Poste2024!): 
Possibile metodologia risolutiva:
Aumenta il contrasto tra testo e sfondo per rendere il contenuto leggibile da utenti con difficoltà visive. WCAG richiede un rapporto di almeno 4.5:1 per il testo normale e 3:1 per il testo grande, quindi scegli colori che rispettino queste soglie.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95">
        <f>_xlfn.XLOOKUP(Tabella4[[#This Row],[ID Silk]],outTable[ID Silk],outTable[Numero ticket  ],,0,1)</f>
        <v>6008</v>
      </c>
    </row>
    <row r="196" spans="1:32">
      <c r="A196" s="34" t="str">
        <f>MID(Tabella4[[#This Row],[Servizio]],1,4)&amp;Tabella4[[#This Row],[UNI CEI EN 301549]]</f>
        <v>S0029.1.4.3</v>
      </c>
      <c r="B196" s="34" t="str">
        <f>Tabella4[[#This Row],[ID Silk]]&amp;"_1"</f>
        <v>S0029.1.4.3_1</v>
      </c>
      <c r="C196" s="34" t="s">
        <v>937</v>
      </c>
      <c r="D196" s="2" t="str">
        <f>"(#"&amp;Tabella4[[#This Row],['#ID]]&amp;")"</f>
        <v>(#TM0157)</v>
      </c>
      <c r="E196" s="34" t="str">
        <f>IF(MID(Tabella4[[#This Row],['#ID]],1,1)="M","Mobile",IF(MID(Tabella4[[#This Row],['#ID]],1,1)="D","Desktop",IF(MID(Tabella4[[#This Row],['#ID]],1,2)="TM","Manuale","Documenti")))</f>
        <v>Manuale</v>
      </c>
      <c r="F196" s="34" t="s">
        <v>1006</v>
      </c>
      <c r="G196" s="34" t="s">
        <v>228</v>
      </c>
      <c r="H196" s="34" t="str">
        <f>IF(Tabella4[[#This Row],[Componente]]="Documenti","10.","9.")&amp;Tabella4[[#This Row],[Criterio]]</f>
        <v>9.1.4.3</v>
      </c>
      <c r="I196" s="34" t="s">
        <v>1023</v>
      </c>
      <c r="J196" s="34" t="s">
        <v>1037</v>
      </c>
      <c r="K196" s="34" t="s">
        <v>1054</v>
      </c>
      <c r="L196" s="34" t="s">
        <v>1055</v>
      </c>
      <c r="M196" s="34" t="s">
        <v>1056</v>
      </c>
      <c r="N196" t="s">
        <v>697</v>
      </c>
      <c r="O196" t="s">
        <v>699</v>
      </c>
      <c r="P196" t="s">
        <v>389</v>
      </c>
      <c r="R196" s="34" t="str">
        <f>IF(Tabella4[[#This Row],[Componente]]="Documenti",_xlfn.XLOOKUP(Tabella4[[#This Row],[URL]],Tabella27[URL],Tabella27[PDF ID],,0),_xlfn.XLOOKUP(Tabella4[[#This Row],[URL]],Tabella1[URL],Tabella1[Page ID],,0))</f>
        <v>#9</v>
      </c>
      <c r="S196" s="34" t="s">
        <v>1004</v>
      </c>
      <c r="T196" s="34" t="s">
        <v>685</v>
      </c>
      <c r="V196" t="s">
        <v>698</v>
      </c>
      <c r="W196" s="34" t="s">
        <v>1076</v>
      </c>
      <c r="X196" s="34" t="str">
        <f>IFERROR(IF(Tabella4[[#This Row],[Tool]]="lighthouse",Tabella4[[#This Row],[Detail]],MID(Tabella4[[#This Row],[Detail]],1,FIND("&gt;",Tabella4[[#This Row],[Detail]]))),Tabella4[[#This Row],[Detail]])</f>
        <v>&lt;p _ngcontent-fkk-c0="" class="text-footer"&gt;</v>
      </c>
      <c r="Y196" s="34" t="str">
        <f>SUBSTITUTE(IF(Tabella4[[#This Row],[Tool]]="axe-core",MID(Tabella4[[#This Row],[Rejected Element]],3,LEN(Tabella4[[#This Row],[Rejected Element]])-4),Tabella4[[#This Row],[Rejected Element]]),"\","")</f>
        <v>.text-footer</v>
      </c>
      <c r="Z196" s="34">
        <f>COUNTIFS(Tabella4[Detail univoco],Tabella4[[#This Row],[Detail univoco]],Tabella4[Rejected Element Univoco],Tabella4[[#This Row],[Rejected Element Univoco]],Tabella4[ItemsNodeLabel],Tabella4[[#This Row],[ItemsNodeLabel]])</f>
        <v>0</v>
      </c>
      <c r="AA196" s="34" t="str">
        <f>IF(Tabella4[[#This Row],[Componente]]="Documenti",VLOOKUP(Tabella4[[#This Row],[URL]],Tabella27[[URL]:[Servizio]],4,FALSE),VLOOKUP(Tabella4[[#This Row],[Page ID]],Tabella1[[Page ID]:[Servizio]],4,FALSE))</f>
        <v>S002 Poste Guidare Sicuri</v>
      </c>
      <c r="AB196" s="34"/>
      <c r="AC196" s="34" t="str">
        <f>Tabella4[[#This Row],[User Impact]]</f>
        <v>2 - Serious</v>
      </c>
      <c r="AD196" s="34" t="str">
        <f>Copertina!C$2&amp;" - "&amp;Tabella4[[#This Row],[UNI CEI EN 301549]]&amp;" "&amp;VLOOKUP(Tabella4[[#This Row],[Criterio]],Tabella5[[ID]:[Criterio di successo]],2,FALSE)&amp;" - "&amp;Tabella4[[#This Row],[Servizio]]&amp;":"</f>
        <v>Insurance Brocker - 9.1.4.3 Contrasto (minimo) - S002 Poste Guidare Sicuri:</v>
      </c>
      <c r="AE19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(#TM0157)
S002 Poste Guidare Sicuri
Requisito: WCAG 1.4.3
Disabilità afflitte: Colorblindness;Low Vision
Impatto Utente: 2 - Serious
Descrizione: I colori di sfondo e di primo piano non hanno un rapporto di contrasto sufficiente. - Il testo a basso contrasto è difficile o impossibile da leggere per molti utenti. [Ulteriori informazioni] (https://dequeuniversity.com/rules/axe/4.10/color-contrast)
Esempio di violazione individuata sull'oggetto: 
https://posteinsurancebroker.poste.it/fastquote/index.html - &lt;p _ngcontent-fkk-c0="" class="text-footer"&gt; POSTE INSURANCE BROKER S.r.l&lt;br _ngcontent-fkk-c0=""&gt; Sede legale in Roma, viale Beethoven n. 11&lt;br _ngcontent-fkk-c0=""&gt; C.F. e P.IVA n. 15246481004, iscritto al Registro Unico Intermediari assicurativi al n. B000643187 &lt;/p&gt; con selettore: 
[".text-footer"]
Dettaglio + screenshot (accedere con le seguenti credenziali: user, axeposte@gmail.com; password, Poste2024!): 
Possibile metodologia risolutiva:
Aumenta il contrasto tra testo e sfondo per rendere il contenuto leggibile da utenti con difficoltà visive. WCAG richiede un rapporto di almeno 4.5:1 per il testo normale e 3:1 per il testo grande, quindi scegli colori che rispettino queste soglie.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196">
        <f>_xlfn.XLOOKUP(Tabella4[[#This Row],[ID Silk]],outTable[ID Silk],outTable[Numero ticket  ],,0,1)</f>
        <v>6008</v>
      </c>
    </row>
    <row r="197" spans="1:32">
      <c r="A197" s="34" t="str">
        <f>MID(Tabella4[[#This Row],[Servizio]],1,4)&amp;Tabella4[[#This Row],[UNI CEI EN 301549]]</f>
        <v>S0029.1.3.1</v>
      </c>
      <c r="B197" s="34" t="str">
        <f>Tabella4[[#This Row],[ID Silk]]&amp;"_1"</f>
        <v>S0029.1.3.1_1</v>
      </c>
      <c r="C197" s="34" t="s">
        <v>938</v>
      </c>
      <c r="D197" s="2" t="str">
        <f>"(#"&amp;Tabella4[[#This Row],['#ID]]&amp;")"</f>
        <v>(#TM0158)</v>
      </c>
      <c r="E197" s="34" t="str">
        <f>IF(MID(Tabella4[[#This Row],['#ID]],1,1)="M","Mobile",IF(MID(Tabella4[[#This Row],['#ID]],1,1)="D","Desktop",IF(MID(Tabella4[[#This Row],['#ID]],1,2)="TM","Manuale","Documenti")))</f>
        <v>Manuale</v>
      </c>
      <c r="F197" s="34" t="s">
        <v>1005</v>
      </c>
      <c r="G197" s="34" t="s">
        <v>184</v>
      </c>
      <c r="H197" s="34" t="str">
        <f>IF(Tabella4[[#This Row],[Componente]]="Documenti","10.","9.")&amp;Tabella4[[#This Row],[Criterio]]</f>
        <v>9.1.3.1</v>
      </c>
      <c r="I197" s="34" t="s">
        <v>1007</v>
      </c>
      <c r="J197" s="34" t="s">
        <v>1024</v>
      </c>
      <c r="K197" s="34" t="s">
        <v>1057</v>
      </c>
      <c r="L197" s="34" t="s">
        <v>1058</v>
      </c>
      <c r="M197" s="34" t="s">
        <v>1059</v>
      </c>
      <c r="N197" t="s">
        <v>701</v>
      </c>
      <c r="O197" t="s">
        <v>703</v>
      </c>
      <c r="P197" t="s">
        <v>389</v>
      </c>
      <c r="R197" s="34" t="str">
        <f>IF(Tabella4[[#This Row],[Componente]]="Documenti",_xlfn.XLOOKUP(Tabella4[[#This Row],[URL]],Tabella27[URL],Tabella27[PDF ID],,0),_xlfn.XLOOKUP(Tabella4[[#This Row],[URL]],Tabella1[URL],Tabella1[Page ID],,0))</f>
        <v>#9</v>
      </c>
      <c r="S197" s="34" t="s">
        <v>1004</v>
      </c>
      <c r="T197" s="34" t="s">
        <v>700</v>
      </c>
      <c r="V197" t="s">
        <v>702</v>
      </c>
      <c r="W197" s="34" t="s">
        <v>1077</v>
      </c>
      <c r="X197" s="34" t="str">
        <f>IFERROR(IF(Tabella4[[#This Row],[Tool]]="lighthouse",Tabella4[[#This Row],[Detail]],MID(Tabella4[[#This Row],[Detail]],1,FIND("&gt;",Tabella4[[#This Row],[Detail]]))),Tabella4[[#This Row],[Detail]])</f>
        <v>&lt;textarea _ngcontent-fkk-c2="" class="form-control custom-control-textarea" readonly="" rows="3"&gt;</v>
      </c>
      <c r="Y197" s="34" t="str">
        <f>SUBSTITUTE(IF(Tabella4[[#This Row],[Tool]]="axe-core",MID(Tabella4[[#This Row],[Rejected Element]],3,LEN(Tabella4[[#This Row],[Rejected Element]])-4),Tabella4[[#This Row],[Rejected Element]]),"\","")</f>
        <v>textarea</v>
      </c>
      <c r="Z197" s="34">
        <f>COUNTIFS(Tabella4[Detail univoco],Tabella4[[#This Row],[Detail univoco]],Tabella4[Rejected Element Univoco],Tabella4[[#This Row],[Rejected Element Univoco]],Tabella4[ItemsNodeLabel],Tabella4[[#This Row],[ItemsNodeLabel]])</f>
        <v>0</v>
      </c>
      <c r="AA197" s="34" t="str">
        <f>IF(Tabella4[[#This Row],[Componente]]="Documenti",VLOOKUP(Tabella4[[#This Row],[URL]],Tabella27[[URL]:[Servizio]],4,FALSE),VLOOKUP(Tabella4[[#This Row],[Page ID]],Tabella1[[Page ID]:[Servizio]],4,FALSE))</f>
        <v>S002 Poste Guidare Sicuri</v>
      </c>
      <c r="AB197" s="34"/>
      <c r="AC197" s="34" t="str">
        <f>Tabella4[[#This Row],[User Impact]]</f>
        <v>1 - Critical</v>
      </c>
      <c r="AD197" s="34" t="str">
        <f>Copertina!C$2&amp;" - "&amp;Tabella4[[#This Row],[UNI CEI EN 301549]]&amp;" "&amp;VLOOKUP(Tabella4[[#This Row],[Criterio]],Tabella5[[ID]:[Criterio di successo]],2,FALSE)&amp;" - "&amp;Tabella4[[#This Row],[Servizio]]&amp;":"</f>
        <v>Insurance Brocker - 9.1.3.1 Informazioni e correlazioni - S002 Poste Guidare Sicuri:</v>
      </c>
      <c r="AE19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S002 Poste Guidare Sicuri: (#TM0158)
S002 Poste Guidare Sicuri
Requisito: WCAG 1.3.1
Disabilità afflitte: Blind;Deafblind;Low Vision;Mobility
Impatto Utente: 1 - Critical
Descrizione: Agli elementi form non sono associate etichette - Le etichette assicurano che i controlli delle form vengano annunciati correttamente dalle tecnologie assistive, come gli screen reader. [Ulteriori informazioni] (https://web.dev/label/)
Esempio di violazione individuata sull'oggetto: 
https://posteinsurancebroker.poste.it/fastquote/index.html - &lt;textarea _ngcontent-fkk-c2="" class="form-control custom-control-textarea" readonly="" rows="3"&gt; con selettore: 
["textarea"]
Dettaglio + screenshot (accedere con le seguenti credenziali: user, axeposte@gmail.com; password, Poste2024!): 
Possibile metodologia risolutiva:
Ogni campo del form dovrebbe avere un’etichetta associata tramite il tag &lt;label&gt; per facilitare l’interazione degli utenti che utilizzano tecnologie assistive. Le etichette devono descrivere chiaramente la funzione del campo.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197">
        <f>_xlfn.XLOOKUP(Tabella4[[#This Row],[ID Silk]],outTable[ID Silk],outTable[Numero ticket  ],,0,1)</f>
        <v>6006</v>
      </c>
    </row>
    <row r="198" spans="1:32">
      <c r="A198" s="34" t="str">
        <f>MID(Tabella4[[#This Row],[Servizio]],1,4)&amp;Tabella4[[#This Row],[UNI CEI EN 301549]]</f>
        <v>S0029.2.1.1</v>
      </c>
      <c r="B198" s="34" t="str">
        <f>Tabella4[[#This Row],[ID Silk]]&amp;"_1"</f>
        <v>S0029.2.1.1_1</v>
      </c>
      <c r="C198" s="34" t="s">
        <v>939</v>
      </c>
      <c r="D198" s="2" t="str">
        <f>"(#"&amp;Tabella4[[#This Row],['#ID]]&amp;")"</f>
        <v>(#TM0159)</v>
      </c>
      <c r="E198" s="34" t="str">
        <f>IF(MID(Tabella4[[#This Row],['#ID]],1,1)="M","Mobile",IF(MID(Tabella4[[#This Row],['#ID]],1,1)="D","Desktop",IF(MID(Tabella4[[#This Row],['#ID]],1,2)="TM","Manuale","Documenti")))</f>
        <v>Manuale</v>
      </c>
      <c r="F198" s="34" t="s">
        <v>1005</v>
      </c>
      <c r="G198" s="34" t="s">
        <v>275</v>
      </c>
      <c r="H198" s="34" t="str">
        <f>IF(Tabella4[[#This Row],[Componente]]="Documenti","10.","9.")&amp;Tabella4[[#This Row],[Criterio]]</f>
        <v>9.2.1.1</v>
      </c>
      <c r="I198" s="34" t="s">
        <v>1007</v>
      </c>
      <c r="J198" s="34" t="s">
        <v>1019</v>
      </c>
      <c r="K198" s="34" t="s">
        <v>656</v>
      </c>
      <c r="L198" s="34" t="s">
        <v>1045</v>
      </c>
      <c r="M198" s="34" t="s">
        <v>1046</v>
      </c>
      <c r="N198" t="s">
        <v>704</v>
      </c>
      <c r="O198" t="s">
        <v>705</v>
      </c>
      <c r="P198" t="s">
        <v>389</v>
      </c>
      <c r="R198" s="34" t="str">
        <f>IF(Tabella4[[#This Row],[Componente]]="Documenti",_xlfn.XLOOKUP(Tabella4[[#This Row],[URL]],Tabella27[URL],Tabella27[PDF ID],,0),_xlfn.XLOOKUP(Tabella4[[#This Row],[URL]],Tabella1[URL],Tabella1[Page ID],,0))</f>
        <v>#9</v>
      </c>
      <c r="S198" s="34" t="s">
        <v>1004</v>
      </c>
      <c r="T198" s="34" t="s">
        <v>654</v>
      </c>
      <c r="V198" t="s">
        <v>655</v>
      </c>
      <c r="W198" s="34" t="s">
        <v>1072</v>
      </c>
      <c r="X198" s="34" t="str">
        <f>IFERROR(IF(Tabella4[[#This Row],[Tool]]="lighthouse",Tabella4[[#This Row],[Detail]],MID(Tabella4[[#This Row],[Detail]],1,FIND("&gt;",Tabella4[[#This Row],[Detail]]))),Tabella4[[#This Row],[Detail]])</f>
        <v>&lt;div _ngcontent-fkk-c3="" class="btn-container"&gt;</v>
      </c>
      <c r="Y198" s="34" t="str">
        <f>SUBSTITUTE(IF(Tabella4[[#This Row],[Tool]]="axe-core",MID(Tabella4[[#This Row],[Rejected Element]],3,LEN(Tabella4[[#This Row],[Rejected Element]])-4),Tabella4[[#This Row],[Rejected Element]]),"\","")</f>
        <v>body &gt; app-root:nth-of-type(1) &gt; main#main:nth-of-type(1) &gt; ng-component:nth-of-type(1) &gt; div.container.mt-5:nth-of-type(2) &gt; div.row:nth-of-type(1) &gt; div.col-12.col-lg-3:nth-of-type(2) &gt; app-help-links:nth-of-type(1) &gt; div.sticky-top.container.p-0:nth-of-type(1) &gt; div.btn-container:nth-of-type(1)</v>
      </c>
      <c r="Z198" s="34">
        <f>COUNTIFS(Tabella4[Detail univoco],Tabella4[[#This Row],[Detail univoco]],Tabella4[Rejected Element Univoco],Tabella4[[#This Row],[Rejected Element Univoco]],Tabella4[ItemsNodeLabel],Tabella4[[#This Row],[ItemsNodeLabel]])</f>
        <v>0</v>
      </c>
      <c r="AA198" s="34" t="str">
        <f>IF(Tabella4[[#This Row],[Componente]]="Documenti",VLOOKUP(Tabella4[[#This Row],[URL]],Tabella27[[URL]:[Servizio]],4,FALSE),VLOOKUP(Tabella4[[#This Row],[Page ID]],Tabella1[[Page ID]:[Servizio]],4,FALSE))</f>
        <v>S002 Poste Guidare Sicuri</v>
      </c>
      <c r="AB198" s="34"/>
      <c r="AC198" s="34" t="str">
        <f>Tabella4[[#This Row],[User Impact]]</f>
        <v>1 - Critical</v>
      </c>
      <c r="AD198" s="34" t="str">
        <f>Copertina!C$2&amp;" - "&amp;Tabella4[[#This Row],[UNI CEI EN 301549]]&amp;" "&amp;VLOOKUP(Tabella4[[#This Row],[Criterio]],Tabella5[[ID]:[Criterio di successo]],2,FALSE)&amp;" - "&amp;Tabella4[[#This Row],[Servizio]]&amp;":"</f>
        <v>Insurance Brocker - 9.2.1.1 Tastiera - S002 Poste Guidare Sicuri:</v>
      </c>
      <c r="AE19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- 9.2.1.1 Tastiera - S002 Poste Guidare Sicuri: (#TM0159)
S002 Poste Guidare Sicuri
Requisito: WCAG 2.1.1
Disabilità afflitte: Blind;Deafblind;Mobility
Impatto Utente: 1 - Critical
Descrizione: La funzione non può essere eseguita dalla sola tastiera - Non è possibile eseguire la funzione utilizzando solo la tastiera sulla stessa schermata o su una versione alternativa conforme qualificata. [Ulteriori informazioni] (https://docs.deque.com/issue-help/1.0.0/en/keyboard-inaccessible)
Esempio di violazione individuata sull'oggetto: 
https://posteinsurancebroker.poste.it/fastquote/index.html - &lt;div _ngcontent-fkk-c3="" class="btn-container"&gt;&lt;a _ngcontent-fkk-c3="" class="col-12 btn btn-sm btn-warning btn-expand" title="Prenota un contatto telefonico"&gt; Ti richiamiamo noi &lt;/a&gt;&lt;/div&gt; con selettore: 
["body &gt; app-root:nth-of-type(1) &gt; main#main:nth-of-type(1) &gt; ng-component:nth-of-type(1) &gt; div.container.mt-5:nth-of-type(2) &gt; div.row:nth-of-type(1) &gt; div.col-12.col-lg-3:nth-of-type(2) &gt; app-help-links:nth-of-type(1) &gt; div.sticky-top.container.p-0:nth-of-type(1) &gt; div.btn-container:nth-of-type(1)"]
Dettaglio + screenshot (accedere con le seguenti credenziali: user, axeposte@gmail.com; password, Poste2024!): 
Possibile metodologia risolutiva: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https://posteitaliane.sharepoint.com/:w:/r/teams/ACCESSIBILITRISULTATIVERIFICHETECNICHE/Shared%20Documents/Generale/SCHEDE_REQUISITI/9.2.1.1%20Tastiera.docx?d=w7e0af80dcc2f478eb0c964bfb973ea4e&amp;csf=1&amp;web=1&amp;e=1LDvvU</v>
      </c>
      <c r="AF198">
        <f>_xlfn.XLOOKUP(Tabella4[[#This Row],[ID Silk]],outTable[ID Silk],outTable[Numero ticket  ],,0,1)</f>
        <v>6011</v>
      </c>
    </row>
    <row r="199" spans="1:32">
      <c r="A199" s="34" t="str">
        <f>MID(Tabella4[[#This Row],[Servizio]],1,4)&amp;Tabella4[[#This Row],[UNI CEI EN 301549]]</f>
        <v>S0029.2.1.1</v>
      </c>
      <c r="B199" s="34" t="str">
        <f>Tabella4[[#This Row],[ID Silk]]&amp;"_1"</f>
        <v>S0029.2.1.1_1</v>
      </c>
      <c r="C199" s="34" t="s">
        <v>940</v>
      </c>
      <c r="D199" s="2" t="str">
        <f>"(#"&amp;Tabella4[[#This Row],['#ID]]&amp;")"</f>
        <v>(#TM0160)</v>
      </c>
      <c r="E199" s="34" t="str">
        <f>IF(MID(Tabella4[[#This Row],['#ID]],1,1)="M","Mobile",IF(MID(Tabella4[[#This Row],['#ID]],1,1)="D","Desktop",IF(MID(Tabella4[[#This Row],['#ID]],1,2)="TM","Manuale","Documenti")))</f>
        <v>Manuale</v>
      </c>
      <c r="F199" s="34" t="s">
        <v>1005</v>
      </c>
      <c r="G199" s="34" t="s">
        <v>275</v>
      </c>
      <c r="H199" s="34" t="str">
        <f>IF(Tabella4[[#This Row],[Componente]]="Documenti","10.","9.")&amp;Tabella4[[#This Row],[Criterio]]</f>
        <v>9.2.1.1</v>
      </c>
      <c r="I199" s="34" t="s">
        <v>1007</v>
      </c>
      <c r="J199" s="34" t="s">
        <v>1019</v>
      </c>
      <c r="K199" s="34" t="s">
        <v>656</v>
      </c>
      <c r="L199" s="34" t="s">
        <v>1045</v>
      </c>
      <c r="M199" s="34" t="s">
        <v>1046</v>
      </c>
      <c r="N199" t="s">
        <v>706</v>
      </c>
      <c r="O199" t="s">
        <v>707</v>
      </c>
      <c r="P199" t="s">
        <v>389</v>
      </c>
      <c r="R199" s="34" t="str">
        <f>IF(Tabella4[[#This Row],[Componente]]="Documenti",_xlfn.XLOOKUP(Tabella4[[#This Row],[URL]],Tabella27[URL],Tabella27[PDF ID],,0),_xlfn.XLOOKUP(Tabella4[[#This Row],[URL]],Tabella1[URL],Tabella1[Page ID],,0))</f>
        <v>#9</v>
      </c>
      <c r="S199" s="34" t="s">
        <v>1004</v>
      </c>
      <c r="T199" s="34" t="s">
        <v>654</v>
      </c>
      <c r="V199" t="s">
        <v>655</v>
      </c>
      <c r="W199" s="34" t="s">
        <v>1072</v>
      </c>
      <c r="X199" s="34" t="str">
        <f>IFERROR(IF(Tabella4[[#This Row],[Tool]]="lighthouse",Tabella4[[#This Row],[Detail]],MID(Tabella4[[#This Row],[Detail]],1,FIND("&gt;",Tabella4[[#This Row],[Detail]]))),Tabella4[[#This Row],[Detail]])</f>
        <v>&lt;div _ngcontent-fkk-c3="" class="btn-container"&gt;</v>
      </c>
      <c r="Y199" s="34" t="str">
        <f>SUBSTITUTE(IF(Tabella4[[#This Row],[Tool]]="axe-core",MID(Tabella4[[#This Row],[Rejected Element]],3,LEN(Tabella4[[#This Row],[Rejected Element]])-4),Tabella4[[#This Row],[Rejected Element]]),"\","")</f>
        <v>body &gt; app-root:nth-of-type(1) &gt; main#main:nth-of-type(1) &gt; ng-component:nth-of-type(1) &gt; div.container.mt-5:nth-of-type(2) &gt; div.row:nth-of-type(1) &gt; div.col-12.col-lg-3:nth-of-type(2) &gt; app-help-links:nth-of-type(1) &gt; div.sticky-top.container.p-0:nth-of-type(1) &gt; div.btn-container:nth-of-type(2)</v>
      </c>
      <c r="Z199" s="34">
        <f>COUNTIFS(Tabella4[Detail univoco],Tabella4[[#This Row],[Detail univoco]],Tabella4[Rejected Element Univoco],Tabella4[[#This Row],[Rejected Element Univoco]],Tabella4[ItemsNodeLabel],Tabella4[[#This Row],[ItemsNodeLabel]])</f>
        <v>0</v>
      </c>
      <c r="AA199" s="34" t="str">
        <f>IF(Tabella4[[#This Row],[Componente]]="Documenti",VLOOKUP(Tabella4[[#This Row],[URL]],Tabella27[[URL]:[Servizio]],4,FALSE),VLOOKUP(Tabella4[[#This Row],[Page ID]],Tabella1[[Page ID]:[Servizio]],4,FALSE))</f>
        <v>S002 Poste Guidare Sicuri</v>
      </c>
      <c r="AB199" s="34"/>
      <c r="AC199" s="34" t="str">
        <f>Tabella4[[#This Row],[User Impact]]</f>
        <v>1 - Critical</v>
      </c>
      <c r="AD199" s="34" t="str">
        <f>Copertina!C$2&amp;" - "&amp;Tabella4[[#This Row],[UNI CEI EN 301549]]&amp;" "&amp;VLOOKUP(Tabella4[[#This Row],[Criterio]],Tabella5[[ID]:[Criterio di successo]],2,FALSE)&amp;" - "&amp;Tabella4[[#This Row],[Servizio]]&amp;":"</f>
        <v>Insurance Brocker - 9.2.1.1 Tastiera - S002 Poste Guidare Sicuri:</v>
      </c>
      <c r="AE19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- 9.2.1.1 Tastiera - S002 Poste Guidare Sicuri: (#TM0160)
S002 Poste Guidare Sicuri
Requisito: WCAG 2.1.1
Disabilità afflitte: Blind;Deafblind;Mobility
Impatto Utente: 1 - Critical
Descrizione: La funzione non può essere eseguita dalla sola tastiera - Non è possibile eseguire la funzione utilizzando solo la tastiera sulla stessa schermata o su una versione alternativa conforme qualificata. [Ulteriori informazioni] (https://docs.deque.com/issue-help/1.0.0/en/keyboard-inaccessible)
Esempio di violazione individuata sull'oggetto: 
https://posteinsurancebroker.poste.it/fastquote/index.html - &lt;div _ngcontent-fkk-c3="" class="btn-container"&gt;&lt;a _ngcontent-fkk-c3="" class="col-12 btn btn-sm btn-warning btn-expand" title="Prenota un appuntamento"&gt; Prendi appuntamento &lt;/a&gt;&lt;/div&gt; con selettore: 
["body &gt; app-root:nth-of-type(1) &gt; main#main:nth-of-type(1) &gt; ng-component:nth-of-type(1) &gt; div.container.mt-5:nth-of-type(2) &gt; div.row:nth-of-type(1) &gt; div.col-12.col-lg-3:nth-of-type(2) &gt; app-help-links:nth-of-type(1) &gt; div.sticky-top.container.p-0:nth-of-type(1) &gt; div.btn-container:nth-of-type(2)"]
Dettaglio + screenshot (accedere con le seguenti credenziali: user, axeposte@gmail.com; password, Poste2024!): 
Possibile metodologia risolutiva: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https://posteitaliane.sharepoint.com/:w:/r/teams/ACCESSIBILITRISULTATIVERIFICHETECNICHE/Shared%20Documents/Generale/SCHEDE_REQUISITI/9.2.1.1%20Tastiera.docx?d=w7e0af80dcc2f478eb0c964bfb973ea4e&amp;csf=1&amp;web=1&amp;e=1LDvvU</v>
      </c>
      <c r="AF199">
        <f>_xlfn.XLOOKUP(Tabella4[[#This Row],[ID Silk]],outTable[ID Silk],outTable[Numero ticket  ],,0,1)</f>
        <v>6011</v>
      </c>
    </row>
    <row r="200" spans="1:32">
      <c r="A200" s="34" t="str">
        <f>MID(Tabella4[[#This Row],[Servizio]],1,4)&amp;Tabella4[[#This Row],[UNI CEI EN 301549]]</f>
        <v>S0029.2.4.3</v>
      </c>
      <c r="B200" s="34" t="str">
        <f>Tabella4[[#This Row],[ID Silk]]&amp;"_1"</f>
        <v>S0029.2.4.3_1</v>
      </c>
      <c r="C200" s="34" t="s">
        <v>941</v>
      </c>
      <c r="D200" s="2" t="str">
        <f>"(#"&amp;Tabella4[[#This Row],['#ID]]&amp;")"</f>
        <v>(#TM0161)</v>
      </c>
      <c r="E200" s="34" t="str">
        <f>IF(MID(Tabella4[[#This Row],['#ID]],1,1)="M","Mobile",IF(MID(Tabella4[[#This Row],['#ID]],1,1)="D","Desktop",IF(MID(Tabella4[[#This Row],['#ID]],1,2)="TM","Manuale","Documenti")))</f>
        <v>Manuale</v>
      </c>
      <c r="F200" s="34" t="s">
        <v>1005</v>
      </c>
      <c r="G200" s="34" t="s">
        <v>304</v>
      </c>
      <c r="H200" s="34" t="str">
        <f>IF(Tabella4[[#This Row],[Componente]]="Documenti","10.","9.")&amp;Tabella4[[#This Row],[Criterio]]</f>
        <v>9.2.4.3</v>
      </c>
      <c r="I200" s="34" t="s">
        <v>1023</v>
      </c>
      <c r="J200" s="34" t="s">
        <v>1019</v>
      </c>
      <c r="K200" s="34" t="s">
        <v>710</v>
      </c>
      <c r="L200" s="34" t="s">
        <v>1060</v>
      </c>
      <c r="M200" s="34" t="s">
        <v>1061</v>
      </c>
      <c r="N200" t="s">
        <v>711</v>
      </c>
      <c r="O200" t="s">
        <v>712</v>
      </c>
      <c r="P200" t="s">
        <v>389</v>
      </c>
      <c r="R200" s="34" t="str">
        <f>IF(Tabella4[[#This Row],[Componente]]="Documenti",_xlfn.XLOOKUP(Tabella4[[#This Row],[URL]],Tabella27[URL],Tabella27[PDF ID],,0),_xlfn.XLOOKUP(Tabella4[[#This Row],[URL]],Tabella1[URL],Tabella1[Page ID],,0))</f>
        <v>#9</v>
      </c>
      <c r="S200" s="34" t="s">
        <v>1004</v>
      </c>
      <c r="T200" s="34" t="s">
        <v>708</v>
      </c>
      <c r="V200" t="s">
        <v>709</v>
      </c>
      <c r="W200" s="34" t="s">
        <v>1078</v>
      </c>
      <c r="X200" s="34" t="str">
        <f>IFERROR(IF(Tabella4[[#This Row],[Tool]]="lighthouse",Tabella4[[#This Row],[Detail]],MID(Tabella4[[#This Row],[Detail]],1,FIND("&gt;",Tabella4[[#This Row],[Detail]]))),Tabella4[[#This Row],[Detail]])</f>
        <v>&lt;input _ngcontent-fkk-c2="" class="custom-control-input ng-untouched ng-pristine ng-invalid" formcontrolname="commercial" id="commercial_yes" name="commercial" type="radio"&gt;</v>
      </c>
      <c r="Y200" s="34" t="str">
        <f>SUBSTITUTE(IF(Tabella4[[#This Row],[Tool]]="axe-core",MID(Tabella4[[#This Row],[Rejected Element]],3,LEN(Tabella4[[#This Row],[Rejected Element]])-4),Tabella4[[#This Row],[Rejected Element]]),"\","")</f>
        <v>body &gt; app-root:nth-of-type(1) &gt; main#main:nth-of-type(1) &gt; ng-component:nth-of-type(1) &gt; div.container.mt-5:nth-of-type(2) &gt; div.row:nth-of-type(1) &gt; div.col-12.col-lg-9:nth-of-type(1) &gt; form.ng-untouched.ng-pristine.ng-invalid:nth-of-type(1) &gt; div.card:nth-of-type(1) &gt; div.card-body:nth-of-type(1) &gt; div.form-group:nth-of-type(3) &gt; div.custom-control.custom-radio.custom-control-inline:nth-of-type(1) &gt; input#commercial_yes.custom-control-input.ng-untouched.ng-pristine.ng-invalid:nth-of-type(1)</v>
      </c>
      <c r="Z200" s="34">
        <f>COUNTIFS(Tabella4[Detail univoco],Tabella4[[#This Row],[Detail univoco]],Tabella4[Rejected Element Univoco],Tabella4[[#This Row],[Rejected Element Univoco]],Tabella4[ItemsNodeLabel],Tabella4[[#This Row],[ItemsNodeLabel]])</f>
        <v>0</v>
      </c>
      <c r="AA200" s="34" t="str">
        <f>IF(Tabella4[[#This Row],[Componente]]="Documenti",VLOOKUP(Tabella4[[#This Row],[URL]],Tabella27[[URL]:[Servizio]],4,FALSE),VLOOKUP(Tabella4[[#This Row],[Page ID]],Tabella1[[Page ID]:[Servizio]],4,FALSE))</f>
        <v>S002 Poste Guidare Sicuri</v>
      </c>
      <c r="AB200" s="34"/>
      <c r="AC200" s="34" t="str">
        <f>Tabella4[[#This Row],[User Impact]]</f>
        <v>2 - Serious</v>
      </c>
      <c r="AD200" s="34" t="str">
        <f>Copertina!C$2&amp;" - "&amp;Tabella4[[#This Row],[UNI CEI EN 301549]]&amp;" "&amp;VLOOKUP(Tabella4[[#This Row],[Criterio]],Tabella5[[ID]:[Criterio di successo]],2,FALSE)&amp;" - "&amp;Tabella4[[#This Row],[Servizio]]&amp;":"</f>
        <v>Insurance Brocker - 9.2.4.3 Ordine del focus - S002 Poste Guidare Sicuri:</v>
      </c>
      <c r="AE20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- 9.2.4.3 Ordine del focus - S002 Poste Guidare Sicuri: (#TM0161)
S002 Poste Guidare Sicuri
Requisito: WCAG 2.4.3
Disabilità afflitte: Blind;Deafblind;Mobility
Impatto Utente: 2 - Serious
Descrizione: L'elemento nascosto o vuoto riceve lo stato attivo - Lo stato attivo della tastiera o lo scorrimento del touch screen si verifica su un elemento nascosto o vuoto. [Ulteriori informazioni] (https://docs.deque.com/issue-help/1.0.0/en/focus-on-hidden-item)
Esempio di violazione individuata sull'oggetto: 
https://posteinsurancebroker.poste.it/fastquote/index.html - &lt;input _ngcontent-fkk-c2="" class="custom-control-input ng-untouched ng-pristine ng-invalid" formcontrolname="commercial" id="commercial_yes" name="commercial" type="radio"&gt; con selettore: 
["body &gt; app-root:nth-of-type(1) &gt; main#main:nth-of-type(1) &gt; ng-component:nth-of-type(1) &gt; div.container.mt-5:nth-of-type(2) &gt; div.row:nth-of-type(1) &gt; div.col-12.col-lg-9:nth-of-type(1) &gt; form.ng-untouched.ng-pristine.ng-invalid:nth-of-type(1) &gt; div.card:nth-of-type(1) &gt; div.card-body:nth-of-type(1) &gt; div.form-group:nth-of-type(3) &gt; div.custom-control.custom-radio.custom-control-inline:nth-of-type(1) &gt; input#commercial_yes.custom-control-input.ng-untouched.ng-pristine.ng-invalid:nth-of-type(1)"]
Dettaglio + screenshot (accedere con le seguenti credenziali: user, axeposte@gmail.com; password, Poste2024!): 
Possibile metodologia risolutiva: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https://posteitaliane.sharepoint.com/:w:/r/teams/ACCESSIBILITRISULTATIVERIFICHETECNICHE/Shared%20Documents/Generale/SCHEDE_REQUISITI/9.2.4.3%20Ordine%20del%20focus.docx?d=w8cfd3853e81f4868a46cbdbabe5c4d99&amp;csf=1&amp;web=1&amp;e=ii42fw</v>
      </c>
      <c r="AF200">
        <f>_xlfn.XLOOKUP(Tabella4[[#This Row],[ID Silk]],outTable[ID Silk],outTable[Numero ticket  ],,0,1)</f>
        <v>6013</v>
      </c>
    </row>
    <row r="201" spans="1:32">
      <c r="A201" s="34" t="str">
        <f>MID(Tabella4[[#This Row],[Servizio]],1,4)&amp;Tabella4[[#This Row],[UNI CEI EN 301549]]</f>
        <v>S0039.2.5.3</v>
      </c>
      <c r="B201" s="34" t="str">
        <f>Tabella4[[#This Row],[ID Silk]]&amp;"_1"</f>
        <v>S0039.2.5.3_1</v>
      </c>
      <c r="C201" s="34" t="s">
        <v>942</v>
      </c>
      <c r="D201" s="2" t="str">
        <f>"(#"&amp;Tabella4[[#This Row],['#ID]]&amp;")"</f>
        <v>(#TM0162)</v>
      </c>
      <c r="E201" s="34" t="str">
        <f>IF(MID(Tabella4[[#This Row],['#ID]],1,1)="M","Mobile",IF(MID(Tabella4[[#This Row],['#ID]],1,1)="D","Desktop",IF(MID(Tabella4[[#This Row],['#ID]],1,2)="TM","Manuale","Documenti")))</f>
        <v>Manuale</v>
      </c>
      <c r="F201" s="34" t="s">
        <v>1005</v>
      </c>
      <c r="G201" s="34" t="s">
        <v>324</v>
      </c>
      <c r="H201" s="34" t="str">
        <f>IF(Tabella4[[#This Row],[Componente]]="Documenti","10.","9.")&amp;Tabella4[[#This Row],[Criterio]]</f>
        <v>9.2.5.3</v>
      </c>
      <c r="I201" s="34" t="s">
        <v>1023</v>
      </c>
      <c r="J201" s="34" t="s">
        <v>1024</v>
      </c>
      <c r="K201" s="34" t="s">
        <v>1025</v>
      </c>
      <c r="L201" s="34" t="s">
        <v>1026</v>
      </c>
      <c r="M201" s="34" t="s">
        <v>1027</v>
      </c>
      <c r="N201" t="s">
        <v>483</v>
      </c>
      <c r="O201" t="s">
        <v>485</v>
      </c>
      <c r="P201" t="s">
        <v>393</v>
      </c>
      <c r="R201" s="34" t="str">
        <f>IF(Tabella4[[#This Row],[Componente]]="Documenti",_xlfn.XLOOKUP(Tabella4[[#This Row],[URL]],Tabella27[URL],Tabella27[PDF ID],,0),_xlfn.XLOOKUP(Tabella4[[#This Row],[URL]],Tabella1[URL],Tabella1[Page ID],,0))</f>
        <v>#13</v>
      </c>
      <c r="S201" s="34" t="s">
        <v>1004</v>
      </c>
      <c r="T201" s="34" t="s">
        <v>481</v>
      </c>
      <c r="V201" t="s">
        <v>484</v>
      </c>
      <c r="W201" s="34" t="s">
        <v>1066</v>
      </c>
      <c r="X201" s="34" t="str">
        <f>IFERROR(IF(Tabella4[[#This Row],[Tool]]="lighthouse",Tabella4[[#This Row],[Detail]],MID(Tabella4[[#This Row],[Detail]],1,FIND("&gt;",Tabella4[[#This Row],[Detail]]))),Tabella4[[#This Row],[Detail]])</f>
        <v>&lt;button id="business-button-open" class="offcanvas-toggle pi-targetarea" aria-label="Business" type="button" aria-haspopup="true" aria-controls="menu-siti" aria-expanded="false"&gt;</v>
      </c>
      <c r="Y201" s="34" t="str">
        <f>SUBSTITUTE(IF(Tabella4[[#This Row],[Tool]]="axe-core",MID(Tabella4[[#This Row],[Rejected Element]],3,LEN(Tabella4[[#This Row],[Rejected Element]])-4),Tabella4[[#This Row],[Rejected Element]]),"\","")</f>
        <v>#business-button-open</v>
      </c>
      <c r="Z201" s="34">
        <f>COUNTIFS(Tabella4[Detail univoco],Tabella4[[#This Row],[Detail univoco]],Tabella4[Rejected Element Univoco],Tabella4[[#This Row],[Rejected Element Univoco]],Tabella4[ItemsNodeLabel],Tabella4[[#This Row],[ItemsNodeLabel]])</f>
        <v>0</v>
      </c>
      <c r="AA201" s="34" t="str">
        <f>IF(Tabella4[[#This Row],[Componente]]="Documenti",VLOOKUP(Tabella4[[#This Row],[URL]],Tabella27[[URL]:[Servizio]],4,FALSE),VLOOKUP(Tabella4[[#This Row],[Page ID]],Tabella1[[Page ID]:[Servizio]],4,FALSE))</f>
        <v>S003 Assistenza</v>
      </c>
      <c r="AB201" s="34"/>
      <c r="AC201" s="34" t="str">
        <f>Tabella4[[#This Row],[User Impact]]</f>
        <v>2 - Serious</v>
      </c>
      <c r="AD201" s="34" t="str">
        <f>Copertina!C$2&amp;" - "&amp;Tabella4[[#This Row],[UNI CEI EN 301549]]&amp;" "&amp;VLOOKUP(Tabella4[[#This Row],[Criterio]],Tabella5[[ID]:[Criterio di successo]],2,FALSE)&amp;" - "&amp;Tabella4[[#This Row],[Servizio]]&amp;":"</f>
        <v>Insurance Brocker - 9.2.5.3 Etichetta nel nome - S003 Assistenza:</v>
      </c>
      <c r="AE20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(#TM0162)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https://posteinsurancebroker.poste.it/reclami/ - &lt;button id="business-button-open" class="offcanvas-toggle pi-targetarea" aria-label="Business" type="button" aria-haspopup="true" aria-controls="menu-siti" aria-expanded="false"&gt; con selettore: 
["#business-button-open"]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201">
        <f>_xlfn.XLOOKUP(Tabella4[[#This Row],[ID Silk]],outTable[ID Silk],outTable[Numero ticket  ],,0,1)</f>
        <v>5970</v>
      </c>
    </row>
    <row r="202" spans="1:32">
      <c r="A202" s="34" t="str">
        <f>MID(Tabella4[[#This Row],[Servizio]],1,4)&amp;Tabella4[[#This Row],[UNI CEI EN 301549]]</f>
        <v>S0039.2.5.3</v>
      </c>
      <c r="B202" s="34" t="str">
        <f>Tabella4[[#This Row],[ID Silk]]&amp;"_1"</f>
        <v>S0039.2.5.3_1</v>
      </c>
      <c r="C202" s="34" t="s">
        <v>943</v>
      </c>
      <c r="D202" s="2" t="str">
        <f>"(#"&amp;Tabella4[[#This Row],['#ID]]&amp;")"</f>
        <v>(#TM0163)</v>
      </c>
      <c r="E202" s="34" t="str">
        <f>IF(MID(Tabella4[[#This Row],['#ID]],1,1)="M","Mobile",IF(MID(Tabella4[[#This Row],['#ID]],1,1)="D","Desktop",IF(MID(Tabella4[[#This Row],['#ID]],1,2)="TM","Manuale","Documenti")))</f>
        <v>Manuale</v>
      </c>
      <c r="F202" s="34" t="s">
        <v>1005</v>
      </c>
      <c r="G202" s="34" t="s">
        <v>324</v>
      </c>
      <c r="H202" s="34" t="str">
        <f>IF(Tabella4[[#This Row],[Componente]]="Documenti","10.","9.")&amp;Tabella4[[#This Row],[Criterio]]</f>
        <v>9.2.5.3</v>
      </c>
      <c r="I202" s="34" t="s">
        <v>1023</v>
      </c>
      <c r="J202" s="34" t="s">
        <v>1024</v>
      </c>
      <c r="K202" s="34" t="s">
        <v>1025</v>
      </c>
      <c r="L202" s="34" t="s">
        <v>1026</v>
      </c>
      <c r="M202" s="34" t="s">
        <v>1027</v>
      </c>
      <c r="N202" t="s">
        <v>486</v>
      </c>
      <c r="O202" t="s">
        <v>487</v>
      </c>
      <c r="P202" t="s">
        <v>393</v>
      </c>
      <c r="R202" s="34" t="str">
        <f>IF(Tabella4[[#This Row],[Componente]]="Documenti",_xlfn.XLOOKUP(Tabella4[[#This Row],[URL]],Tabella27[URL],Tabella27[PDF ID],,0),_xlfn.XLOOKUP(Tabella4[[#This Row],[URL]],Tabella1[URL],Tabella1[Page ID],,0))</f>
        <v>#13</v>
      </c>
      <c r="S202" s="34" t="s">
        <v>1004</v>
      </c>
      <c r="T202" s="34" t="s">
        <v>481</v>
      </c>
      <c r="V202" t="s">
        <v>484</v>
      </c>
      <c r="W202" s="34" t="s">
        <v>1066</v>
      </c>
      <c r="X202" s="34" t="str">
        <f>IFERROR(IF(Tabella4[[#This Row],[Tool]]="lighthouse",Tabella4[[#This Row],[Detail]],MID(Tabella4[[#This Row],[Detail]],1,FIND("&gt;",Tabella4[[#This Row],[Detail]]))),Tabella4[[#This Row],[Detail]])</f>
        <v>&lt;button id="assistenza-cta" class="fedbar-object offcanvas-toggle" aria-label="assistenza" aria-controls="assistenza-side" aria-expanded="false" data-menu-pnl="assistenza-default-panel" aria-haspopup="true" title="Assistenza" data-activity-linkid="header-assistenza-btn"&gt;</v>
      </c>
      <c r="Y202" s="34" t="str">
        <f>SUBSTITUTE(IF(Tabella4[[#This Row],[Tool]]="axe-core",MID(Tabella4[[#This Row],[Rejected Element]],3,LEN(Tabella4[[#This Row],[Rejected Element]])-4),Tabella4[[#This Row],[Rejected Element]]),"\","")</f>
        <v>#assistenza-cta</v>
      </c>
      <c r="Z202" s="34">
        <f>COUNTIFS(Tabella4[Detail univoco],Tabella4[[#This Row],[Detail univoco]],Tabella4[Rejected Element Univoco],Tabella4[[#This Row],[Rejected Element Univoco]],Tabella4[ItemsNodeLabel],Tabella4[[#This Row],[ItemsNodeLabel]])</f>
        <v>0</v>
      </c>
      <c r="AA202" s="34" t="str">
        <f>IF(Tabella4[[#This Row],[Componente]]="Documenti",VLOOKUP(Tabella4[[#This Row],[URL]],Tabella27[[URL]:[Servizio]],4,FALSE),VLOOKUP(Tabella4[[#This Row],[Page ID]],Tabella1[[Page ID]:[Servizio]],4,FALSE))</f>
        <v>S003 Assistenza</v>
      </c>
      <c r="AB202" s="34"/>
      <c r="AC202" s="34" t="str">
        <f>Tabella4[[#This Row],[User Impact]]</f>
        <v>2 - Serious</v>
      </c>
      <c r="AD202" s="34" t="str">
        <f>Copertina!C$2&amp;" - "&amp;Tabella4[[#This Row],[UNI CEI EN 301549]]&amp;" "&amp;VLOOKUP(Tabella4[[#This Row],[Criterio]],Tabella5[[ID]:[Criterio di successo]],2,FALSE)&amp;" - "&amp;Tabella4[[#This Row],[Servizio]]&amp;":"</f>
        <v>Insurance Brocker - 9.2.5.3 Etichetta nel nome - S003 Assistenza:</v>
      </c>
      <c r="AE20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(#TM0163)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https://posteinsurancebroker.poste.it/reclami/ - &lt;button id="assistenza-cta" class="fedbar-object offcanvas-toggle" aria-label="assistenza" aria-controls="assistenza-side" aria-expanded="false" data-menu-pnl="assistenza-default-panel" aria-haspopup="true" title="Assistenza" data-activity-linkid="header-assistenza-btn"&gt; con selettore: 
["#assistenza-cta"]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202">
        <f>_xlfn.XLOOKUP(Tabella4[[#This Row],[ID Silk]],outTable[ID Silk],outTable[Numero ticket  ],,0,1)</f>
        <v>5970</v>
      </c>
    </row>
    <row r="203" spans="1:32">
      <c r="A203" s="34" t="str">
        <f>MID(Tabella4[[#This Row],[Servizio]],1,4)&amp;Tabella4[[#This Row],[UNI CEI EN 301549]]</f>
        <v>S0039.2.5.3</v>
      </c>
      <c r="B203" s="34" t="str">
        <f>Tabella4[[#This Row],[ID Silk]]&amp;"_1"</f>
        <v>S0039.2.5.3_1</v>
      </c>
      <c r="C203" s="34" t="s">
        <v>944</v>
      </c>
      <c r="D203" s="2" t="str">
        <f>"(#"&amp;Tabella4[[#This Row],['#ID]]&amp;")"</f>
        <v>(#TM0164)</v>
      </c>
      <c r="E203" s="34" t="str">
        <f>IF(MID(Tabella4[[#This Row],['#ID]],1,1)="M","Mobile",IF(MID(Tabella4[[#This Row],['#ID]],1,1)="D","Desktop",IF(MID(Tabella4[[#This Row],['#ID]],1,2)="TM","Manuale","Documenti")))</f>
        <v>Manuale</v>
      </c>
      <c r="F203" s="34" t="s">
        <v>1005</v>
      </c>
      <c r="G203" s="34" t="s">
        <v>324</v>
      </c>
      <c r="H203" s="34" t="str">
        <f>IF(Tabella4[[#This Row],[Componente]]="Documenti","10.","9.")&amp;Tabella4[[#This Row],[Criterio]]</f>
        <v>9.2.5.3</v>
      </c>
      <c r="I203" s="34" t="s">
        <v>1023</v>
      </c>
      <c r="J203" s="34" t="s">
        <v>1024</v>
      </c>
      <c r="K203" s="34" t="s">
        <v>1025</v>
      </c>
      <c r="L203" s="34" t="s">
        <v>1026</v>
      </c>
      <c r="M203" s="34" t="s">
        <v>1027</v>
      </c>
      <c r="N203" t="s">
        <v>488</v>
      </c>
      <c r="O203" t="s">
        <v>489</v>
      </c>
      <c r="P203" t="s">
        <v>393</v>
      </c>
      <c r="R203" s="34" t="str">
        <f>IF(Tabella4[[#This Row],[Componente]]="Documenti",_xlfn.XLOOKUP(Tabella4[[#This Row],[URL]],Tabella27[URL],Tabella27[PDF ID],,0),_xlfn.XLOOKUP(Tabella4[[#This Row],[URL]],Tabella1[URL],Tabella1[Page ID],,0))</f>
        <v>#13</v>
      </c>
      <c r="S203" s="34" t="s">
        <v>1004</v>
      </c>
      <c r="T203" s="34" t="s">
        <v>481</v>
      </c>
      <c r="V203" t="s">
        <v>484</v>
      </c>
      <c r="W203" s="34" t="s">
        <v>1066</v>
      </c>
      <c r="X203" s="34" t="str">
        <f>IFERROR(IF(Tabella4[[#This Row],[Tool]]="lighthouse",Tabella4[[#This Row],[Detail]],MID(Tabella4[[#This Row],[Detail]],1,FIND("&gt;",Tabella4[[#This Row],[Detail]]))),Tabella4[[#This Row],[Detail]])</f>
        <v>&lt;button class="navbar-object offcanvas-toggle" id="mn-ctrl" type="button" aria-haspopup="true" aria-controls="menu-navigazione" aria-expanded="false" aria-label="Apre il menu di navigazione" data-activity-linkid="Btn Menu Mobile"&gt;</v>
      </c>
      <c r="Y203" s="34" t="str">
        <f>SUBSTITUTE(IF(Tabella4[[#This Row],[Tool]]="axe-core",MID(Tabella4[[#This Row],[Rejected Element]],3,LEN(Tabella4[[#This Row],[Rejected Element]])-4),Tabella4[[#This Row],[Rejected Element]]),"\","")</f>
        <v>#mn-ctrl</v>
      </c>
      <c r="Z203" s="34">
        <f>COUNTIFS(Tabella4[Detail univoco],Tabella4[[#This Row],[Detail univoco]],Tabella4[Rejected Element Univoco],Tabella4[[#This Row],[Rejected Element Univoco]],Tabella4[ItemsNodeLabel],Tabella4[[#This Row],[ItemsNodeLabel]])</f>
        <v>0</v>
      </c>
      <c r="AA203" s="34" t="str">
        <f>IF(Tabella4[[#This Row],[Componente]]="Documenti",VLOOKUP(Tabella4[[#This Row],[URL]],Tabella27[[URL]:[Servizio]],4,FALSE),VLOOKUP(Tabella4[[#This Row],[Page ID]],Tabella1[[Page ID]:[Servizio]],4,FALSE))</f>
        <v>S003 Assistenza</v>
      </c>
      <c r="AB203" s="34"/>
      <c r="AC203" s="34" t="str">
        <f>Tabella4[[#This Row],[User Impact]]</f>
        <v>2 - Serious</v>
      </c>
      <c r="AD203" s="34" t="str">
        <f>Copertina!C$2&amp;" - "&amp;Tabella4[[#This Row],[UNI CEI EN 301549]]&amp;" "&amp;VLOOKUP(Tabella4[[#This Row],[Criterio]],Tabella5[[ID]:[Criterio di successo]],2,FALSE)&amp;" - "&amp;Tabella4[[#This Row],[Servizio]]&amp;":"</f>
        <v>Insurance Brocker - 9.2.5.3 Etichetta nel nome - S003 Assistenza:</v>
      </c>
      <c r="AE20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(#TM0164)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https://posteinsurancebroker.poste.it/reclami/ - &lt;button class="navbar-object offcanvas-toggle" id="mn-ctrl" type="button" aria-haspopup="true" aria-controls="menu-navigazione" aria-expanded="false" aria-label="Apre il menu di navigazione" data-activity-linkid="Btn Menu Mobile"&gt; con selettore: 
["#mn-ctrl"]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203">
        <f>_xlfn.XLOOKUP(Tabella4[[#This Row],[ID Silk]],outTable[ID Silk],outTable[Numero ticket  ],,0,1)</f>
        <v>5970</v>
      </c>
    </row>
    <row r="204" spans="1:32">
      <c r="A204" s="34" t="str">
        <f>MID(Tabella4[[#This Row],[Servizio]],1,4)&amp;Tabella4[[#This Row],[UNI CEI EN 301549]]</f>
        <v>S0039.1.4.3</v>
      </c>
      <c r="B204" s="34" t="str">
        <f>Tabella4[[#This Row],[ID Silk]]&amp;"_1"</f>
        <v>S0039.1.4.3_1</v>
      </c>
      <c r="C204" s="34" t="s">
        <v>945</v>
      </c>
      <c r="D204" s="2" t="str">
        <f>"(#"&amp;Tabella4[[#This Row],['#ID]]&amp;")"</f>
        <v>(#TM0165)</v>
      </c>
      <c r="E204" s="34" t="str">
        <f>IF(MID(Tabella4[[#This Row],['#ID]],1,1)="M","Mobile",IF(MID(Tabella4[[#This Row],['#ID]],1,1)="D","Desktop",IF(MID(Tabella4[[#This Row],['#ID]],1,2)="TM","Manuale","Documenti")))</f>
        <v>Manuale</v>
      </c>
      <c r="F204" s="34" t="s">
        <v>1006</v>
      </c>
      <c r="G204" s="34" t="s">
        <v>228</v>
      </c>
      <c r="H204" s="34" t="str">
        <f>IF(Tabella4[[#This Row],[Componente]]="Documenti","10.","9.")&amp;Tabella4[[#This Row],[Criterio]]</f>
        <v>9.1.4.3</v>
      </c>
      <c r="I204" s="34" t="s">
        <v>1023</v>
      </c>
      <c r="J204" s="34" t="s">
        <v>1037</v>
      </c>
      <c r="K204" s="34" t="s">
        <v>549</v>
      </c>
      <c r="L204" s="34" t="s">
        <v>1038</v>
      </c>
      <c r="M204" s="34" t="s">
        <v>1039</v>
      </c>
      <c r="N204" t="s">
        <v>565</v>
      </c>
      <c r="O204" t="s">
        <v>551</v>
      </c>
      <c r="P204" t="s">
        <v>393</v>
      </c>
      <c r="R204" s="34" t="str">
        <f>IF(Tabella4[[#This Row],[Componente]]="Documenti",_xlfn.XLOOKUP(Tabella4[[#This Row],[URL]],Tabella27[URL],Tabella27[PDF ID],,0),_xlfn.XLOOKUP(Tabella4[[#This Row],[URL]],Tabella1[URL],Tabella1[Page ID],,0))</f>
        <v>#13</v>
      </c>
      <c r="S204" s="34" t="s">
        <v>1004</v>
      </c>
      <c r="T204" s="34" t="s">
        <v>547</v>
      </c>
      <c r="V204" t="s">
        <v>548</v>
      </c>
      <c r="W204" s="34" t="s">
        <v>1069</v>
      </c>
      <c r="X204" s="34" t="str">
        <f>IFERROR(IF(Tabella4[[#This Row],[Tool]]="lighthouse",Tabella4[[#This Row],[Detail]],MID(Tabella4[[#This Row],[Detail]],1,FIND("&gt;",Tabella4[[#This Row],[Detail]]))),Tabella4[[#This Row],[Detail]])</f>
        <v>&lt;a tabindex="0" class="skip-link sr-only-focusable-abs" href="#accessibility-anchor"&gt;</v>
      </c>
      <c r="Y204" s="34" t="str">
        <f>SUBSTITUTE(IF(Tabella4[[#This Row],[Tool]]="axe-core",MID(Tabella4[[#This Row],[Rejected Element]],3,LEN(Tabella4[[#This Row],[Rejected Element]])-4),Tabella4[[#This Row],[Rejected Element]]),"\","")</f>
        <v>body#page.Nessuno &gt; nav#skiplink:nth-of-type(1) &gt; ul:nth-of-type(1) &gt; li:nth-of-type(1) &gt; a.skip-link.sr-only-focusable-abs:nth-of-type(1)</v>
      </c>
      <c r="Z204" s="34">
        <f>COUNTIFS(Tabella4[Detail univoco],Tabella4[[#This Row],[Detail univoco]],Tabella4[Rejected Element Univoco],Tabella4[[#This Row],[Rejected Element Univoco]],Tabella4[ItemsNodeLabel],Tabella4[[#This Row],[ItemsNodeLabel]])</f>
        <v>0</v>
      </c>
      <c r="AA204" s="34" t="str">
        <f>IF(Tabella4[[#This Row],[Componente]]="Documenti",VLOOKUP(Tabella4[[#This Row],[URL]],Tabella27[[URL]:[Servizio]],4,FALSE),VLOOKUP(Tabella4[[#This Row],[Page ID]],Tabella1[[Page ID]:[Servizio]],4,FALSE))</f>
        <v>S003 Assistenza</v>
      </c>
      <c r="AB204" s="34"/>
      <c r="AC204" s="34" t="str">
        <f>Tabella4[[#This Row],[User Impact]]</f>
        <v>2 - Serious</v>
      </c>
      <c r="AD204" s="34" t="str">
        <f>Copertina!C$2&amp;" - "&amp;Tabella4[[#This Row],[UNI CEI EN 301549]]&amp;" "&amp;VLOOKUP(Tabella4[[#This Row],[Criterio]],Tabella5[[ID]:[Criterio di successo]],2,FALSE)&amp;" - "&amp;Tabella4[[#This Row],[Servizio]]&amp;":"</f>
        <v>Insurance Brocker - 9.1.4.3 Contrasto (minimo) - S003 Assistenza:</v>
      </c>
      <c r="AE20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(#TM0165)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https://posteinsurancebroker.poste.it/reclami/ - &lt;a tabindex="0" class="skip-link sr-only-focusable-abs" href="#accessibility-anchor"&gt;Passa al contenuto principale&lt;/a&gt; con selettore: 
["body#page.Nessuno &gt; nav#skiplink:nth-of-type(1) &gt; ul:nth-of-type(1) &gt; li:nth-of-type(1)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04">
        <f>_xlfn.XLOOKUP(Tabella4[[#This Row],[ID Silk]],outTable[ID Silk],outTable[Numero ticket  ],,0,1)</f>
        <v>5967</v>
      </c>
    </row>
    <row r="205" spans="1:32">
      <c r="A205" s="34" t="str">
        <f>MID(Tabella4[[#This Row],[Servizio]],1,4)&amp;Tabella4[[#This Row],[UNI CEI EN 301549]]</f>
        <v>S0039.1.4.3</v>
      </c>
      <c r="B205" s="34" t="str">
        <f>Tabella4[[#This Row],[ID Silk]]&amp;"_1"</f>
        <v>S0039.1.4.3_1</v>
      </c>
      <c r="C205" s="34" t="s">
        <v>946</v>
      </c>
      <c r="D205" s="2" t="str">
        <f>"(#"&amp;Tabella4[[#This Row],['#ID]]&amp;")"</f>
        <v>(#TM0166)</v>
      </c>
      <c r="E205" s="34" t="str">
        <f>IF(MID(Tabella4[[#This Row],['#ID]],1,1)="M","Mobile",IF(MID(Tabella4[[#This Row],['#ID]],1,1)="D","Desktop",IF(MID(Tabella4[[#This Row],['#ID]],1,2)="TM","Manuale","Documenti")))</f>
        <v>Manuale</v>
      </c>
      <c r="F205" s="34" t="s">
        <v>1006</v>
      </c>
      <c r="G205" s="34" t="s">
        <v>228</v>
      </c>
      <c r="H205" s="34" t="str">
        <f>IF(Tabella4[[#This Row],[Componente]]="Documenti","10.","9.")&amp;Tabella4[[#This Row],[Criterio]]</f>
        <v>9.1.4.3</v>
      </c>
      <c r="I205" s="34" t="s">
        <v>1023</v>
      </c>
      <c r="J205" s="34" t="s">
        <v>1037</v>
      </c>
      <c r="K205" s="34" t="s">
        <v>549</v>
      </c>
      <c r="L205" s="34" t="s">
        <v>1038</v>
      </c>
      <c r="M205" s="34" t="s">
        <v>1039</v>
      </c>
      <c r="N205" t="s">
        <v>566</v>
      </c>
      <c r="O205" t="s">
        <v>553</v>
      </c>
      <c r="P205" t="s">
        <v>393</v>
      </c>
      <c r="R205" s="34" t="str">
        <f>IF(Tabella4[[#This Row],[Componente]]="Documenti",_xlfn.XLOOKUP(Tabella4[[#This Row],[URL]],Tabella27[URL],Tabella27[PDF ID],,0),_xlfn.XLOOKUP(Tabella4[[#This Row],[URL]],Tabella1[URL],Tabella1[Page ID],,0))</f>
        <v>#13</v>
      </c>
      <c r="S205" s="34" t="s">
        <v>1004</v>
      </c>
      <c r="T205" s="34" t="s">
        <v>547</v>
      </c>
      <c r="V205" t="s">
        <v>548</v>
      </c>
      <c r="W205" s="34" t="s">
        <v>1069</v>
      </c>
      <c r="X205" s="34" t="str">
        <f>IFERROR(IF(Tabella4[[#This Row],[Tool]]="lighthouse",Tabella4[[#This Row],[Detail]],MID(Tabella4[[#This Row],[Detail]],1,FIND("&gt;",Tabella4[[#This Row],[Detail]]))),Tabella4[[#This Row],[Detail]])</f>
        <v>&lt;a class="skip-link sr-only-focusable-abs" href="#footer"&gt;</v>
      </c>
      <c r="Y205" s="34" t="str">
        <f>SUBSTITUTE(IF(Tabella4[[#This Row],[Tool]]="axe-core",MID(Tabella4[[#This Row],[Rejected Element]],3,LEN(Tabella4[[#This Row],[Rejected Element]])-4),Tabella4[[#This Row],[Rejected Element]]),"\","")</f>
        <v>body#page.Nessuno &gt; nav#skiplink:nth-of-type(1) &gt; ul:nth-of-type(1) &gt; li:nth-of-type(3) &gt; a.skip-link.sr-only-focusable-abs:nth-of-type(1)</v>
      </c>
      <c r="Z205" s="34">
        <f>COUNTIFS(Tabella4[Detail univoco],Tabella4[[#This Row],[Detail univoco]],Tabella4[Rejected Element Univoco],Tabella4[[#This Row],[Rejected Element Univoco]],Tabella4[ItemsNodeLabel],Tabella4[[#This Row],[ItemsNodeLabel]])</f>
        <v>0</v>
      </c>
      <c r="AA205" s="34" t="str">
        <f>IF(Tabella4[[#This Row],[Componente]]="Documenti",VLOOKUP(Tabella4[[#This Row],[URL]],Tabella27[[URL]:[Servizio]],4,FALSE),VLOOKUP(Tabella4[[#This Row],[Page ID]],Tabella1[[Page ID]:[Servizio]],4,FALSE))</f>
        <v>S003 Assistenza</v>
      </c>
      <c r="AB205" s="34"/>
      <c r="AC205" s="34" t="str">
        <f>Tabella4[[#This Row],[User Impact]]</f>
        <v>2 - Serious</v>
      </c>
      <c r="AD205" s="34" t="str">
        <f>Copertina!C$2&amp;" - "&amp;Tabella4[[#This Row],[UNI CEI EN 301549]]&amp;" "&amp;VLOOKUP(Tabella4[[#This Row],[Criterio]],Tabella5[[ID]:[Criterio di successo]],2,FALSE)&amp;" - "&amp;Tabella4[[#This Row],[Servizio]]&amp;":"</f>
        <v>Insurance Brocker - 9.1.4.3 Contrasto (minimo) - S003 Assistenza:</v>
      </c>
      <c r="AE20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(#TM0166)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https://posteinsurancebroker.poste.it/reclami/ - &lt;a class="skip-link sr-only-focusable-abs" href="#footer"&gt;Passa al footer di pagina&lt;/a&gt; con selettore: 
["body#page.Nessuno &gt; nav#skiplink:nth-of-type(1) &gt; ul:nth-of-type(1) &gt; li:nth-of-type(3)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05">
        <f>_xlfn.XLOOKUP(Tabella4[[#This Row],[ID Silk]],outTable[ID Silk],outTable[Numero ticket  ],,0,1)</f>
        <v>5967</v>
      </c>
    </row>
    <row r="206" spans="1:32">
      <c r="A206" s="34" t="str">
        <f>MID(Tabella4[[#This Row],[Servizio]],1,4)&amp;Tabella4[[#This Row],[UNI CEI EN 301549]]</f>
        <v>S0039.1.4.3</v>
      </c>
      <c r="B206" s="34" t="str">
        <f>Tabella4[[#This Row],[ID Silk]]&amp;"_1"</f>
        <v>S0039.1.4.3_1</v>
      </c>
      <c r="C206" s="34" t="s">
        <v>947</v>
      </c>
      <c r="D206" s="2" t="str">
        <f>"(#"&amp;Tabella4[[#This Row],['#ID]]&amp;")"</f>
        <v>(#TM0167)</v>
      </c>
      <c r="E206" s="34" t="str">
        <f>IF(MID(Tabella4[[#This Row],['#ID]],1,1)="M","Mobile",IF(MID(Tabella4[[#This Row],['#ID]],1,1)="D","Desktop",IF(MID(Tabella4[[#This Row],['#ID]],1,2)="TM","Manuale","Documenti")))</f>
        <v>Manuale</v>
      </c>
      <c r="F206" s="34" t="s">
        <v>1006</v>
      </c>
      <c r="G206" s="34" t="s">
        <v>228</v>
      </c>
      <c r="H206" s="34" t="str">
        <f>IF(Tabella4[[#This Row],[Componente]]="Documenti","10.","9.")&amp;Tabella4[[#This Row],[Criterio]]</f>
        <v>9.1.4.3</v>
      </c>
      <c r="I206" s="34" t="s">
        <v>1023</v>
      </c>
      <c r="J206" s="34" t="s">
        <v>1037</v>
      </c>
      <c r="K206" s="34" t="s">
        <v>549</v>
      </c>
      <c r="L206" s="34" t="s">
        <v>1038</v>
      </c>
      <c r="M206" s="34" t="s">
        <v>1039</v>
      </c>
      <c r="N206" t="s">
        <v>713</v>
      </c>
      <c r="O206" t="s">
        <v>714</v>
      </c>
      <c r="P206" t="s">
        <v>393</v>
      </c>
      <c r="R206" s="34" t="str">
        <f>IF(Tabella4[[#This Row],[Componente]]="Documenti",_xlfn.XLOOKUP(Tabella4[[#This Row],[URL]],Tabella27[URL],Tabella27[PDF ID],,0),_xlfn.XLOOKUP(Tabella4[[#This Row],[URL]],Tabella1[URL],Tabella1[Page ID],,0))</f>
        <v>#13</v>
      </c>
      <c r="S206" s="34" t="s">
        <v>1004</v>
      </c>
      <c r="T206" s="34" t="s">
        <v>547</v>
      </c>
      <c r="V206" t="s">
        <v>548</v>
      </c>
      <c r="W206" s="34" t="s">
        <v>1069</v>
      </c>
      <c r="X206" s="34" t="str">
        <f>IFERROR(IF(Tabella4[[#This Row],[Tool]]="lighthouse",Tabella4[[#This Row],[Detail]],MID(Tabella4[[#This Row],[Detail]],1,FIND("&gt;",Tabella4[[#This Row],[Detail]]))),Tabella4[[#This Row],[Detail]])</f>
        <v>&lt;a title="Scrivi al seguente indirizzo reclami@linear.it" href="mailto:reclami@linear.it" target="_self" data-activity-linkid="link-reclami@linear.it"&gt;</v>
      </c>
      <c r="Y206" s="34" t="str">
        <f>SUBSTITUTE(IF(Tabella4[[#This Row],[Tool]]="axe-core",MID(Tabella4[[#This Row],[Rejected Element]],3,LEN(Tabella4[[#This Row],[Rejected Element]])-4),Tabella4[[#This Row],[Rejected Element]]),"\","")</f>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li:nth-of-type(2) &gt; a:nth-of-type(1)</v>
      </c>
      <c r="Z206" s="34">
        <f>COUNTIFS(Tabella4[Detail univoco],Tabella4[[#This Row],[Detail univoco]],Tabella4[Rejected Element Univoco],Tabella4[[#This Row],[Rejected Element Univoco]],Tabella4[ItemsNodeLabel],Tabella4[[#This Row],[ItemsNodeLabel]])</f>
        <v>0</v>
      </c>
      <c r="AA206" s="34" t="str">
        <f>IF(Tabella4[[#This Row],[Componente]]="Documenti",VLOOKUP(Tabella4[[#This Row],[URL]],Tabella27[[URL]:[Servizio]],4,FALSE),VLOOKUP(Tabella4[[#This Row],[Page ID]],Tabella1[[Page ID]:[Servizio]],4,FALSE))</f>
        <v>S003 Assistenza</v>
      </c>
      <c r="AB206" s="34"/>
      <c r="AC206" s="34" t="str">
        <f>Tabella4[[#This Row],[User Impact]]</f>
        <v>2 - Serious</v>
      </c>
      <c r="AD206" s="34" t="str">
        <f>Copertina!C$2&amp;" - "&amp;Tabella4[[#This Row],[UNI CEI EN 301549]]&amp;" "&amp;VLOOKUP(Tabella4[[#This Row],[Criterio]],Tabella5[[ID]:[Criterio di successo]],2,FALSE)&amp;" - "&amp;Tabella4[[#This Row],[Servizio]]&amp;":"</f>
        <v>Insurance Brocker - 9.1.4.3 Contrasto (minimo) - S003 Assistenza:</v>
      </c>
      <c r="AE20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(#TM0167)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https://posteinsurancebroker.poste.it/reclami/ - &lt;a title="Scrivi al seguente indirizzo reclami@linear.it" href="mailto:reclami@linear.it" target="_self" data-activity-linkid="link-reclami@linear.it"&gt;reclami@linear.it&lt;/a&gt; con selettore: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li:nth-of-type(2)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06">
        <f>_xlfn.XLOOKUP(Tabella4[[#This Row],[ID Silk]],outTable[ID Silk],outTable[Numero ticket  ],,0,1)</f>
        <v>5967</v>
      </c>
    </row>
    <row r="207" spans="1:32">
      <c r="A207" s="34" t="str">
        <f>MID(Tabella4[[#This Row],[Servizio]],1,4)&amp;Tabella4[[#This Row],[UNI CEI EN 301549]]</f>
        <v>S0039.1.4.3</v>
      </c>
      <c r="B207" s="34" t="str">
        <f>Tabella4[[#This Row],[ID Silk]]&amp;"_1"</f>
        <v>S0039.1.4.3_1</v>
      </c>
      <c r="C207" s="34" t="s">
        <v>948</v>
      </c>
      <c r="D207" s="2" t="str">
        <f>"(#"&amp;Tabella4[[#This Row],['#ID]]&amp;")"</f>
        <v>(#TM0168)</v>
      </c>
      <c r="E207" s="34" t="str">
        <f>IF(MID(Tabella4[[#This Row],['#ID]],1,1)="M","Mobile",IF(MID(Tabella4[[#This Row],['#ID]],1,1)="D","Desktop",IF(MID(Tabella4[[#This Row],['#ID]],1,2)="TM","Manuale","Documenti")))</f>
        <v>Manuale</v>
      </c>
      <c r="F207" s="34" t="s">
        <v>1006</v>
      </c>
      <c r="G207" s="34" t="s">
        <v>228</v>
      </c>
      <c r="H207" s="34" t="str">
        <f>IF(Tabella4[[#This Row],[Componente]]="Documenti","10.","9.")&amp;Tabella4[[#This Row],[Criterio]]</f>
        <v>9.1.4.3</v>
      </c>
      <c r="I207" s="34" t="s">
        <v>1023</v>
      </c>
      <c r="J207" s="34" t="s">
        <v>1037</v>
      </c>
      <c r="K207" s="34" t="s">
        <v>549</v>
      </c>
      <c r="L207" s="34" t="s">
        <v>1038</v>
      </c>
      <c r="M207" s="34" t="s">
        <v>1039</v>
      </c>
      <c r="N207" t="s">
        <v>715</v>
      </c>
      <c r="O207" t="s">
        <v>716</v>
      </c>
      <c r="P207" t="s">
        <v>393</v>
      </c>
      <c r="R207" s="34" t="str">
        <f>IF(Tabella4[[#This Row],[Componente]]="Documenti",_xlfn.XLOOKUP(Tabella4[[#This Row],[URL]],Tabella27[URL],Tabella27[PDF ID],,0),_xlfn.XLOOKUP(Tabella4[[#This Row],[URL]],Tabella1[URL],Tabella1[Page ID],,0))</f>
        <v>#13</v>
      </c>
      <c r="S207" s="34" t="s">
        <v>1004</v>
      </c>
      <c r="T207" s="34" t="s">
        <v>547</v>
      </c>
      <c r="V207" t="s">
        <v>548</v>
      </c>
      <c r="W207" s="34" t="s">
        <v>1069</v>
      </c>
      <c r="X207" s="34" t="str">
        <f>IFERROR(IF(Tabella4[[#This Row],[Tool]]="lighthouse",Tabella4[[#This Row],[Detail]],MID(Tabella4[[#This Row],[Detail]],1,FIND("&gt;",Tabella4[[#This Row],[Detail]]))),Tabella4[[#This Row],[Detail]])</f>
        <v>&lt;a title="Segui il link e visita il sito www.linear.it" href="https://www.linear.it/" target="_self" data-activity-linkid="link-www.linear.it (sito esterno)"&gt;</v>
      </c>
      <c r="Y207" s="34" t="str">
        <f>SUBSTITUTE(IF(Tabella4[[#This Row],[Tool]]="axe-core",MID(Tabella4[[#This Row],[Rejected Element]],3,LEN(Tabella4[[#This Row],[Rejected Element]])-4),Tabella4[[#This Row],[Rejected Element]]),"\","")</f>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li:nth-of-type(3) &gt; a:nth-of-type(1)</v>
      </c>
      <c r="Z207" s="34">
        <f>COUNTIFS(Tabella4[Detail univoco],Tabella4[[#This Row],[Detail univoco]],Tabella4[Rejected Element Univoco],Tabella4[[#This Row],[Rejected Element Univoco]],Tabella4[ItemsNodeLabel],Tabella4[[#This Row],[ItemsNodeLabel]])</f>
        <v>0</v>
      </c>
      <c r="AA207" s="34" t="str">
        <f>IF(Tabella4[[#This Row],[Componente]]="Documenti",VLOOKUP(Tabella4[[#This Row],[URL]],Tabella27[[URL]:[Servizio]],4,FALSE),VLOOKUP(Tabella4[[#This Row],[Page ID]],Tabella1[[Page ID]:[Servizio]],4,FALSE))</f>
        <v>S003 Assistenza</v>
      </c>
      <c r="AB207" s="34"/>
      <c r="AC207" s="34" t="str">
        <f>Tabella4[[#This Row],[User Impact]]</f>
        <v>2 - Serious</v>
      </c>
      <c r="AD207" s="34" t="str">
        <f>Copertina!C$2&amp;" - "&amp;Tabella4[[#This Row],[UNI CEI EN 301549]]&amp;" "&amp;VLOOKUP(Tabella4[[#This Row],[Criterio]],Tabella5[[ID]:[Criterio di successo]],2,FALSE)&amp;" - "&amp;Tabella4[[#This Row],[Servizio]]&amp;":"</f>
        <v>Insurance Brocker - 9.1.4.3 Contrasto (minimo) - S003 Assistenza:</v>
      </c>
      <c r="AE20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(#TM0168)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https://posteinsurancebroker.poste.it/reclami/ - &lt;a title="Segui il link e visita il sito www.linear.it" href="https://www.linear.it/" target="_self" data-activity-linkid="link-www.linear.it (sito esterno)"&gt;www.linear.it (sito esterno)&lt;/a&gt; con selettore: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li:nth-of-type(3)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07">
        <f>_xlfn.XLOOKUP(Tabella4[[#This Row],[ID Silk]],outTable[ID Silk],outTable[Numero ticket  ],,0,1)</f>
        <v>5967</v>
      </c>
    </row>
    <row r="208" spans="1:32">
      <c r="A208" s="34" t="str">
        <f>MID(Tabella4[[#This Row],[Servizio]],1,4)&amp;Tabella4[[#This Row],[UNI CEI EN 301549]]</f>
        <v>S0039.1.4.3</v>
      </c>
      <c r="B208" s="34" t="str">
        <f>Tabella4[[#This Row],[ID Silk]]&amp;"_1"</f>
        <v>S0039.1.4.3_1</v>
      </c>
      <c r="C208" s="34" t="s">
        <v>949</v>
      </c>
      <c r="D208" s="2" t="str">
        <f>"(#"&amp;Tabella4[[#This Row],['#ID]]&amp;")"</f>
        <v>(#TM0169)</v>
      </c>
      <c r="E208" s="34" t="str">
        <f>IF(MID(Tabella4[[#This Row],['#ID]],1,1)="M","Mobile",IF(MID(Tabella4[[#This Row],['#ID]],1,1)="D","Desktop",IF(MID(Tabella4[[#This Row],['#ID]],1,2)="TM","Manuale","Documenti")))</f>
        <v>Manuale</v>
      </c>
      <c r="F208" s="34" t="s">
        <v>1006</v>
      </c>
      <c r="G208" s="34" t="s">
        <v>228</v>
      </c>
      <c r="H208" s="34" t="str">
        <f>IF(Tabella4[[#This Row],[Componente]]="Documenti","10.","9.")&amp;Tabella4[[#This Row],[Criterio]]</f>
        <v>9.1.4.3</v>
      </c>
      <c r="I208" s="34" t="s">
        <v>1023</v>
      </c>
      <c r="J208" s="34" t="s">
        <v>1037</v>
      </c>
      <c r="K208" s="34" t="s">
        <v>549</v>
      </c>
      <c r="L208" s="34" t="s">
        <v>1038</v>
      </c>
      <c r="M208" s="34" t="s">
        <v>1039</v>
      </c>
      <c r="N208" t="s">
        <v>717</v>
      </c>
      <c r="O208" t="s">
        <v>718</v>
      </c>
      <c r="P208" t="s">
        <v>393</v>
      </c>
      <c r="R208" s="34" t="str">
        <f>IF(Tabella4[[#This Row],[Componente]]="Documenti",_xlfn.XLOOKUP(Tabella4[[#This Row],[URL]],Tabella27[URL],Tabella27[PDF ID],,0),_xlfn.XLOOKUP(Tabella4[[#This Row],[URL]],Tabella1[URL],Tabella1[Page ID],,0))</f>
        <v>#13</v>
      </c>
      <c r="S208" s="34" t="s">
        <v>1004</v>
      </c>
      <c r="T208" s="34" t="s">
        <v>547</v>
      </c>
      <c r="V208" t="s">
        <v>548</v>
      </c>
      <c r="W208" s="34" t="s">
        <v>1069</v>
      </c>
      <c r="X208" s="34" t="str">
        <f>IFERROR(IF(Tabella4[[#This Row],[Tool]]="lighthouse",Tabella4[[#This Row],[Detail]],MID(Tabella4[[#This Row],[Detail]],1,FIND("&gt;",Tabella4[[#This Row],[Detail]]))),Tabella4[[#This Row],[Detail]])</f>
        <v>&lt;a title="Segui il link e visita il sito www.genertel.it" href="https://www.genertel.it/" target="_self" data-activity-linkid="link-www.genertel.it (Sito esterno)"&gt;</v>
      </c>
      <c r="Y208" s="34" t="str">
        <f>SUBSTITUTE(IF(Tabella4[[#This Row],[Tool]]="axe-core",MID(Tabella4[[#This Row],[Rejected Element]],3,LEN(Tabella4[[#This Row],[Rejected Element]])-4),Tabella4[[#This Row],[Rejected Element]]),"\","")</f>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li:nth-of-type(2) &gt; a:nth-of-type(1)</v>
      </c>
      <c r="Z208" s="34">
        <f>COUNTIFS(Tabella4[Detail univoco],Tabella4[[#This Row],[Detail univoco]],Tabella4[Rejected Element Univoco],Tabella4[[#This Row],[Rejected Element Univoco]],Tabella4[ItemsNodeLabel],Tabella4[[#This Row],[ItemsNodeLabel]])</f>
        <v>0</v>
      </c>
      <c r="AA208" s="34" t="str">
        <f>IF(Tabella4[[#This Row],[Componente]]="Documenti",VLOOKUP(Tabella4[[#This Row],[URL]],Tabella27[[URL]:[Servizio]],4,FALSE),VLOOKUP(Tabella4[[#This Row],[Page ID]],Tabella1[[Page ID]:[Servizio]],4,FALSE))</f>
        <v>S003 Assistenza</v>
      </c>
      <c r="AB208" s="34"/>
      <c r="AC208" s="34" t="str">
        <f>Tabella4[[#This Row],[User Impact]]</f>
        <v>2 - Serious</v>
      </c>
      <c r="AD208" s="34" t="str">
        <f>Copertina!C$2&amp;" - "&amp;Tabella4[[#This Row],[UNI CEI EN 301549]]&amp;" "&amp;VLOOKUP(Tabella4[[#This Row],[Criterio]],Tabella5[[ID]:[Criterio di successo]],2,FALSE)&amp;" - "&amp;Tabella4[[#This Row],[Servizio]]&amp;":"</f>
        <v>Insurance Brocker - 9.1.4.3 Contrasto (minimo) - S003 Assistenza:</v>
      </c>
      <c r="AE20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(#TM0169)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https://posteinsurancebroker.poste.it/reclami/ - &lt;a title="Segui il link e visita il sito www.genertel.it" href="https://www.genertel.it/" target="_self" data-activity-linkid="link-www.genertel.it (Sito esterno)"&gt;www.genertel.it (Sito esterno)&lt;/a&gt; con selettore: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li:nth-of-type(2)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08">
        <f>_xlfn.XLOOKUP(Tabella4[[#This Row],[ID Silk]],outTable[ID Silk],outTable[Numero ticket  ],,0,1)</f>
        <v>5967</v>
      </c>
    </row>
    <row r="209" spans="1:32">
      <c r="A209" s="34" t="str">
        <f>MID(Tabella4[[#This Row],[Servizio]],1,4)&amp;Tabella4[[#This Row],[UNI CEI EN 301549]]</f>
        <v>S0039.1.4.3</v>
      </c>
      <c r="B209" s="34" t="str">
        <f>Tabella4[[#This Row],[ID Silk]]&amp;"_1"</f>
        <v>S0039.1.4.3_1</v>
      </c>
      <c r="C209" s="34" t="s">
        <v>950</v>
      </c>
      <c r="D209" s="2" t="str">
        <f>"(#"&amp;Tabella4[[#This Row],['#ID]]&amp;")"</f>
        <v>(#TM0170)</v>
      </c>
      <c r="E209" s="34" t="str">
        <f>IF(MID(Tabella4[[#This Row],['#ID]],1,1)="M","Mobile",IF(MID(Tabella4[[#This Row],['#ID]],1,1)="D","Desktop",IF(MID(Tabella4[[#This Row],['#ID]],1,2)="TM","Manuale","Documenti")))</f>
        <v>Manuale</v>
      </c>
      <c r="F209" s="34" t="s">
        <v>1006</v>
      </c>
      <c r="G209" s="34" t="s">
        <v>228</v>
      </c>
      <c r="H209" s="34" t="str">
        <f>IF(Tabella4[[#This Row],[Componente]]="Documenti","10.","9.")&amp;Tabella4[[#This Row],[Criterio]]</f>
        <v>9.1.4.3</v>
      </c>
      <c r="I209" s="34" t="s">
        <v>1023</v>
      </c>
      <c r="J209" s="34" t="s">
        <v>1037</v>
      </c>
      <c r="K209" s="34" t="s">
        <v>549</v>
      </c>
      <c r="L209" s="34" t="s">
        <v>1038</v>
      </c>
      <c r="M209" s="34" t="s">
        <v>1039</v>
      </c>
      <c r="N209" t="s">
        <v>719</v>
      </c>
      <c r="O209" t="s">
        <v>720</v>
      </c>
      <c r="P209" t="s">
        <v>393</v>
      </c>
      <c r="R209" s="34" t="str">
        <f>IF(Tabella4[[#This Row],[Componente]]="Documenti",_xlfn.XLOOKUP(Tabella4[[#This Row],[URL]],Tabella27[URL],Tabella27[PDF ID],,0),_xlfn.XLOOKUP(Tabella4[[#This Row],[URL]],Tabella1[URL],Tabella1[Page ID],,0))</f>
        <v>#13</v>
      </c>
      <c r="S209" s="34" t="s">
        <v>1004</v>
      </c>
      <c r="T209" s="34" t="s">
        <v>547</v>
      </c>
      <c r="V209" t="s">
        <v>548</v>
      </c>
      <c r="W209" s="34" t="s">
        <v>1069</v>
      </c>
      <c r="X209" s="34" t="str">
        <f>IFERROR(IF(Tabella4[[#This Row],[Tool]]="lighthouse",Tabella4[[#This Row],[Detail]],MID(Tabella4[[#This Row],[Detail]],1,FIND("&gt;",Tabella4[[#This Row],[Detail]]))),Tabella4[[#This Row],[Detail]])</f>
        <v>&lt;a title="Scrivi al seguente indirizzo quality@genertel.it." href="mailto:quality@genertel.it." target="_self" data-activity-linkid="link-quality@genertel.it"&gt;</v>
      </c>
      <c r="Y209" s="34" t="str">
        <f>SUBSTITUTE(IF(Tabella4[[#This Row],[Tool]]="axe-core",MID(Tabella4[[#This Row],[Rejected Element]],3,LEN(Tabella4[[#This Row],[Rejected Element]])-4),Tabella4[[#This Row],[Rejected Element]]),"\","")</f>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li:nth-of-type(3) &gt; a:nth-of-type(1)</v>
      </c>
      <c r="Z209" s="34">
        <f>COUNTIFS(Tabella4[Detail univoco],Tabella4[[#This Row],[Detail univoco]],Tabella4[Rejected Element Univoco],Tabella4[[#This Row],[Rejected Element Univoco]],Tabella4[ItemsNodeLabel],Tabella4[[#This Row],[ItemsNodeLabel]])</f>
        <v>0</v>
      </c>
      <c r="AA209" s="34" t="str">
        <f>IF(Tabella4[[#This Row],[Componente]]="Documenti",VLOOKUP(Tabella4[[#This Row],[URL]],Tabella27[[URL]:[Servizio]],4,FALSE),VLOOKUP(Tabella4[[#This Row],[Page ID]],Tabella1[[Page ID]:[Servizio]],4,FALSE))</f>
        <v>S003 Assistenza</v>
      </c>
      <c r="AB209" s="34"/>
      <c r="AC209" s="34" t="str">
        <f>Tabella4[[#This Row],[User Impact]]</f>
        <v>2 - Serious</v>
      </c>
      <c r="AD209" s="34" t="str">
        <f>Copertina!C$2&amp;" - "&amp;Tabella4[[#This Row],[UNI CEI EN 301549]]&amp;" "&amp;VLOOKUP(Tabella4[[#This Row],[Criterio]],Tabella5[[ID]:[Criterio di successo]],2,FALSE)&amp;" - "&amp;Tabella4[[#This Row],[Servizio]]&amp;":"</f>
        <v>Insurance Brocker - 9.1.4.3 Contrasto (minimo) - S003 Assistenza:</v>
      </c>
      <c r="AE20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(#TM0170)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https://posteinsurancebroker.poste.it/reclami/ - &lt;a title="Scrivi al seguente indirizzo quality@genertel.it." href="mailto:quality@genertel.it." target="_self" data-activity-linkid="link-quality@genertel.it"&gt;quality@genertel.it&lt;/a&gt; con selettore: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li:nth-of-type(3)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09">
        <f>_xlfn.XLOOKUP(Tabella4[[#This Row],[ID Silk]],outTable[ID Silk],outTable[Numero ticket  ],,0,1)</f>
        <v>5967</v>
      </c>
    </row>
    <row r="210" spans="1:32">
      <c r="A210" s="34" t="str">
        <f>MID(Tabella4[[#This Row],[Servizio]],1,4)&amp;Tabella4[[#This Row],[UNI CEI EN 301549]]</f>
        <v>S0039.1.4.3</v>
      </c>
      <c r="B210" s="34" t="str">
        <f>Tabella4[[#This Row],[ID Silk]]&amp;"_1"</f>
        <v>S0039.1.4.3_1</v>
      </c>
      <c r="C210" s="34" t="s">
        <v>951</v>
      </c>
      <c r="D210" s="2" t="str">
        <f>"(#"&amp;Tabella4[[#This Row],['#ID]]&amp;")"</f>
        <v>(#TM0171)</v>
      </c>
      <c r="E210" s="34" t="str">
        <f>IF(MID(Tabella4[[#This Row],['#ID]],1,1)="M","Mobile",IF(MID(Tabella4[[#This Row],['#ID]],1,1)="D","Desktop",IF(MID(Tabella4[[#This Row],['#ID]],1,2)="TM","Manuale","Documenti")))</f>
        <v>Manuale</v>
      </c>
      <c r="F210" s="34" t="s">
        <v>1006</v>
      </c>
      <c r="G210" s="34" t="s">
        <v>228</v>
      </c>
      <c r="H210" s="34" t="str">
        <f>IF(Tabella4[[#This Row],[Componente]]="Documenti","10.","9.")&amp;Tabella4[[#This Row],[Criterio]]</f>
        <v>9.1.4.3</v>
      </c>
      <c r="I210" s="34" t="s">
        <v>1023</v>
      </c>
      <c r="J210" s="34" t="s">
        <v>1037</v>
      </c>
      <c r="K210" s="34" t="s">
        <v>549</v>
      </c>
      <c r="L210" s="34" t="s">
        <v>1038</v>
      </c>
      <c r="M210" s="34" t="s">
        <v>1039</v>
      </c>
      <c r="N210" t="s">
        <v>721</v>
      </c>
      <c r="O210" t="s">
        <v>722</v>
      </c>
      <c r="P210" t="s">
        <v>393</v>
      </c>
      <c r="R210" s="34" t="str">
        <f>IF(Tabella4[[#This Row],[Componente]]="Documenti",_xlfn.XLOOKUP(Tabella4[[#This Row],[URL]],Tabella27[URL],Tabella27[PDF ID],,0),_xlfn.XLOOKUP(Tabella4[[#This Row],[URL]],Tabella1[URL],Tabella1[Page ID],,0))</f>
        <v>#13</v>
      </c>
      <c r="S210" s="34" t="s">
        <v>1004</v>
      </c>
      <c r="T210" s="34" t="s">
        <v>547</v>
      </c>
      <c r="V210" t="s">
        <v>548</v>
      </c>
      <c r="W210" s="34" t="s">
        <v>1069</v>
      </c>
      <c r="X210" s="34" t="str">
        <f>IFERROR(IF(Tabella4[[#This Row],[Tool]]="lighthouse",Tabella4[[#This Row],[Detail]],MID(Tabella4[[#This Row],[Detail]],1,FIND("&gt;",Tabella4[[#This Row],[Detail]]))),Tabella4[[#This Row],[Detail]])</f>
        <v>&lt;a title="Scrivi al seguente indirizzo reclami@pec.posteinsurancebroker.it" href="mailto:reclami@pec.posteinsurancebroker.it" target="_self" data-activity-linkid="link-reclami@pec.posteinsurancebroker.it"&gt;</v>
      </c>
      <c r="Y210" s="34" t="str">
        <f>SUBSTITUTE(IF(Tabella4[[#This Row],[Tool]]="axe-core",MID(Tabella4[[#This Row],[Rejected Element]],3,LEN(Tabella4[[#This Row],[Rejected Element]])-4),Tabella4[[#This Row],[Rejected Element]]),"\","")</f>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ul.list-check:nth-of-type(3) &gt; li:nth-of-type(1) &gt; a:nth-of-type(1)</v>
      </c>
      <c r="Z210" s="34">
        <f>COUNTIFS(Tabella4[Detail univoco],Tabella4[[#This Row],[Detail univoco]],Tabella4[Rejected Element Univoco],Tabella4[[#This Row],[Rejected Element Univoco]],Tabella4[ItemsNodeLabel],Tabella4[[#This Row],[ItemsNodeLabel]])</f>
        <v>0</v>
      </c>
      <c r="AA210" s="34" t="str">
        <f>IF(Tabella4[[#This Row],[Componente]]="Documenti",VLOOKUP(Tabella4[[#This Row],[URL]],Tabella27[[URL]:[Servizio]],4,FALSE),VLOOKUP(Tabella4[[#This Row],[Page ID]],Tabella1[[Page ID]:[Servizio]],4,FALSE))</f>
        <v>S003 Assistenza</v>
      </c>
      <c r="AB210" s="34"/>
      <c r="AC210" s="34" t="str">
        <f>Tabella4[[#This Row],[User Impact]]</f>
        <v>2 - Serious</v>
      </c>
      <c r="AD210" s="34" t="str">
        <f>Copertina!C$2&amp;" - "&amp;Tabella4[[#This Row],[UNI CEI EN 301549]]&amp;" "&amp;VLOOKUP(Tabella4[[#This Row],[Criterio]],Tabella5[[ID]:[Criterio di successo]],2,FALSE)&amp;" - "&amp;Tabella4[[#This Row],[Servizio]]&amp;":"</f>
        <v>Insurance Brocker - 9.1.4.3 Contrasto (minimo) - S003 Assistenza:</v>
      </c>
      <c r="AE21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(#TM0171)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https://posteinsurancebroker.poste.it/reclami/ - &lt;a title="Scrivi al seguente indirizzo reclami@pec.posteinsurancebroker.it" href="mailto:reclami@pec.posteinsurancebroker.it" target="_self" data-activity-linkid="link-reclami@pec.posteinsurancebroker.it"&gt;reclami@pec.posteinsurancebroker.it&lt;/a&gt; con selettore: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ul.list-check:nth-of-type(3) &gt; li:nth-of-type(1)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10">
        <f>_xlfn.XLOOKUP(Tabella4[[#This Row],[ID Silk]],outTable[ID Silk],outTable[Numero ticket  ],,0,1)</f>
        <v>5967</v>
      </c>
    </row>
    <row r="211" spans="1:32">
      <c r="A211" s="34" t="str">
        <f>MID(Tabella4[[#This Row],[Servizio]],1,4)&amp;Tabella4[[#This Row],[UNI CEI EN 301549]]</f>
        <v>S0039.1.4.3</v>
      </c>
      <c r="B211" s="34" t="str">
        <f>Tabella4[[#This Row],[ID Silk]]&amp;"_1"</f>
        <v>S0039.1.4.3_1</v>
      </c>
      <c r="C211" s="34" t="s">
        <v>952</v>
      </c>
      <c r="D211" s="2" t="str">
        <f>"(#"&amp;Tabella4[[#This Row],['#ID]]&amp;")"</f>
        <v>(#TM0172)</v>
      </c>
      <c r="E211" s="34" t="str">
        <f>IF(MID(Tabella4[[#This Row],['#ID]],1,1)="M","Mobile",IF(MID(Tabella4[[#This Row],['#ID]],1,1)="D","Desktop",IF(MID(Tabella4[[#This Row],['#ID]],1,2)="TM","Manuale","Documenti")))</f>
        <v>Manuale</v>
      </c>
      <c r="F211" s="34" t="s">
        <v>1006</v>
      </c>
      <c r="G211" s="34" t="s">
        <v>228</v>
      </c>
      <c r="H211" s="34" t="str">
        <f>IF(Tabella4[[#This Row],[Componente]]="Documenti","10.","9.")&amp;Tabella4[[#This Row],[Criterio]]</f>
        <v>9.1.4.3</v>
      </c>
      <c r="I211" s="34" t="s">
        <v>1023</v>
      </c>
      <c r="J211" s="34" t="s">
        <v>1037</v>
      </c>
      <c r="K211" s="34" t="s">
        <v>549</v>
      </c>
      <c r="L211" s="34" t="s">
        <v>1038</v>
      </c>
      <c r="M211" s="34" t="s">
        <v>1039</v>
      </c>
      <c r="N211" t="s">
        <v>723</v>
      </c>
      <c r="O211" t="s">
        <v>724</v>
      </c>
      <c r="P211" t="s">
        <v>393</v>
      </c>
      <c r="R211" s="34" t="str">
        <f>IF(Tabella4[[#This Row],[Componente]]="Documenti",_xlfn.XLOOKUP(Tabella4[[#This Row],[URL]],Tabella27[URL],Tabella27[PDF ID],,0),_xlfn.XLOOKUP(Tabella4[[#This Row],[URL]],Tabella1[URL],Tabella1[Page ID],,0))</f>
        <v>#13</v>
      </c>
      <c r="S211" s="34" t="s">
        <v>1004</v>
      </c>
      <c r="T211" s="34" t="s">
        <v>547</v>
      </c>
      <c r="V211" t="s">
        <v>548</v>
      </c>
      <c r="W211" s="34" t="s">
        <v>1069</v>
      </c>
      <c r="X211" s="34" t="str">
        <f>IFERROR(IF(Tabella4[[#This Row],[Tool]]="lighthouse",Tabella4[[#This Row],[Detail]],MID(Tabella4[[#This Row],[Detail]],1,FIND("&gt;",Tabella4[[#This Row],[Detail]]))),Tabella4[[#This Row],[Detail]])</f>
        <v>&lt;a title="Chiama il numero 06 42 133 206" href="tel:0642133206" data-activity-linkid="link-06 42 133 206"&gt;</v>
      </c>
      <c r="Y211" s="34" t="str">
        <f>SUBSTITUTE(IF(Tabella4[[#This Row],[Tool]]="axe-core",MID(Tabella4[[#This Row],[Rejected Element]],3,LEN(Tabella4[[#This Row],[Rejected Element]])-4),Tabella4[[#This Row],[Rejected Element]]),"\","")</f>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a:nth-of-type(1)</v>
      </c>
      <c r="Z211" s="34">
        <f>COUNTIFS(Tabella4[Detail univoco],Tabella4[[#This Row],[Detail univoco]],Tabella4[Rejected Element Univoco],Tabella4[[#This Row],[Rejected Element Univoco]],Tabella4[ItemsNodeLabel],Tabella4[[#This Row],[ItemsNodeLabel]])</f>
        <v>0</v>
      </c>
      <c r="AA211" s="34" t="str">
        <f>IF(Tabella4[[#This Row],[Componente]]="Documenti",VLOOKUP(Tabella4[[#This Row],[URL]],Tabella27[[URL]:[Servizio]],4,FALSE),VLOOKUP(Tabella4[[#This Row],[Page ID]],Tabella1[[Page ID]:[Servizio]],4,FALSE))</f>
        <v>S003 Assistenza</v>
      </c>
      <c r="AB211" s="34"/>
      <c r="AC211" s="34" t="str">
        <f>Tabella4[[#This Row],[User Impact]]</f>
        <v>2 - Serious</v>
      </c>
      <c r="AD211" s="34" t="str">
        <f>Copertina!C$2&amp;" - "&amp;Tabella4[[#This Row],[UNI CEI EN 301549]]&amp;" "&amp;VLOOKUP(Tabella4[[#This Row],[Criterio]],Tabella5[[ID]:[Criterio di successo]],2,FALSE)&amp;" - "&amp;Tabella4[[#This Row],[Servizio]]&amp;":"</f>
        <v>Insurance Brocker - 9.1.4.3 Contrasto (minimo) - S003 Assistenza:</v>
      </c>
      <c r="AE21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(#TM0172)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https://posteinsurancebroker.poste.it/reclami/ - &lt;a title="Chiama il numero 06 42 133 206" href="tel:0642133206" data-activity-linkid="link-06 42 133 206"&gt;06 42 133 206&lt;/a&gt; con selettore: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11">
        <f>_xlfn.XLOOKUP(Tabella4[[#This Row],[ID Silk]],outTable[ID Silk],outTable[Numero ticket  ],,0,1)</f>
        <v>5967</v>
      </c>
    </row>
    <row r="212" spans="1:32">
      <c r="A212" s="34" t="str">
        <f>MID(Tabella4[[#This Row],[Servizio]],1,4)&amp;Tabella4[[#This Row],[UNI CEI EN 301549]]</f>
        <v>S0039.1.4.3</v>
      </c>
      <c r="B212" s="34" t="str">
        <f>Tabella4[[#This Row],[ID Silk]]&amp;"_1"</f>
        <v>S0039.1.4.3_1</v>
      </c>
      <c r="C212" s="34" t="s">
        <v>953</v>
      </c>
      <c r="D212" s="2" t="str">
        <f>"(#"&amp;Tabella4[[#This Row],['#ID]]&amp;")"</f>
        <v>(#TM0173)</v>
      </c>
      <c r="E212" s="34" t="str">
        <f>IF(MID(Tabella4[[#This Row],['#ID]],1,1)="M","Mobile",IF(MID(Tabella4[[#This Row],['#ID]],1,1)="D","Desktop",IF(MID(Tabella4[[#This Row],['#ID]],1,2)="TM","Manuale","Documenti")))</f>
        <v>Manuale</v>
      </c>
      <c r="F212" s="34" t="s">
        <v>1006</v>
      </c>
      <c r="G212" s="34" t="s">
        <v>228</v>
      </c>
      <c r="H212" s="34" t="str">
        <f>IF(Tabella4[[#This Row],[Componente]]="Documenti","10.","9.")&amp;Tabella4[[#This Row],[Criterio]]</f>
        <v>9.1.4.3</v>
      </c>
      <c r="I212" s="34" t="s">
        <v>1023</v>
      </c>
      <c r="J212" s="34" t="s">
        <v>1037</v>
      </c>
      <c r="K212" s="34" t="s">
        <v>549</v>
      </c>
      <c r="L212" s="34" t="s">
        <v>1038</v>
      </c>
      <c r="M212" s="34" t="s">
        <v>1039</v>
      </c>
      <c r="N212" t="s">
        <v>725</v>
      </c>
      <c r="O212" t="s">
        <v>726</v>
      </c>
      <c r="P212" t="s">
        <v>393</v>
      </c>
      <c r="R212" s="34" t="str">
        <f>IF(Tabella4[[#This Row],[Componente]]="Documenti",_xlfn.XLOOKUP(Tabella4[[#This Row],[URL]],Tabella27[URL],Tabella27[PDF ID],,0),_xlfn.XLOOKUP(Tabella4[[#This Row],[URL]],Tabella1[URL],Tabella1[Page ID],,0))</f>
        <v>#13</v>
      </c>
      <c r="S212" s="34" t="s">
        <v>1004</v>
      </c>
      <c r="T212" s="34" t="s">
        <v>547</v>
      </c>
      <c r="V212" t="s">
        <v>548</v>
      </c>
      <c r="W212" s="34" t="s">
        <v>1069</v>
      </c>
      <c r="X212" s="34" t="str">
        <f>IFERROR(IF(Tabella4[[#This Row],[Tool]]="lighthouse",Tabella4[[#This Row],[Detail]],MID(Tabella4[[#This Row],[Detail]],1,FIND("&gt;",Tabella4[[#This Row],[Detail]]))),Tabella4[[#This Row],[Detail]])</f>
        <v>&lt;a title="Scrivi al seguente indirizzo ivass@pec.ivass.it" href="mailto:ivass@pec.ivass.it" target="_self" data-activity-linkid="link-ivass@pec.ivass.it"&gt;</v>
      </c>
      <c r="Y212" s="34" t="str">
        <f>SUBSTITUTE(IF(Tabella4[[#This Row],[Tool]]="axe-core",MID(Tabella4[[#This Row],[Rejected Element]],3,LEN(Tabella4[[#This Row],[Rejected Element]])-4),Tabella4[[#This Row],[Rejected Element]]),"\","")</f>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a:nth-of-type(2)</v>
      </c>
      <c r="Z212" s="34">
        <f>COUNTIFS(Tabella4[Detail univoco],Tabella4[[#This Row],[Detail univoco]],Tabella4[Rejected Element Univoco],Tabella4[[#This Row],[Rejected Element Univoco]],Tabella4[ItemsNodeLabel],Tabella4[[#This Row],[ItemsNodeLabel]])</f>
        <v>0</v>
      </c>
      <c r="AA212" s="34" t="str">
        <f>IF(Tabella4[[#This Row],[Componente]]="Documenti",VLOOKUP(Tabella4[[#This Row],[URL]],Tabella27[[URL]:[Servizio]],4,FALSE),VLOOKUP(Tabella4[[#This Row],[Page ID]],Tabella1[[Page ID]:[Servizio]],4,FALSE))</f>
        <v>S003 Assistenza</v>
      </c>
      <c r="AB212" s="34"/>
      <c r="AC212" s="34" t="str">
        <f>Tabella4[[#This Row],[User Impact]]</f>
        <v>2 - Serious</v>
      </c>
      <c r="AD212" s="34" t="str">
        <f>Copertina!C$2&amp;" - "&amp;Tabella4[[#This Row],[UNI CEI EN 301549]]&amp;" "&amp;VLOOKUP(Tabella4[[#This Row],[Criterio]],Tabella5[[ID]:[Criterio di successo]],2,FALSE)&amp;" - "&amp;Tabella4[[#This Row],[Servizio]]&amp;":"</f>
        <v>Insurance Brocker - 9.1.4.3 Contrasto (minimo) - S003 Assistenza:</v>
      </c>
      <c r="AE21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(#TM0173)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https://posteinsurancebroker.poste.it/reclami/ - &lt;a title="Scrivi al seguente indirizzo ivass@pec.ivass.it" href="mailto:ivass@pec.ivass.it" target="_self" data-activity-linkid="link-ivass@pec.ivass.it"&gt;ivass@pec.ivass.it&lt;/a&gt; con selettore: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a:nth-of-type(2)"]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12">
        <f>_xlfn.XLOOKUP(Tabella4[[#This Row],[ID Silk]],outTable[ID Silk],outTable[Numero ticket  ],,0,1)</f>
        <v>5967</v>
      </c>
    </row>
    <row r="213" spans="1:32">
      <c r="A213" s="34" t="str">
        <f>MID(Tabella4[[#This Row],[Servizio]],1,4)&amp;Tabella4[[#This Row],[UNI CEI EN 301549]]</f>
        <v>S0039.1.3.1</v>
      </c>
      <c r="B213" s="34" t="str">
        <f>Tabella4[[#This Row],[ID Silk]]&amp;"_1"</f>
        <v>S0039.1.3.1_1</v>
      </c>
      <c r="C213" s="34" t="s">
        <v>954</v>
      </c>
      <c r="D213" s="2" t="str">
        <f>"(#"&amp;Tabella4[[#This Row],['#ID]]&amp;")"</f>
        <v>(#TM0174)</v>
      </c>
      <c r="E213" s="34" t="str">
        <f>IF(MID(Tabella4[[#This Row],['#ID]],1,1)="M","Mobile",IF(MID(Tabella4[[#This Row],['#ID]],1,1)="D","Desktop",IF(MID(Tabella4[[#This Row],['#ID]],1,2)="TM","Manuale","Documenti")))</f>
        <v>Manuale</v>
      </c>
      <c r="F213" s="34" t="s">
        <v>1005</v>
      </c>
      <c r="G213" s="34" t="s">
        <v>184</v>
      </c>
      <c r="H213" s="34" t="str">
        <f>IF(Tabella4[[#This Row],[Componente]]="Documenti","10.","9.")&amp;Tabella4[[#This Row],[Criterio]]</f>
        <v>9.1.3.1</v>
      </c>
      <c r="I213" s="34" t="s">
        <v>1036</v>
      </c>
      <c r="J213" s="34" t="s">
        <v>1008</v>
      </c>
      <c r="K213" s="34" t="s">
        <v>558</v>
      </c>
      <c r="L213" s="34" t="s">
        <v>1040</v>
      </c>
      <c r="M213" s="34" t="s">
        <v>1041</v>
      </c>
      <c r="N213" t="s">
        <v>567</v>
      </c>
      <c r="O213" t="s">
        <v>560</v>
      </c>
      <c r="P213" t="s">
        <v>393</v>
      </c>
      <c r="R213" s="34" t="str">
        <f>IF(Tabella4[[#This Row],[Componente]]="Documenti",_xlfn.XLOOKUP(Tabella4[[#This Row],[URL]],Tabella27[URL],Tabella27[PDF ID],,0),_xlfn.XLOOKUP(Tabella4[[#This Row],[URL]],Tabella1[URL],Tabella1[Page ID],,0))</f>
        <v>#13</v>
      </c>
      <c r="S213" s="34" t="s">
        <v>1004</v>
      </c>
      <c r="T213" s="34" t="s">
        <v>556</v>
      </c>
      <c r="V213" t="s">
        <v>557</v>
      </c>
      <c r="W213" s="34" t="s">
        <v>1070</v>
      </c>
      <c r="X213" s="34" t="str">
        <f>IFERROR(IF(Tabella4[[#This Row],[Tool]]="lighthouse",Tabella4[[#This Row],[Detail]],MID(Tabella4[[#This Row],[Detail]],1,FIND("&gt;",Tabella4[[#This Row],[Detail]]))),Tabella4[[#This Row],[Detail]])</f>
        <v>&lt;ul&gt;</v>
      </c>
      <c r="Y213" s="34" t="str">
        <f>SUBSTITUTE(IF(Tabella4[[#This Row],[Tool]]="axe-core",MID(Tabella4[[#This Row],[Rejected Element]],3,LEN(Tabella4[[#This Row],[Rejected Element]])-4),Tabella4[[#This Row],[Rejected Element]]),"\","")</f>
        <v>body#page.Nessuno &gt; nav#skiplink:nth-of-type(1) &gt; ul:nth-of-type(1)</v>
      </c>
      <c r="Z213" s="34">
        <f>COUNTIFS(Tabella4[Detail univoco],Tabella4[[#This Row],[Detail univoco]],Tabella4[Rejected Element Univoco],Tabella4[[#This Row],[Rejected Element Univoco]],Tabella4[ItemsNodeLabel],Tabella4[[#This Row],[ItemsNodeLabel]])</f>
        <v>0</v>
      </c>
      <c r="AA213" s="34" t="str">
        <f>IF(Tabella4[[#This Row],[Componente]]="Documenti",VLOOKUP(Tabella4[[#This Row],[URL]],Tabella27[[URL]:[Servizio]],4,FALSE),VLOOKUP(Tabella4[[#This Row],[Page ID]],Tabella1[[Page ID]:[Servizio]],4,FALSE))</f>
        <v>S003 Assistenza</v>
      </c>
      <c r="AB213" s="34"/>
      <c r="AC213" s="34" t="str">
        <f>Tabella4[[#This Row],[User Impact]]</f>
        <v>3 - Moderate</v>
      </c>
      <c r="AD213" s="34" t="str">
        <f>Copertina!C$2&amp;" - "&amp;Tabella4[[#This Row],[UNI CEI EN 301549]]&amp;" "&amp;VLOOKUP(Tabella4[[#This Row],[Criterio]],Tabella5[[ID]:[Criterio di successo]],2,FALSE)&amp;" - "&amp;Tabella4[[#This Row],[Servizio]]&amp;":"</f>
        <v>Insurance Brocker - 9.1.3.1 Informazioni e correlazioni - S003 Assistenza:</v>
      </c>
      <c r="AE21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S003 Assistenza: (#TM0174)
S003 Assistenza
Requisito: WCAG 1.3.1
Disabilità afflitte: Blind;Deafblind
Impatto Utente: 3 - Moderate
Descrizione: Il contenuto non è una list, ma è contrassegnato come tale - Il contenuto non è una list, ma è contrassegnato come tale. [Ulteriori informazioni] (https://docs.deque.com/issue-help/1.0.0/en/semantic-list-used-for-presentation)
Esempio di violazione individuata sull'oggetto: 
https://posteinsurancebroker.poste.it/reclami/ - &lt;ul&gt; con selettore: 
["body#page.Nessuno &gt; nav#skiplink:nth-of-type(1) &gt; ul:nth-of-type(1)"]
Dettaglio + screenshot (accedere con le seguenti credenziali: user, axeposte@gmail.com; password, Poste2024!): 
Possibile metodologia risolutiva:
Usa elementi di lista come &lt;ul&gt;, &lt;ol&gt;, e &lt;li&gt; solo per contenuti che devono essere presentati in forma di elenco. Assicurati che le liste siano semanticamente corrette per evitare confusione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213">
        <f>_xlfn.XLOOKUP(Tabella4[[#This Row],[ID Silk]],outTable[ID Silk],outTable[Numero ticket  ],,0,1)</f>
        <v>5966</v>
      </c>
    </row>
    <row r="214" spans="1:32">
      <c r="A214" s="34" t="str">
        <f>MID(Tabella4[[#This Row],[Servizio]],1,4)&amp;Tabella4[[#This Row],[UNI CEI EN 301549]]</f>
        <v>S0069.2.5.3</v>
      </c>
      <c r="B214" s="34" t="str">
        <f>Tabella4[[#This Row],[ID Silk]]&amp;"_1"</f>
        <v>S0069.2.5.3_1</v>
      </c>
      <c r="C214" s="34" t="s">
        <v>955</v>
      </c>
      <c r="D214" s="2" t="str">
        <f>"(#"&amp;Tabella4[[#This Row],['#ID]]&amp;")"</f>
        <v>(#TM0175)</v>
      </c>
      <c r="E214" s="34" t="str">
        <f>IF(MID(Tabella4[[#This Row],['#ID]],1,1)="M","Mobile",IF(MID(Tabella4[[#This Row],['#ID]],1,1)="D","Desktop",IF(MID(Tabella4[[#This Row],['#ID]],1,2)="TM","Manuale","Documenti")))</f>
        <v>Manuale</v>
      </c>
      <c r="F214" s="34" t="s">
        <v>1005</v>
      </c>
      <c r="G214" s="34" t="s">
        <v>324</v>
      </c>
      <c r="H214" s="34" t="str">
        <f>IF(Tabella4[[#This Row],[Componente]]="Documenti","10.","9.")&amp;Tabella4[[#This Row],[Criterio]]</f>
        <v>9.2.5.3</v>
      </c>
      <c r="I214" s="34" t="s">
        <v>1023</v>
      </c>
      <c r="J214" s="34" t="s">
        <v>1024</v>
      </c>
      <c r="K214" s="34" t="s">
        <v>1025</v>
      </c>
      <c r="L214" s="34" t="s">
        <v>1026</v>
      </c>
      <c r="M214" s="34" t="s">
        <v>1027</v>
      </c>
      <c r="N214" t="s">
        <v>483</v>
      </c>
      <c r="O214" t="s">
        <v>485</v>
      </c>
      <c r="P214" t="s">
        <v>381</v>
      </c>
      <c r="R214" s="34" t="str">
        <f>IF(Tabella4[[#This Row],[Componente]]="Documenti",_xlfn.XLOOKUP(Tabella4[[#This Row],[URL]],Tabella27[URL],Tabella27[PDF ID],,0),_xlfn.XLOOKUP(Tabella4[[#This Row],[URL]],Tabella1[URL],Tabella1[Page ID],,0))</f>
        <v>#14</v>
      </c>
      <c r="S214" s="34" t="s">
        <v>1004</v>
      </c>
      <c r="T214" s="34" t="s">
        <v>481</v>
      </c>
      <c r="V214" t="s">
        <v>484</v>
      </c>
      <c r="W214" s="34" t="s">
        <v>1066</v>
      </c>
      <c r="X214" s="34" t="str">
        <f>IFERROR(IF(Tabella4[[#This Row],[Tool]]="lighthouse",Tabella4[[#This Row],[Detail]],MID(Tabella4[[#This Row],[Detail]],1,FIND("&gt;",Tabella4[[#This Row],[Detail]]))),Tabella4[[#This Row],[Detail]])</f>
        <v>&lt;button id="business-button-open" class="offcanvas-toggle pi-targetarea" aria-label="Business" type="button" aria-haspopup="true" aria-controls="menu-siti" aria-expanded="false"&gt;</v>
      </c>
      <c r="Y214" s="34" t="str">
        <f>SUBSTITUTE(IF(Tabella4[[#This Row],[Tool]]="axe-core",MID(Tabella4[[#This Row],[Rejected Element]],3,LEN(Tabella4[[#This Row],[Rejected Element]])-4),Tabella4[[#This Row],[Rejected Element]]),"\","")</f>
        <v>#business-button-open</v>
      </c>
      <c r="Z214" s="34">
        <f>COUNTIFS(Tabella4[Detail univoco],Tabella4[[#This Row],[Detail univoco]],Tabella4[Rejected Element Univoco],Tabella4[[#This Row],[Rejected Element Univoco]],Tabella4[ItemsNodeLabel],Tabella4[[#This Row],[ItemsNodeLabel]])</f>
        <v>0</v>
      </c>
      <c r="AA214" s="34" t="str">
        <f>IF(Tabella4[[#This Row],[Componente]]="Documenti",VLOOKUP(Tabella4[[#This Row],[URL]],Tabella27[[URL]:[Servizio]],4,FALSE),VLOOKUP(Tabella4[[#This Row],[Page ID]],Tabella1[[Page ID]:[Servizio]],4,FALSE))</f>
        <v>S006 L'azienda</v>
      </c>
      <c r="AB214" s="34"/>
      <c r="AC214" s="34" t="str">
        <f>Tabella4[[#This Row],[User Impact]]</f>
        <v>2 - Serious</v>
      </c>
      <c r="AD214" s="34" t="str">
        <f>Copertina!C$2&amp;" - "&amp;Tabella4[[#This Row],[UNI CEI EN 301549]]&amp;" "&amp;VLOOKUP(Tabella4[[#This Row],[Criterio]],Tabella5[[ID]:[Criterio di successo]],2,FALSE)&amp;" - "&amp;Tabella4[[#This Row],[Servizio]]&amp;":"</f>
        <v>Insurance Brocker - 9.2.5.3 Etichetta nel nome - S006 L'azienda:</v>
      </c>
      <c r="AE21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S006 L'azienda: (#TM0175)
S006 L'azienda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https://posteinsurancebroker.poste.it/segnalazioni-anomalie/ - &lt;button id="business-button-open" class="offcanvas-toggle pi-targetarea" aria-label="Business" type="button" aria-haspopup="true" aria-controls="menu-siti" aria-expanded="false"&gt; con selettore: 
["#business-button-open"]
Dettaglio + screenshot (accedere con le seguenti credenziali: user, axeposte@gmail.com; password, Poste2024!): 
Possibile metodologia risolutiva:
Correggi uno dei seguenti problemi:
Il testo all'interno dell'elemento non è incluso nel nome accessibile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214">
        <f>_xlfn.XLOOKUP(Tabella4[[#This Row],[ID Silk]],outTable[ID Silk],outTable[Numero ticket  ],,0,1)</f>
        <v>5995</v>
      </c>
    </row>
    <row r="215" spans="1:32">
      <c r="A215" s="34" t="str">
        <f>MID(Tabella4[[#This Row],[Servizio]],1,4)&amp;Tabella4[[#This Row],[UNI CEI EN 301549]]</f>
        <v>S0069.2.5.3</v>
      </c>
      <c r="B215" s="34" t="str">
        <f>Tabella4[[#This Row],[ID Silk]]&amp;"_1"</f>
        <v>S0069.2.5.3_1</v>
      </c>
      <c r="C215" s="34" t="s">
        <v>956</v>
      </c>
      <c r="D215" s="2" t="str">
        <f>"(#"&amp;Tabella4[[#This Row],['#ID]]&amp;")"</f>
        <v>(#TM0176)</v>
      </c>
      <c r="E215" s="34" t="str">
        <f>IF(MID(Tabella4[[#This Row],['#ID]],1,1)="M","Mobile",IF(MID(Tabella4[[#This Row],['#ID]],1,1)="D","Desktop",IF(MID(Tabella4[[#This Row],['#ID]],1,2)="TM","Manuale","Documenti")))</f>
        <v>Manuale</v>
      </c>
      <c r="F215" s="34" t="s">
        <v>1005</v>
      </c>
      <c r="G215" s="34" t="s">
        <v>324</v>
      </c>
      <c r="H215" s="34" t="str">
        <f>IF(Tabella4[[#This Row],[Componente]]="Documenti","10.","9.")&amp;Tabella4[[#This Row],[Criterio]]</f>
        <v>9.2.5.3</v>
      </c>
      <c r="I215" s="34" t="s">
        <v>1023</v>
      </c>
      <c r="J215" s="34" t="s">
        <v>1024</v>
      </c>
      <c r="K215" s="34" t="s">
        <v>1025</v>
      </c>
      <c r="L215" s="34" t="s">
        <v>1026</v>
      </c>
      <c r="M215" s="34" t="s">
        <v>1027</v>
      </c>
      <c r="N215" t="s">
        <v>486</v>
      </c>
      <c r="O215" t="s">
        <v>487</v>
      </c>
      <c r="P215" t="s">
        <v>381</v>
      </c>
      <c r="R215" s="34" t="str">
        <f>IF(Tabella4[[#This Row],[Componente]]="Documenti",_xlfn.XLOOKUP(Tabella4[[#This Row],[URL]],Tabella27[URL],Tabella27[PDF ID],,0),_xlfn.XLOOKUP(Tabella4[[#This Row],[URL]],Tabella1[URL],Tabella1[Page ID],,0))</f>
        <v>#14</v>
      </c>
      <c r="S215" s="34" t="s">
        <v>1004</v>
      </c>
      <c r="T215" s="34" t="s">
        <v>481</v>
      </c>
      <c r="V215" t="s">
        <v>484</v>
      </c>
      <c r="W215" s="34" t="s">
        <v>1066</v>
      </c>
      <c r="X215" s="34" t="str">
        <f>IFERROR(IF(Tabella4[[#This Row],[Tool]]="lighthouse",Tabella4[[#This Row],[Detail]],MID(Tabella4[[#This Row],[Detail]],1,FIND("&gt;",Tabella4[[#This Row],[Detail]]))),Tabella4[[#This Row],[Detail]])</f>
        <v>&lt;button id="assistenza-cta" class="fedbar-object offcanvas-toggle" aria-label="assistenza" aria-controls="assistenza-side" aria-expanded="false" data-menu-pnl="assistenza-default-panel" aria-haspopup="true" title="Assistenza" data-activity-linkid="header-assistenza-btn"&gt;</v>
      </c>
      <c r="Y215" s="34" t="str">
        <f>SUBSTITUTE(IF(Tabella4[[#This Row],[Tool]]="axe-core",MID(Tabella4[[#This Row],[Rejected Element]],3,LEN(Tabella4[[#This Row],[Rejected Element]])-4),Tabella4[[#This Row],[Rejected Element]]),"\","")</f>
        <v>#assistenza-cta</v>
      </c>
      <c r="Z215" s="34">
        <f>COUNTIFS(Tabella4[Detail univoco],Tabella4[[#This Row],[Detail univoco]],Tabella4[Rejected Element Univoco],Tabella4[[#This Row],[Rejected Element Univoco]],Tabella4[ItemsNodeLabel],Tabella4[[#This Row],[ItemsNodeLabel]])</f>
        <v>0</v>
      </c>
      <c r="AA215" s="34" t="str">
        <f>IF(Tabella4[[#This Row],[Componente]]="Documenti",VLOOKUP(Tabella4[[#This Row],[URL]],Tabella27[[URL]:[Servizio]],4,FALSE),VLOOKUP(Tabella4[[#This Row],[Page ID]],Tabella1[[Page ID]:[Servizio]],4,FALSE))</f>
        <v>S006 L'azienda</v>
      </c>
      <c r="AB215" s="34"/>
      <c r="AC215" s="34" t="str">
        <f>Tabella4[[#This Row],[User Impact]]</f>
        <v>2 - Serious</v>
      </c>
      <c r="AD215" s="34" t="str">
        <f>Copertina!C$2&amp;" - "&amp;Tabella4[[#This Row],[UNI CEI EN 301549]]&amp;" "&amp;VLOOKUP(Tabella4[[#This Row],[Criterio]],Tabella5[[ID]:[Criterio di successo]],2,FALSE)&amp;" - "&amp;Tabella4[[#This Row],[Servizio]]&amp;":"</f>
        <v>Insurance Brocker - 9.2.5.3 Etichetta nel nome - S006 L'azienda:</v>
      </c>
      <c r="AE21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S006 L'azienda: (#TM0176)
S006 L'azienda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https://posteinsurancebroker.poste.it/segnalazioni-anomalie/ - &lt;button id="assistenza-cta" class="fedbar-object offcanvas-toggle" aria-label="assistenza" aria-controls="assistenza-side" aria-expanded="false" data-menu-pnl="assistenza-default-panel" aria-haspopup="true" title="Assistenza" data-activity-linkid="header-assistenza-btn"&gt; con selettore: 
["#assistenza-cta"]
Dettaglio + screenshot (accedere con le seguenti credenziali: user, axeposte@gmail.com; password, Poste2024!): 
Possibile metodologia risolutiva:
Correggi uno dei seguenti problemi:
Il testo all'interno dell'elemento non è incluso nel nome accessibile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215">
        <f>_xlfn.XLOOKUP(Tabella4[[#This Row],[ID Silk]],outTable[ID Silk],outTable[Numero ticket  ],,0,1)</f>
        <v>5995</v>
      </c>
    </row>
    <row r="216" spans="1:32">
      <c r="A216" s="34" t="str">
        <f>MID(Tabella4[[#This Row],[Servizio]],1,4)&amp;Tabella4[[#This Row],[UNI CEI EN 301549]]</f>
        <v>S0069.2.5.3</v>
      </c>
      <c r="B216" s="34" t="str">
        <f>Tabella4[[#This Row],[ID Silk]]&amp;"_1"</f>
        <v>S0069.2.5.3_1</v>
      </c>
      <c r="C216" s="34" t="s">
        <v>957</v>
      </c>
      <c r="D216" s="2" t="str">
        <f>"(#"&amp;Tabella4[[#This Row],['#ID]]&amp;")"</f>
        <v>(#TM0177)</v>
      </c>
      <c r="E216" s="34" t="str">
        <f>IF(MID(Tabella4[[#This Row],['#ID]],1,1)="M","Mobile",IF(MID(Tabella4[[#This Row],['#ID]],1,1)="D","Desktop",IF(MID(Tabella4[[#This Row],['#ID]],1,2)="TM","Manuale","Documenti")))</f>
        <v>Manuale</v>
      </c>
      <c r="F216" s="34" t="s">
        <v>1005</v>
      </c>
      <c r="G216" s="34" t="s">
        <v>324</v>
      </c>
      <c r="H216" s="34" t="str">
        <f>IF(Tabella4[[#This Row],[Componente]]="Documenti","10.","9.")&amp;Tabella4[[#This Row],[Criterio]]</f>
        <v>9.2.5.3</v>
      </c>
      <c r="I216" s="34" t="s">
        <v>1023</v>
      </c>
      <c r="J216" s="34" t="s">
        <v>1024</v>
      </c>
      <c r="K216" s="34" t="s">
        <v>1025</v>
      </c>
      <c r="L216" s="34" t="s">
        <v>1026</v>
      </c>
      <c r="M216" s="34" t="s">
        <v>1027</v>
      </c>
      <c r="N216" t="s">
        <v>488</v>
      </c>
      <c r="O216" t="s">
        <v>489</v>
      </c>
      <c r="P216" t="s">
        <v>381</v>
      </c>
      <c r="R216" s="34" t="str">
        <f>IF(Tabella4[[#This Row],[Componente]]="Documenti",_xlfn.XLOOKUP(Tabella4[[#This Row],[URL]],Tabella27[URL],Tabella27[PDF ID],,0),_xlfn.XLOOKUP(Tabella4[[#This Row],[URL]],Tabella1[URL],Tabella1[Page ID],,0))</f>
        <v>#14</v>
      </c>
      <c r="S216" s="34" t="s">
        <v>1004</v>
      </c>
      <c r="T216" s="34" t="s">
        <v>481</v>
      </c>
      <c r="V216" t="s">
        <v>484</v>
      </c>
      <c r="W216" s="34" t="s">
        <v>1066</v>
      </c>
      <c r="X216" s="34" t="str">
        <f>IFERROR(IF(Tabella4[[#This Row],[Tool]]="lighthouse",Tabella4[[#This Row],[Detail]],MID(Tabella4[[#This Row],[Detail]],1,FIND("&gt;",Tabella4[[#This Row],[Detail]]))),Tabella4[[#This Row],[Detail]])</f>
        <v>&lt;button class="navbar-object offcanvas-toggle" id="mn-ctrl" type="button" aria-haspopup="true" aria-controls="menu-navigazione" aria-expanded="false" aria-label="Apre il menu di navigazione" data-activity-linkid="Btn Menu Mobile"&gt;</v>
      </c>
      <c r="Y216" s="34" t="str">
        <f>SUBSTITUTE(IF(Tabella4[[#This Row],[Tool]]="axe-core",MID(Tabella4[[#This Row],[Rejected Element]],3,LEN(Tabella4[[#This Row],[Rejected Element]])-4),Tabella4[[#This Row],[Rejected Element]]),"\","")</f>
        <v>#mn-ctrl</v>
      </c>
      <c r="Z216" s="34">
        <f>COUNTIFS(Tabella4[Detail univoco],Tabella4[[#This Row],[Detail univoco]],Tabella4[Rejected Element Univoco],Tabella4[[#This Row],[Rejected Element Univoco]],Tabella4[ItemsNodeLabel],Tabella4[[#This Row],[ItemsNodeLabel]])</f>
        <v>0</v>
      </c>
      <c r="AA216" s="34" t="str">
        <f>IF(Tabella4[[#This Row],[Componente]]="Documenti",VLOOKUP(Tabella4[[#This Row],[URL]],Tabella27[[URL]:[Servizio]],4,FALSE),VLOOKUP(Tabella4[[#This Row],[Page ID]],Tabella1[[Page ID]:[Servizio]],4,FALSE))</f>
        <v>S006 L'azienda</v>
      </c>
      <c r="AB216" s="34"/>
      <c r="AC216" s="34" t="str">
        <f>Tabella4[[#This Row],[User Impact]]</f>
        <v>2 - Serious</v>
      </c>
      <c r="AD216" s="34" t="str">
        <f>Copertina!C$2&amp;" - "&amp;Tabella4[[#This Row],[UNI CEI EN 301549]]&amp;" "&amp;VLOOKUP(Tabella4[[#This Row],[Criterio]],Tabella5[[ID]:[Criterio di successo]],2,FALSE)&amp;" - "&amp;Tabella4[[#This Row],[Servizio]]&amp;":"</f>
        <v>Insurance Brocker - 9.2.5.3 Etichetta nel nome - S006 L'azienda:</v>
      </c>
      <c r="AE21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S006 L'azienda: (#TM0177)
S006 L'azienda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https://posteinsurancebroker.poste.it/segnalazioni-anomalie/ - &lt;button class="navbar-object offcanvas-toggle" id="mn-ctrl" type="button" aria-haspopup="true" aria-controls="menu-navigazione" aria-expanded="false" aria-label="Apre il menu di navigazione" data-activity-linkid="Btn Menu Mobile"&gt; con selettore: 
["#mn-ctrl"]
Dettaglio + screenshot (accedere con le seguenti credenziali: user, axeposte@gmail.com; password, Poste2024!): 
Possibile metodologia risolutiva:
Correggi uno dei seguenti problemi:
Il testo all'interno dell'elemento non è incluso nel nome accessibile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216">
        <f>_xlfn.XLOOKUP(Tabella4[[#This Row],[ID Silk]],outTable[ID Silk],outTable[Numero ticket  ],,0,1)</f>
        <v>5995</v>
      </c>
    </row>
    <row r="217" spans="1:32">
      <c r="A217" s="34" t="str">
        <f>MID(Tabella4[[#This Row],[Servizio]],1,4)&amp;Tabella4[[#This Row],[UNI CEI EN 301549]]</f>
        <v>S0069.4.1.2</v>
      </c>
      <c r="B217" s="34" t="str">
        <f>Tabella4[[#This Row],[ID Silk]]&amp;"_1"</f>
        <v>S0069.4.1.2_1</v>
      </c>
      <c r="C217" s="34" t="s">
        <v>958</v>
      </c>
      <c r="D217" s="2" t="str">
        <f>"(#"&amp;Tabella4[[#This Row],['#ID]]&amp;")"</f>
        <v>(#TM0178)</v>
      </c>
      <c r="E217" s="34" t="str">
        <f>IF(MID(Tabella4[[#This Row],['#ID]],1,1)="M","Mobile",IF(MID(Tabella4[[#This Row],['#ID]],1,1)="D","Desktop",IF(MID(Tabella4[[#This Row],['#ID]],1,2)="TM","Manuale","Documenti")))</f>
        <v>Manuale</v>
      </c>
      <c r="F217" s="34" t="s">
        <v>1005</v>
      </c>
      <c r="G217" s="34" t="s">
        <v>368</v>
      </c>
      <c r="H217" s="34" t="str">
        <f>IF(Tabella4[[#This Row],[Componente]]="Documenti","10.","9.")&amp;Tabella4[[#This Row],[Criterio]]</f>
        <v>9.4.1.2</v>
      </c>
      <c r="I217" s="34" t="s">
        <v>1023</v>
      </c>
      <c r="J217" s="34" t="s">
        <v>1028</v>
      </c>
      <c r="K217" s="34" t="s">
        <v>1029</v>
      </c>
      <c r="L217" s="34" t="s">
        <v>1030</v>
      </c>
      <c r="M217" s="34" t="s">
        <v>1031</v>
      </c>
      <c r="N217" t="s">
        <v>727</v>
      </c>
      <c r="O217" t="s">
        <v>728</v>
      </c>
      <c r="P217" t="s">
        <v>381</v>
      </c>
      <c r="R217" s="34" t="str">
        <f>IF(Tabella4[[#This Row],[Componente]]="Documenti",_xlfn.XLOOKUP(Tabella4[[#This Row],[URL]],Tabella27[URL],Tabella27[PDF ID],,0),_xlfn.XLOOKUP(Tabella4[[#This Row],[URL]],Tabella1[URL],Tabella1[Page ID],,0))</f>
        <v>#14</v>
      </c>
      <c r="S217" s="34" t="s">
        <v>1004</v>
      </c>
      <c r="T217" s="34" t="s">
        <v>490</v>
      </c>
      <c r="V217" t="s">
        <v>492</v>
      </c>
      <c r="W217" s="34" t="s">
        <v>1067</v>
      </c>
      <c r="X217"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id="heading-item-posteinsurancebrokerposteinsurancebroker-modulisegnalazioni-anomalie-accordion-faqchi-puo-inviare-una-segnalazione-0-0"&gt;</v>
      </c>
      <c r="Y217" s="34" t="str">
        <f>SUBSTITUTE(IF(Tabella4[[#This Row],[Tool]]="axe-core",MID(Tabella4[[#This Row],[Rejected Element]],3,LEN(Tabella4[[#This Row],[Rejected Element]])-4),Tabella4[[#This Row],[Rejected Element]]),"\","")</f>
        <v>#heading-item-posteinsurancebrokerposteinsurancebroker-modulisegnalazioni-anomalie-accordion-faqchi-puo-inviare-una-segnalazione-0-0</v>
      </c>
      <c r="Z217" s="34">
        <f>COUNTIFS(Tabella4[Detail univoco],Tabella4[[#This Row],[Detail univoco]],Tabella4[Rejected Element Univoco],Tabella4[[#This Row],[Rejected Element Univoco]],Tabella4[ItemsNodeLabel],Tabella4[[#This Row],[ItemsNodeLabel]])</f>
        <v>0</v>
      </c>
      <c r="AA217" s="34" t="str">
        <f>IF(Tabella4[[#This Row],[Componente]]="Documenti",VLOOKUP(Tabella4[[#This Row],[URL]],Tabella27[[URL]:[Servizio]],4,FALSE),VLOOKUP(Tabella4[[#This Row],[Page ID]],Tabella1[[Page ID]:[Servizio]],4,FALSE))</f>
        <v>S006 L'azienda</v>
      </c>
      <c r="AB217" s="34"/>
      <c r="AC217" s="34" t="str">
        <f>Tabella4[[#This Row],[User Impact]]</f>
        <v>2 - Serious</v>
      </c>
      <c r="AD217" s="34" t="str">
        <f>Copertina!C$2&amp;" - "&amp;Tabella4[[#This Row],[UNI CEI EN 301549]]&amp;" "&amp;VLOOKUP(Tabella4[[#This Row],[Criterio]],Tabella5[[ID]:[Criterio di successo]],2,FALSE)&amp;" - "&amp;Tabella4[[#This Row],[Servizio]]&amp;":"</f>
        <v>Insurance Brocker - 9.4.1.2 Nome, ruolo, valore - S006 L'azienda:</v>
      </c>
      <c r="AE21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S006 L'azienda: (#TM0178)
S006 L'azienda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https://posteinsurancebroker.poste.it/segnalazioni-anomalie/ - &lt;div class="panel-heading" role="tab" tabindex="0" id="heading-item-posteinsurancebrokerposteinsurancebroker-modulisegnalazioni-anomalie-accordion-faqchi-puo-inviare-una-segnalazione-0-0"&gt; con selettore: 
["#heading-item-posteinsurancebrokerposteinsurancebroker-modulisegnalazioni-anomalie-accordion-faqchi-puo-inviare-una-segnalazione-0-0"]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10):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217">
        <f>_xlfn.XLOOKUP(Tabella4[[#This Row],[ID Silk]],outTable[ID Silk],outTable[Numero ticket  ],,0,1)</f>
        <v>5999</v>
      </c>
    </row>
    <row r="218" spans="1:32">
      <c r="A218" s="34" t="str">
        <f>MID(Tabella4[[#This Row],[Servizio]],1,4)&amp;Tabella4[[#This Row],[UNI CEI EN 301549]]</f>
        <v>S0069.4.1.2</v>
      </c>
      <c r="B218" s="34" t="str">
        <f>Tabella4[[#This Row],[ID Silk]]&amp;"_1"</f>
        <v>S0069.4.1.2_1</v>
      </c>
      <c r="C218" s="34" t="s">
        <v>959</v>
      </c>
      <c r="D218" s="2" t="str">
        <f>"(#"&amp;Tabella4[[#This Row],['#ID]]&amp;")"</f>
        <v>(#TM0179)</v>
      </c>
      <c r="E218" s="34" t="str">
        <f>IF(MID(Tabella4[[#This Row],['#ID]],1,1)="M","Mobile",IF(MID(Tabella4[[#This Row],['#ID]],1,1)="D","Desktop",IF(MID(Tabella4[[#This Row],['#ID]],1,2)="TM","Manuale","Documenti")))</f>
        <v>Manuale</v>
      </c>
      <c r="F218" s="34" t="s">
        <v>1005</v>
      </c>
      <c r="G218" s="34" t="s">
        <v>368</v>
      </c>
      <c r="H218" s="34" t="str">
        <f>IF(Tabella4[[#This Row],[Componente]]="Documenti","10.","9.")&amp;Tabella4[[#This Row],[Criterio]]</f>
        <v>9.4.1.2</v>
      </c>
      <c r="I218" s="34" t="s">
        <v>1023</v>
      </c>
      <c r="J218" s="34" t="s">
        <v>1028</v>
      </c>
      <c r="K218" s="34" t="s">
        <v>1029</v>
      </c>
      <c r="L218" s="34" t="s">
        <v>1030</v>
      </c>
      <c r="M218" s="34" t="s">
        <v>1031</v>
      </c>
      <c r="N218" t="s">
        <v>729</v>
      </c>
      <c r="O218" t="s">
        <v>730</v>
      </c>
      <c r="P218" t="s">
        <v>381</v>
      </c>
      <c r="R218" s="34" t="str">
        <f>IF(Tabella4[[#This Row],[Componente]]="Documenti",_xlfn.XLOOKUP(Tabella4[[#This Row],[URL]],Tabella27[URL],Tabella27[PDF ID],,0),_xlfn.XLOOKUP(Tabella4[[#This Row],[URL]],Tabella1[URL],Tabella1[Page ID],,0))</f>
        <v>#14</v>
      </c>
      <c r="S218" s="34" t="s">
        <v>1004</v>
      </c>
      <c r="T218" s="34" t="s">
        <v>490</v>
      </c>
      <c r="V218" t="s">
        <v>492</v>
      </c>
      <c r="W218" s="34" t="s">
        <v>1067</v>
      </c>
      <c r="X218"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id="heading-item-posteinsurancebrokerposteinsurancebroker-modulisegnalazioni-anomalie-accordion-faqe-possibile-inviare-una-segnalazione-anonima-1-1"&gt;</v>
      </c>
      <c r="Y218" s="34" t="str">
        <f>SUBSTITUTE(IF(Tabella4[[#This Row],[Tool]]="axe-core",MID(Tabella4[[#This Row],[Rejected Element]],3,LEN(Tabella4[[#This Row],[Rejected Element]])-4),Tabella4[[#This Row],[Rejected Element]]),"\","")</f>
        <v>#heading-item-posteinsurancebrokerposteinsurancebroker-modulisegnalazioni-anomalie-accordion-faqe-possibile-inviare-una-segnalazione-anonima-1-1</v>
      </c>
      <c r="Z218" s="34">
        <f>COUNTIFS(Tabella4[Detail univoco],Tabella4[[#This Row],[Detail univoco]],Tabella4[Rejected Element Univoco],Tabella4[[#This Row],[Rejected Element Univoco]],Tabella4[ItemsNodeLabel],Tabella4[[#This Row],[ItemsNodeLabel]])</f>
        <v>0</v>
      </c>
      <c r="AA218" s="34" t="str">
        <f>IF(Tabella4[[#This Row],[Componente]]="Documenti",VLOOKUP(Tabella4[[#This Row],[URL]],Tabella27[[URL]:[Servizio]],4,FALSE),VLOOKUP(Tabella4[[#This Row],[Page ID]],Tabella1[[Page ID]:[Servizio]],4,FALSE))</f>
        <v>S006 L'azienda</v>
      </c>
      <c r="AB218" s="34"/>
      <c r="AC218" s="34" t="str">
        <f>Tabella4[[#This Row],[User Impact]]</f>
        <v>2 - Serious</v>
      </c>
      <c r="AD218" s="34" t="str">
        <f>Copertina!C$2&amp;" - "&amp;Tabella4[[#This Row],[UNI CEI EN 301549]]&amp;" "&amp;VLOOKUP(Tabella4[[#This Row],[Criterio]],Tabella5[[ID]:[Criterio di successo]],2,FALSE)&amp;" - "&amp;Tabella4[[#This Row],[Servizio]]&amp;":"</f>
        <v>Insurance Brocker - 9.4.1.2 Nome, ruolo, valore - S006 L'azienda:</v>
      </c>
      <c r="AE21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S006 L'azienda: (#TM0179)
S006 L'azienda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https://posteinsurancebroker.poste.it/segnalazioni-anomalie/ - &lt;div class="panel-heading" role="tab" tabindex="0" id="heading-item-posteinsurancebrokerposteinsurancebroker-modulisegnalazioni-anomalie-accordion-faqe-possibile-inviare-una-segnalazione-anonima-1-1"&gt; con selettore: 
["#heading-item-posteinsurancebrokerposteinsurancebroker-modulisegnalazioni-anomalie-accordion-faqe-possibile-inviare-una-segnalazione-anonima-1-1"]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10):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218">
        <f>_xlfn.XLOOKUP(Tabella4[[#This Row],[ID Silk]],outTable[ID Silk],outTable[Numero ticket  ],,0,1)</f>
        <v>5999</v>
      </c>
    </row>
    <row r="219" spans="1:32">
      <c r="A219" s="34" t="str">
        <f>MID(Tabella4[[#This Row],[Servizio]],1,4)&amp;Tabella4[[#This Row],[UNI CEI EN 301549]]</f>
        <v>S0069.4.1.2</v>
      </c>
      <c r="B219" s="34" t="str">
        <f>Tabella4[[#This Row],[ID Silk]]&amp;"_1"</f>
        <v>S0069.4.1.2_1</v>
      </c>
      <c r="C219" s="34" t="s">
        <v>960</v>
      </c>
      <c r="D219" s="2" t="str">
        <f>"(#"&amp;Tabella4[[#This Row],['#ID]]&amp;")"</f>
        <v>(#TM0180)</v>
      </c>
      <c r="E219" s="34" t="str">
        <f>IF(MID(Tabella4[[#This Row],['#ID]],1,1)="M","Mobile",IF(MID(Tabella4[[#This Row],['#ID]],1,1)="D","Desktop",IF(MID(Tabella4[[#This Row],['#ID]],1,2)="TM","Manuale","Documenti")))</f>
        <v>Manuale</v>
      </c>
      <c r="F219" s="34" t="s">
        <v>1005</v>
      </c>
      <c r="G219" s="34" t="s">
        <v>368</v>
      </c>
      <c r="H219" s="34" t="str">
        <f>IF(Tabella4[[#This Row],[Componente]]="Documenti","10.","9.")&amp;Tabella4[[#This Row],[Criterio]]</f>
        <v>9.4.1.2</v>
      </c>
      <c r="I219" s="34" t="s">
        <v>1023</v>
      </c>
      <c r="J219" s="34" t="s">
        <v>1028</v>
      </c>
      <c r="K219" s="34" t="s">
        <v>1029</v>
      </c>
      <c r="L219" s="34" t="s">
        <v>1030</v>
      </c>
      <c r="M219" s="34" t="s">
        <v>1031</v>
      </c>
      <c r="N219" t="s">
        <v>731</v>
      </c>
      <c r="O219" t="s">
        <v>732</v>
      </c>
      <c r="P219" t="s">
        <v>381</v>
      </c>
      <c r="R219" s="34" t="str">
        <f>IF(Tabella4[[#This Row],[Componente]]="Documenti",_xlfn.XLOOKUP(Tabella4[[#This Row],[URL]],Tabella27[URL],Tabella27[PDF ID],,0),_xlfn.XLOOKUP(Tabella4[[#This Row],[URL]],Tabella1[URL],Tabella1[Page ID],,0))</f>
        <v>#14</v>
      </c>
      <c r="S219" s="34" t="s">
        <v>1004</v>
      </c>
      <c r="T219" s="34" t="s">
        <v>490</v>
      </c>
      <c r="V219" t="s">
        <v>492</v>
      </c>
      <c r="W219" s="34" t="s">
        <v>1067</v>
      </c>
      <c r="X219"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id="heading-item-posteinsurancebrokerposteinsurancebroker-modulisegnalazioni-anomalie-accordion-faqe-possibile-consultare-lo-stato-di-lavorazione-di-una-segnalazione-2-2"&gt;</v>
      </c>
      <c r="Y219" s="34" t="str">
        <f>SUBSTITUTE(IF(Tabella4[[#This Row],[Tool]]="axe-core",MID(Tabella4[[#This Row],[Rejected Element]],3,LEN(Tabella4[[#This Row],[Rejected Element]])-4),Tabella4[[#This Row],[Rejected Element]]),"\","")</f>
        <v>#heading-item-posteinsurancebrokerposteinsurancebroker-modulisegnalazioni-anomalie-accordion-faqe-possibile-consultare-lo-stato-di-lavorazione-di-una-segnalazione-2-2</v>
      </c>
      <c r="Z219" s="34">
        <f>COUNTIFS(Tabella4[Detail univoco],Tabella4[[#This Row],[Detail univoco]],Tabella4[Rejected Element Univoco],Tabella4[[#This Row],[Rejected Element Univoco]],Tabella4[ItemsNodeLabel],Tabella4[[#This Row],[ItemsNodeLabel]])</f>
        <v>0</v>
      </c>
      <c r="AA219" s="34" t="str">
        <f>IF(Tabella4[[#This Row],[Componente]]="Documenti",VLOOKUP(Tabella4[[#This Row],[URL]],Tabella27[[URL]:[Servizio]],4,FALSE),VLOOKUP(Tabella4[[#This Row],[Page ID]],Tabella1[[Page ID]:[Servizio]],4,FALSE))</f>
        <v>S006 L'azienda</v>
      </c>
      <c r="AB219" s="34"/>
      <c r="AC219" s="34" t="str">
        <f>Tabella4[[#This Row],[User Impact]]</f>
        <v>2 - Serious</v>
      </c>
      <c r="AD219" s="34" t="str">
        <f>Copertina!C$2&amp;" - "&amp;Tabella4[[#This Row],[UNI CEI EN 301549]]&amp;" "&amp;VLOOKUP(Tabella4[[#This Row],[Criterio]],Tabella5[[ID]:[Criterio di successo]],2,FALSE)&amp;" - "&amp;Tabella4[[#This Row],[Servizio]]&amp;":"</f>
        <v>Insurance Brocker - 9.4.1.2 Nome, ruolo, valore - S006 L'azienda:</v>
      </c>
      <c r="AE21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S006 L'azienda: (#TM0180)
S006 L'azienda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https://posteinsurancebroker.poste.it/segnalazioni-anomalie/ - &lt;div class="panel-heading" role="tab" tabindex="0" id="heading-item-posteinsurancebrokerposteinsurancebroker-modulisegnalazioni-anomalie-accordion-faqe-possibile-consultare-lo-stato-di-lavorazione-di-una-segnalazione-2-2"&gt; con selettore: 
["#heading-item-posteinsurancebrokerposteinsurancebroker-modulisegnalazioni-anomalie-accordion-faqe-possibile-consultare-lo-stato-di-lavorazione-di-una-segnalazione-2-2"]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10):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219">
        <f>_xlfn.XLOOKUP(Tabella4[[#This Row],[ID Silk]],outTable[ID Silk],outTable[Numero ticket  ],,0,1)</f>
        <v>5999</v>
      </c>
    </row>
    <row r="220" spans="1:32">
      <c r="A220" s="34" t="str">
        <f>MID(Tabella4[[#This Row],[Servizio]],1,4)&amp;Tabella4[[#This Row],[UNI CEI EN 301549]]</f>
        <v>S0069.4.1.2</v>
      </c>
      <c r="B220" s="34" t="str">
        <f>Tabella4[[#This Row],[ID Silk]]&amp;"_1"</f>
        <v>S0069.4.1.2_1</v>
      </c>
      <c r="C220" s="34" t="s">
        <v>961</v>
      </c>
      <c r="D220" s="2" t="str">
        <f>"(#"&amp;Tabella4[[#This Row],['#ID]]&amp;")"</f>
        <v>(#TM0181)</v>
      </c>
      <c r="E220" s="34" t="str">
        <f>IF(MID(Tabella4[[#This Row],['#ID]],1,1)="M","Mobile",IF(MID(Tabella4[[#This Row],['#ID]],1,1)="D","Desktop",IF(MID(Tabella4[[#This Row],['#ID]],1,2)="TM","Manuale","Documenti")))</f>
        <v>Manuale</v>
      </c>
      <c r="F220" s="34" t="s">
        <v>1005</v>
      </c>
      <c r="G220" s="34" t="s">
        <v>368</v>
      </c>
      <c r="H220" s="34" t="str">
        <f>IF(Tabella4[[#This Row],[Componente]]="Documenti","10.","9.")&amp;Tabella4[[#This Row],[Criterio]]</f>
        <v>9.4.1.2</v>
      </c>
      <c r="I220" s="34" t="s">
        <v>1023</v>
      </c>
      <c r="J220" s="34" t="s">
        <v>1028</v>
      </c>
      <c r="K220" s="34" t="s">
        <v>1029</v>
      </c>
      <c r="L220" s="34" t="s">
        <v>1030</v>
      </c>
      <c r="M220" s="34" t="s">
        <v>1031</v>
      </c>
      <c r="N220" t="s">
        <v>733</v>
      </c>
      <c r="O220" t="s">
        <v>734</v>
      </c>
      <c r="P220" t="s">
        <v>381</v>
      </c>
      <c r="R220" s="34" t="str">
        <f>IF(Tabella4[[#This Row],[Componente]]="Documenti",_xlfn.XLOOKUP(Tabella4[[#This Row],[URL]],Tabella27[URL],Tabella27[PDF ID],,0),_xlfn.XLOOKUP(Tabella4[[#This Row],[URL]],Tabella1[URL],Tabella1[Page ID],,0))</f>
        <v>#14</v>
      </c>
      <c r="S220" s="34" t="s">
        <v>1004</v>
      </c>
      <c r="T220" s="34" t="s">
        <v>490</v>
      </c>
      <c r="V220" t="s">
        <v>492</v>
      </c>
      <c r="W220" s="34" t="s">
        <v>1067</v>
      </c>
      <c r="X220"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id="heading-item-posteinsurancebrokerposteinsurancebroker-modulisegnalazioni-anomalie-accordion-faqquali-sono-le-tutele-per-il-segnalante-3-3"&gt;</v>
      </c>
      <c r="Y220" s="34" t="str">
        <f>SUBSTITUTE(IF(Tabella4[[#This Row],[Tool]]="axe-core",MID(Tabella4[[#This Row],[Rejected Element]],3,LEN(Tabella4[[#This Row],[Rejected Element]])-4),Tabella4[[#This Row],[Rejected Element]]),"\","")</f>
        <v>#heading-item-posteinsurancebrokerposteinsurancebroker-modulisegnalazioni-anomalie-accordion-faqquali-sono-le-tutele-per-il-segnalante-3-3</v>
      </c>
      <c r="Z220" s="34">
        <f>COUNTIFS(Tabella4[Detail univoco],Tabella4[[#This Row],[Detail univoco]],Tabella4[Rejected Element Univoco],Tabella4[[#This Row],[Rejected Element Univoco]],Tabella4[ItemsNodeLabel],Tabella4[[#This Row],[ItemsNodeLabel]])</f>
        <v>0</v>
      </c>
      <c r="AA220" s="34" t="str">
        <f>IF(Tabella4[[#This Row],[Componente]]="Documenti",VLOOKUP(Tabella4[[#This Row],[URL]],Tabella27[[URL]:[Servizio]],4,FALSE),VLOOKUP(Tabella4[[#This Row],[Page ID]],Tabella1[[Page ID]:[Servizio]],4,FALSE))</f>
        <v>S006 L'azienda</v>
      </c>
      <c r="AB220" s="34"/>
      <c r="AC220" s="34" t="str">
        <f>Tabella4[[#This Row],[User Impact]]</f>
        <v>2 - Serious</v>
      </c>
      <c r="AD220" s="34" t="str">
        <f>Copertina!C$2&amp;" - "&amp;Tabella4[[#This Row],[UNI CEI EN 301549]]&amp;" "&amp;VLOOKUP(Tabella4[[#This Row],[Criterio]],Tabella5[[ID]:[Criterio di successo]],2,FALSE)&amp;" - "&amp;Tabella4[[#This Row],[Servizio]]&amp;":"</f>
        <v>Insurance Brocker - 9.4.1.2 Nome, ruolo, valore - S006 L'azienda:</v>
      </c>
      <c r="AE22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S006 L'azienda: (#TM0181)
S006 L'azienda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https://posteinsurancebroker.poste.it/segnalazioni-anomalie/ - &lt;div class="panel-heading" role="tab" tabindex="0" id="heading-item-posteinsurancebrokerposteinsurancebroker-modulisegnalazioni-anomalie-accordion-faqquali-sono-le-tutele-per-il-segnalante-3-3"&gt; con selettore: 
["#heading-item-posteinsurancebrokerposteinsurancebroker-modulisegnalazioni-anomalie-accordion-faqquali-sono-le-tutele-per-il-segnalante-3-3"]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10):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220">
        <f>_xlfn.XLOOKUP(Tabella4[[#This Row],[ID Silk]],outTable[ID Silk],outTable[Numero ticket  ],,0,1)</f>
        <v>5999</v>
      </c>
    </row>
    <row r="221" spans="1:32">
      <c r="A221" s="34" t="str">
        <f>MID(Tabella4[[#This Row],[Servizio]],1,4)&amp;Tabella4[[#This Row],[UNI CEI EN 301549]]</f>
        <v>S0069.4.1.2</v>
      </c>
      <c r="B221" s="34" t="str">
        <f>Tabella4[[#This Row],[ID Silk]]&amp;"_1"</f>
        <v>S0069.4.1.2_1</v>
      </c>
      <c r="C221" s="34" t="s">
        <v>962</v>
      </c>
      <c r="D221" s="2" t="str">
        <f>"(#"&amp;Tabella4[[#This Row],['#ID]]&amp;")"</f>
        <v>(#TM0182)</v>
      </c>
      <c r="E221" s="34" t="str">
        <f>IF(MID(Tabella4[[#This Row],['#ID]],1,1)="M","Mobile",IF(MID(Tabella4[[#This Row],['#ID]],1,1)="D","Desktop",IF(MID(Tabella4[[#This Row],['#ID]],1,2)="TM","Manuale","Documenti")))</f>
        <v>Manuale</v>
      </c>
      <c r="F221" s="34" t="s">
        <v>1005</v>
      </c>
      <c r="G221" s="34" t="s">
        <v>368</v>
      </c>
      <c r="H221" s="34" t="str">
        <f>IF(Tabella4[[#This Row],[Componente]]="Documenti","10.","9.")&amp;Tabella4[[#This Row],[Criterio]]</f>
        <v>9.4.1.2</v>
      </c>
      <c r="I221" s="34" t="s">
        <v>1023</v>
      </c>
      <c r="J221" s="34" t="s">
        <v>1028</v>
      </c>
      <c r="K221" s="34" t="s">
        <v>1029</v>
      </c>
      <c r="L221" s="34" t="s">
        <v>1030</v>
      </c>
      <c r="M221" s="34" t="s">
        <v>1031</v>
      </c>
      <c r="N221" t="s">
        <v>735</v>
      </c>
      <c r="O221" t="s">
        <v>736</v>
      </c>
      <c r="P221" t="s">
        <v>381</v>
      </c>
      <c r="R221" s="34" t="str">
        <f>IF(Tabella4[[#This Row],[Componente]]="Documenti",_xlfn.XLOOKUP(Tabella4[[#This Row],[URL]],Tabella27[URL],Tabella27[PDF ID],,0),_xlfn.XLOOKUP(Tabella4[[#This Row],[URL]],Tabella1[URL],Tabella1[Page ID],,0))</f>
        <v>#14</v>
      </c>
      <c r="S221" s="34" t="s">
        <v>1004</v>
      </c>
      <c r="T221" s="34" t="s">
        <v>490</v>
      </c>
      <c r="V221" t="s">
        <v>492</v>
      </c>
      <c r="W221" s="34" t="s">
        <v>1067</v>
      </c>
      <c r="X221"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id="heading-item-posteinsurancebrokerposteinsurancebroker-modulisegnalazioni-anomalie-accordion-faqidentita-del-segnalante-puo-essere-rivelata-senza-il-suo-consenso-4-4"&gt;</v>
      </c>
      <c r="Y221" s="34" t="str">
        <f>SUBSTITUTE(IF(Tabella4[[#This Row],[Tool]]="axe-core",MID(Tabella4[[#This Row],[Rejected Element]],3,LEN(Tabella4[[#This Row],[Rejected Element]])-4),Tabella4[[#This Row],[Rejected Element]]),"\","")</f>
        <v>#heading-item-posteinsurancebrokerposteinsurancebroker-modulisegnalazioni-anomalie-accordion-faqidentita-del-segnalante-puo-essere-rivelata-senza-il-suo-consenso-4-4</v>
      </c>
      <c r="Z221" s="34">
        <f>COUNTIFS(Tabella4[Detail univoco],Tabella4[[#This Row],[Detail univoco]],Tabella4[Rejected Element Univoco],Tabella4[[#This Row],[Rejected Element Univoco]],Tabella4[ItemsNodeLabel],Tabella4[[#This Row],[ItemsNodeLabel]])</f>
        <v>0</v>
      </c>
      <c r="AA221" s="34" t="str">
        <f>IF(Tabella4[[#This Row],[Componente]]="Documenti",VLOOKUP(Tabella4[[#This Row],[URL]],Tabella27[[URL]:[Servizio]],4,FALSE),VLOOKUP(Tabella4[[#This Row],[Page ID]],Tabella1[[Page ID]:[Servizio]],4,FALSE))</f>
        <v>S006 L'azienda</v>
      </c>
      <c r="AB221" s="34"/>
      <c r="AC221" s="34" t="str">
        <f>Tabella4[[#This Row],[User Impact]]</f>
        <v>2 - Serious</v>
      </c>
      <c r="AD221" s="34" t="str">
        <f>Copertina!C$2&amp;" - "&amp;Tabella4[[#This Row],[UNI CEI EN 301549]]&amp;" "&amp;VLOOKUP(Tabella4[[#This Row],[Criterio]],Tabella5[[ID]:[Criterio di successo]],2,FALSE)&amp;" - "&amp;Tabella4[[#This Row],[Servizio]]&amp;":"</f>
        <v>Insurance Brocker - 9.4.1.2 Nome, ruolo, valore - S006 L'azienda:</v>
      </c>
      <c r="AE22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S006 L'azienda: (#TM0182)
S006 L'azienda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https://posteinsurancebroker.poste.it/segnalazioni-anomalie/ - &lt;div class="panel-heading" role="tab" tabindex="0" id="heading-item-posteinsurancebrokerposteinsurancebroker-modulisegnalazioni-anomalie-accordion-faqidentita-del-segnalante-puo-essere-rivelata-senza-il-suo-consenso-4-4"&gt; con selettore: 
["#heading-item-posteinsurancebrokerposteinsurancebroker-modulisegnalazioni-anomalie-accordion-faqidentita-del-segnalante-puo-essere-rivelata-senza-il-suo-consenso-4-4"]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10):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221">
        <f>_xlfn.XLOOKUP(Tabella4[[#This Row],[ID Silk]],outTable[ID Silk],outTable[Numero ticket  ],,0,1)</f>
        <v>5999</v>
      </c>
    </row>
    <row r="222" spans="1:32">
      <c r="A222" s="34" t="str">
        <f>MID(Tabella4[[#This Row],[Servizio]],1,4)&amp;Tabella4[[#This Row],[UNI CEI EN 301549]]</f>
        <v>S0069.4.1.2</v>
      </c>
      <c r="B222" s="34" t="str">
        <f>Tabella4[[#This Row],[ID Silk]]&amp;"_1"</f>
        <v>S0069.4.1.2_1</v>
      </c>
      <c r="C222" s="34" t="s">
        <v>963</v>
      </c>
      <c r="D222" s="2" t="str">
        <f>"(#"&amp;Tabella4[[#This Row],['#ID]]&amp;")"</f>
        <v>(#TM0183)</v>
      </c>
      <c r="E222" s="34" t="str">
        <f>IF(MID(Tabella4[[#This Row],['#ID]],1,1)="M","Mobile",IF(MID(Tabella4[[#This Row],['#ID]],1,1)="D","Desktop",IF(MID(Tabella4[[#This Row],['#ID]],1,2)="TM","Manuale","Documenti")))</f>
        <v>Manuale</v>
      </c>
      <c r="F222" s="34" t="s">
        <v>1005</v>
      </c>
      <c r="G222" s="34" t="s">
        <v>368</v>
      </c>
      <c r="H222" s="34" t="str">
        <f>IF(Tabella4[[#This Row],[Componente]]="Documenti","10.","9.")&amp;Tabella4[[#This Row],[Criterio]]</f>
        <v>9.4.1.2</v>
      </c>
      <c r="I222" s="34" t="s">
        <v>1023</v>
      </c>
      <c r="J222" s="34" t="s">
        <v>1028</v>
      </c>
      <c r="K222" s="34" t="s">
        <v>1029</v>
      </c>
      <c r="L222" s="34" t="s">
        <v>1030</v>
      </c>
      <c r="M222" s="34" t="s">
        <v>1031</v>
      </c>
      <c r="N222" t="s">
        <v>737</v>
      </c>
      <c r="O222" t="s">
        <v>738</v>
      </c>
      <c r="P222" t="s">
        <v>381</v>
      </c>
      <c r="R222" s="34" t="str">
        <f>IF(Tabella4[[#This Row],[Componente]]="Documenti",_xlfn.XLOOKUP(Tabella4[[#This Row],[URL]],Tabella27[URL],Tabella27[PDF ID],,0),_xlfn.XLOOKUP(Tabella4[[#This Row],[URL]],Tabella1[URL],Tabella1[Page ID],,0))</f>
        <v>#14</v>
      </c>
      <c r="S222" s="34" t="s">
        <v>1004</v>
      </c>
      <c r="T222" s="34" t="s">
        <v>490</v>
      </c>
      <c r="V222" t="s">
        <v>492</v>
      </c>
      <c r="W222" s="34" t="s">
        <v>1067</v>
      </c>
      <c r="X222"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id="heading-item-posteinsurancebrokerposteinsurancebroker-modulisegnalazioni-anomalie-accordion-faqchi-esamina-le-segnalazioni-e-ne-cura-gli-approfondimenti-5-5"&gt;</v>
      </c>
      <c r="Y222" s="34" t="str">
        <f>SUBSTITUTE(IF(Tabella4[[#This Row],[Tool]]="axe-core",MID(Tabella4[[#This Row],[Rejected Element]],3,LEN(Tabella4[[#This Row],[Rejected Element]])-4),Tabella4[[#This Row],[Rejected Element]]),"\","")</f>
        <v>#heading-item-posteinsurancebrokerposteinsurancebroker-modulisegnalazioni-anomalie-accordion-faqchi-esamina-le-segnalazioni-e-ne-cura-gli-approfondimenti-5-5</v>
      </c>
      <c r="Z222" s="34">
        <f>COUNTIFS(Tabella4[Detail univoco],Tabella4[[#This Row],[Detail univoco]],Tabella4[Rejected Element Univoco],Tabella4[[#This Row],[Rejected Element Univoco]],Tabella4[ItemsNodeLabel],Tabella4[[#This Row],[ItemsNodeLabel]])</f>
        <v>0</v>
      </c>
      <c r="AA222" s="34" t="str">
        <f>IF(Tabella4[[#This Row],[Componente]]="Documenti",VLOOKUP(Tabella4[[#This Row],[URL]],Tabella27[[URL]:[Servizio]],4,FALSE),VLOOKUP(Tabella4[[#This Row],[Page ID]],Tabella1[[Page ID]:[Servizio]],4,FALSE))</f>
        <v>S006 L'azienda</v>
      </c>
      <c r="AB222" s="34"/>
      <c r="AC222" s="34" t="str">
        <f>Tabella4[[#This Row],[User Impact]]</f>
        <v>2 - Serious</v>
      </c>
      <c r="AD222" s="34" t="str">
        <f>Copertina!C$2&amp;" - "&amp;Tabella4[[#This Row],[UNI CEI EN 301549]]&amp;" "&amp;VLOOKUP(Tabella4[[#This Row],[Criterio]],Tabella5[[ID]:[Criterio di successo]],2,FALSE)&amp;" - "&amp;Tabella4[[#This Row],[Servizio]]&amp;":"</f>
        <v>Insurance Brocker - 9.4.1.2 Nome, ruolo, valore - S006 L'azienda:</v>
      </c>
      <c r="AE22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S006 L'azienda: (#TM0183)
S006 L'azienda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https://posteinsurancebroker.poste.it/segnalazioni-anomalie/ - &lt;div class="panel-heading" role="tab" tabindex="0" id="heading-item-posteinsurancebrokerposteinsurancebroker-modulisegnalazioni-anomalie-accordion-faqchi-esamina-le-segnalazioni-e-ne-cura-gli-approfondimenti-5-5"&gt; con selettore: 
["#heading-item-posteinsurancebrokerposteinsurancebroker-modulisegnalazioni-anomalie-accordion-faqchi-esamina-le-segnalazioni-e-ne-cura-gli-approfondimenti-5-5"]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10):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222">
        <f>_xlfn.XLOOKUP(Tabella4[[#This Row],[ID Silk]],outTable[ID Silk],outTable[Numero ticket  ],,0,1)</f>
        <v>5999</v>
      </c>
    </row>
    <row r="223" spans="1:32">
      <c r="A223" s="34" t="str">
        <f>MID(Tabella4[[#This Row],[Servizio]],1,4)&amp;Tabella4[[#This Row],[UNI CEI EN 301549]]</f>
        <v>S0069.4.1.2</v>
      </c>
      <c r="B223" s="34" t="str">
        <f>Tabella4[[#This Row],[ID Silk]]&amp;"_1"</f>
        <v>S0069.4.1.2_1</v>
      </c>
      <c r="C223" s="34" t="s">
        <v>964</v>
      </c>
      <c r="D223" s="2" t="str">
        <f>"(#"&amp;Tabella4[[#This Row],['#ID]]&amp;")"</f>
        <v>(#TM0184)</v>
      </c>
      <c r="E223" s="34" t="str">
        <f>IF(MID(Tabella4[[#This Row],['#ID]],1,1)="M","Mobile",IF(MID(Tabella4[[#This Row],['#ID]],1,1)="D","Desktop",IF(MID(Tabella4[[#This Row],['#ID]],1,2)="TM","Manuale","Documenti")))</f>
        <v>Manuale</v>
      </c>
      <c r="F223" s="34" t="s">
        <v>1005</v>
      </c>
      <c r="G223" s="34" t="s">
        <v>368</v>
      </c>
      <c r="H223" s="34" t="str">
        <f>IF(Tabella4[[#This Row],[Componente]]="Documenti","10.","9.")&amp;Tabella4[[#This Row],[Criterio]]</f>
        <v>9.4.1.2</v>
      </c>
      <c r="I223" s="34" t="s">
        <v>1023</v>
      </c>
      <c r="J223" s="34" t="s">
        <v>1028</v>
      </c>
      <c r="K223" s="34" t="s">
        <v>1029</v>
      </c>
      <c r="L223" s="34" t="s">
        <v>1030</v>
      </c>
      <c r="M223" s="34" t="s">
        <v>1031</v>
      </c>
      <c r="N223" t="s">
        <v>739</v>
      </c>
      <c r="O223" t="s">
        <v>740</v>
      </c>
      <c r="P223" t="s">
        <v>381</v>
      </c>
      <c r="R223" s="34" t="str">
        <f>IF(Tabella4[[#This Row],[Componente]]="Documenti",_xlfn.XLOOKUP(Tabella4[[#This Row],[URL]],Tabella27[URL],Tabella27[PDF ID],,0),_xlfn.XLOOKUP(Tabella4[[#This Row],[URL]],Tabella1[URL],Tabella1[Page ID],,0))</f>
        <v>#14</v>
      </c>
      <c r="S223" s="34" t="s">
        <v>1004</v>
      </c>
      <c r="T223" s="34" t="s">
        <v>490</v>
      </c>
      <c r="V223" t="s">
        <v>492</v>
      </c>
      <c r="W223" s="34" t="s">
        <v>1067</v>
      </c>
      <c r="X223"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id="heading-item-posteinsurancebrokerposteinsurancebroker-modulisegnalazioni-anomalie-accordion-faqcome-e-composto-il-comitato-whistleblowing-di-una-societa-poste-italiane-6-6"&gt;</v>
      </c>
      <c r="Y223" s="34" t="str">
        <f>SUBSTITUTE(IF(Tabella4[[#This Row],[Tool]]="axe-core",MID(Tabella4[[#This Row],[Rejected Element]],3,LEN(Tabella4[[#This Row],[Rejected Element]])-4),Tabella4[[#This Row],[Rejected Element]]),"\","")</f>
        <v>#heading-item-posteinsurancebrokerposteinsurancebroker-modulisegnalazioni-anomalie-accordion-faqcome-e-composto-il-comitato-whistleblowing-di-una-societa-poste-italiane-6-6</v>
      </c>
      <c r="Z223" s="34">
        <f>COUNTIFS(Tabella4[Detail univoco],Tabella4[[#This Row],[Detail univoco]],Tabella4[Rejected Element Univoco],Tabella4[[#This Row],[Rejected Element Univoco]],Tabella4[ItemsNodeLabel],Tabella4[[#This Row],[ItemsNodeLabel]])</f>
        <v>0</v>
      </c>
      <c r="AA223" s="34" t="str">
        <f>IF(Tabella4[[#This Row],[Componente]]="Documenti",VLOOKUP(Tabella4[[#This Row],[URL]],Tabella27[[URL]:[Servizio]],4,FALSE),VLOOKUP(Tabella4[[#This Row],[Page ID]],Tabella1[[Page ID]:[Servizio]],4,FALSE))</f>
        <v>S006 L'azienda</v>
      </c>
      <c r="AB223" s="34"/>
      <c r="AC223" s="34" t="str">
        <f>Tabella4[[#This Row],[User Impact]]</f>
        <v>2 - Serious</v>
      </c>
      <c r="AD223" s="34" t="str">
        <f>Copertina!C$2&amp;" - "&amp;Tabella4[[#This Row],[UNI CEI EN 301549]]&amp;" "&amp;VLOOKUP(Tabella4[[#This Row],[Criterio]],Tabella5[[ID]:[Criterio di successo]],2,FALSE)&amp;" - "&amp;Tabella4[[#This Row],[Servizio]]&amp;":"</f>
        <v>Insurance Brocker - 9.4.1.2 Nome, ruolo, valore - S006 L'azienda:</v>
      </c>
      <c r="AE22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S006 L'azienda: (#TM0184)
S006 L'azienda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https://posteinsurancebroker.poste.it/segnalazioni-anomalie/ - &lt;div class="panel-heading" role="tab" tabindex="0" id="heading-item-posteinsurancebrokerposteinsurancebroker-modulisegnalazioni-anomalie-accordion-faqcome-e-composto-il-comitato-whistleblowing-di-una-societa-poste-italiane-6-6"&gt; con selettore: 
["#heading-item-posteinsurancebrokerposteinsurancebroker-modulisegnalazioni-anomalie-accordion-faqcome-e-composto-il-comitato-whistleblowing-di-una-societa-poste-italiane-6-6"]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10):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223">
        <f>_xlfn.XLOOKUP(Tabella4[[#This Row],[ID Silk]],outTable[ID Silk],outTable[Numero ticket  ],,0,1)</f>
        <v>5999</v>
      </c>
    </row>
    <row r="224" spans="1:32">
      <c r="A224" s="34" t="str">
        <f>MID(Tabella4[[#This Row],[Servizio]],1,4)&amp;Tabella4[[#This Row],[UNI CEI EN 301549]]</f>
        <v>S0069.4.1.2</v>
      </c>
      <c r="B224" s="34" t="str">
        <f>Tabella4[[#This Row],[ID Silk]]&amp;"_1"</f>
        <v>S0069.4.1.2_1</v>
      </c>
      <c r="C224" s="34" t="s">
        <v>965</v>
      </c>
      <c r="D224" s="2" t="str">
        <f>"(#"&amp;Tabella4[[#This Row],['#ID]]&amp;")"</f>
        <v>(#TM0185)</v>
      </c>
      <c r="E224" s="34" t="str">
        <f>IF(MID(Tabella4[[#This Row],['#ID]],1,1)="M","Mobile",IF(MID(Tabella4[[#This Row],['#ID]],1,1)="D","Desktop",IF(MID(Tabella4[[#This Row],['#ID]],1,2)="TM","Manuale","Documenti")))</f>
        <v>Manuale</v>
      </c>
      <c r="F224" s="34" t="s">
        <v>1005</v>
      </c>
      <c r="G224" s="34" t="s">
        <v>368</v>
      </c>
      <c r="H224" s="34" t="str">
        <f>IF(Tabella4[[#This Row],[Componente]]="Documenti","10.","9.")&amp;Tabella4[[#This Row],[Criterio]]</f>
        <v>9.4.1.2</v>
      </c>
      <c r="I224" s="34" t="s">
        <v>1023</v>
      </c>
      <c r="J224" s="34" t="s">
        <v>1028</v>
      </c>
      <c r="K224" s="34" t="s">
        <v>1029</v>
      </c>
      <c r="L224" s="34" t="s">
        <v>1030</v>
      </c>
      <c r="M224" s="34" t="s">
        <v>1031</v>
      </c>
      <c r="N224" t="s">
        <v>741</v>
      </c>
      <c r="O224" t="s">
        <v>742</v>
      </c>
      <c r="P224" t="s">
        <v>381</v>
      </c>
      <c r="R224" s="34" t="str">
        <f>IF(Tabella4[[#This Row],[Componente]]="Documenti",_xlfn.XLOOKUP(Tabella4[[#This Row],[URL]],Tabella27[URL],Tabella27[PDF ID],,0),_xlfn.XLOOKUP(Tabella4[[#This Row],[URL]],Tabella1[URL],Tabella1[Page ID],,0))</f>
        <v>#14</v>
      </c>
      <c r="S224" s="34" t="s">
        <v>1004</v>
      </c>
      <c r="T224" s="34" t="s">
        <v>490</v>
      </c>
      <c r="V224" t="s">
        <v>492</v>
      </c>
      <c r="W224" s="34" t="s">
        <v>1067</v>
      </c>
      <c r="X224"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id="heading-item-posteinsurancebrokerposteinsurancebroker-modulisegnalazioni-anomalie-accordion-faqcome-composta-la-segreteria-del-comitato-whistleblowing-di-una-societa-poste-italiane-7-7"&gt;</v>
      </c>
      <c r="Y224" s="34" t="str">
        <f>SUBSTITUTE(IF(Tabella4[[#This Row],[Tool]]="axe-core",MID(Tabella4[[#This Row],[Rejected Element]],3,LEN(Tabella4[[#This Row],[Rejected Element]])-4),Tabella4[[#This Row],[Rejected Element]]),"\","")</f>
        <v>#heading-item-posteinsurancebrokerposteinsurancebroker-modulisegnalazioni-anomalie-accordion-faqcome-composta-la-segreteria-del-comitato-whistleblowing-di-una-societa-poste-italiane-7-7</v>
      </c>
      <c r="Z224" s="34">
        <f>COUNTIFS(Tabella4[Detail univoco],Tabella4[[#This Row],[Detail univoco]],Tabella4[Rejected Element Univoco],Tabella4[[#This Row],[Rejected Element Univoco]],Tabella4[ItemsNodeLabel],Tabella4[[#This Row],[ItemsNodeLabel]])</f>
        <v>0</v>
      </c>
      <c r="AA224" s="34" t="str">
        <f>IF(Tabella4[[#This Row],[Componente]]="Documenti",VLOOKUP(Tabella4[[#This Row],[URL]],Tabella27[[URL]:[Servizio]],4,FALSE),VLOOKUP(Tabella4[[#This Row],[Page ID]],Tabella1[[Page ID]:[Servizio]],4,FALSE))</f>
        <v>S006 L'azienda</v>
      </c>
      <c r="AB224" s="34"/>
      <c r="AC224" s="34" t="str">
        <f>Tabella4[[#This Row],[User Impact]]</f>
        <v>2 - Serious</v>
      </c>
      <c r="AD224" s="34" t="str">
        <f>Copertina!C$2&amp;" - "&amp;Tabella4[[#This Row],[UNI CEI EN 301549]]&amp;" "&amp;VLOOKUP(Tabella4[[#This Row],[Criterio]],Tabella5[[ID]:[Criterio di successo]],2,FALSE)&amp;" - "&amp;Tabella4[[#This Row],[Servizio]]&amp;":"</f>
        <v>Insurance Brocker - 9.4.1.2 Nome, ruolo, valore - S006 L'azienda:</v>
      </c>
      <c r="AE22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S006 L'azienda: (#TM0185)
S006 L'azienda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https://posteinsurancebroker.poste.it/segnalazioni-anomalie/ - &lt;div class="panel-heading" role="tab" tabindex="0" id="heading-item-posteinsurancebrokerposteinsurancebroker-modulisegnalazioni-anomalie-accordion-faqcome-composta-la-segreteria-del-comitato-whistleblowing-di-una-societa-poste-italiane-7-7"&gt; con selettore: 
["#heading-item-posteinsurancebrokerposteinsurancebroker-modulisegnalazioni-anomalie-accordion-faqcome-composta-la-segreteria-del-comitato-whistleblowing-di-una-societa-poste-italiane-7-7"]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10):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224">
        <f>_xlfn.XLOOKUP(Tabella4[[#This Row],[ID Silk]],outTable[ID Silk],outTable[Numero ticket  ],,0,1)</f>
        <v>5999</v>
      </c>
    </row>
    <row r="225" spans="1:32">
      <c r="A225" s="34" t="str">
        <f>MID(Tabella4[[#This Row],[Servizio]],1,4)&amp;Tabella4[[#This Row],[UNI CEI EN 301549]]</f>
        <v>S0069.4.1.2</v>
      </c>
      <c r="B225" s="34" t="str">
        <f>Tabella4[[#This Row],[ID Silk]]&amp;"_1"</f>
        <v>S0069.4.1.2_1</v>
      </c>
      <c r="C225" s="34" t="s">
        <v>966</v>
      </c>
      <c r="D225" s="2" t="str">
        <f>"(#"&amp;Tabella4[[#This Row],['#ID]]&amp;")"</f>
        <v>(#TM0186)</v>
      </c>
      <c r="E225" s="34" t="str">
        <f>IF(MID(Tabella4[[#This Row],['#ID]],1,1)="M","Mobile",IF(MID(Tabella4[[#This Row],['#ID]],1,1)="D","Desktop",IF(MID(Tabella4[[#This Row],['#ID]],1,2)="TM","Manuale","Documenti")))</f>
        <v>Manuale</v>
      </c>
      <c r="F225" s="34" t="s">
        <v>1005</v>
      </c>
      <c r="G225" s="34" t="s">
        <v>368</v>
      </c>
      <c r="H225" s="34" t="str">
        <f>IF(Tabella4[[#This Row],[Componente]]="Documenti","10.","9.")&amp;Tabella4[[#This Row],[Criterio]]</f>
        <v>9.4.1.2</v>
      </c>
      <c r="I225" s="34" t="s">
        <v>1023</v>
      </c>
      <c r="J225" s="34" t="s">
        <v>1028</v>
      </c>
      <c r="K225" s="34" t="s">
        <v>1029</v>
      </c>
      <c r="L225" s="34" t="s">
        <v>1030</v>
      </c>
      <c r="M225" s="34" t="s">
        <v>1031</v>
      </c>
      <c r="N225" t="s">
        <v>743</v>
      </c>
      <c r="O225" t="s">
        <v>744</v>
      </c>
      <c r="P225" t="s">
        <v>381</v>
      </c>
      <c r="R225" s="34" t="str">
        <f>IF(Tabella4[[#This Row],[Componente]]="Documenti",_xlfn.XLOOKUP(Tabella4[[#This Row],[URL]],Tabella27[URL],Tabella27[PDF ID],,0),_xlfn.XLOOKUP(Tabella4[[#This Row],[URL]],Tabella1[URL],Tabella1[Page ID],,0))</f>
        <v>#14</v>
      </c>
      <c r="S225" s="34" t="s">
        <v>1004</v>
      </c>
      <c r="T225" s="34" t="s">
        <v>490</v>
      </c>
      <c r="V225" t="s">
        <v>492</v>
      </c>
      <c r="W225" s="34" t="s">
        <v>1067</v>
      </c>
      <c r="X225"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id="heading-item-posteinsurancebrokerposteinsurancebroker-modulisegnalazioni-anomalie-accordion-faqquali-sono-le-tempistiche-di-presa-in-carico-di-una-segnalazione-8-8"&gt;</v>
      </c>
      <c r="Y225" s="34" t="str">
        <f>SUBSTITUTE(IF(Tabella4[[#This Row],[Tool]]="axe-core",MID(Tabella4[[#This Row],[Rejected Element]],3,LEN(Tabella4[[#This Row],[Rejected Element]])-4),Tabella4[[#This Row],[Rejected Element]]),"\","")</f>
        <v>#heading-item-posteinsurancebrokerposteinsurancebroker-modulisegnalazioni-anomalie-accordion-faqquali-sono-le-tempistiche-di-presa-in-carico-di-una-segnalazione-8-8</v>
      </c>
      <c r="Z225" s="34">
        <f>COUNTIFS(Tabella4[Detail univoco],Tabella4[[#This Row],[Detail univoco]],Tabella4[Rejected Element Univoco],Tabella4[[#This Row],[Rejected Element Univoco]],Tabella4[ItemsNodeLabel],Tabella4[[#This Row],[ItemsNodeLabel]])</f>
        <v>0</v>
      </c>
      <c r="AA225" s="34" t="str">
        <f>IF(Tabella4[[#This Row],[Componente]]="Documenti",VLOOKUP(Tabella4[[#This Row],[URL]],Tabella27[[URL]:[Servizio]],4,FALSE),VLOOKUP(Tabella4[[#This Row],[Page ID]],Tabella1[[Page ID]:[Servizio]],4,FALSE))</f>
        <v>S006 L'azienda</v>
      </c>
      <c r="AB225" s="34"/>
      <c r="AC225" s="34" t="str">
        <f>Tabella4[[#This Row],[User Impact]]</f>
        <v>2 - Serious</v>
      </c>
      <c r="AD225" s="34" t="str">
        <f>Copertina!C$2&amp;" - "&amp;Tabella4[[#This Row],[UNI CEI EN 301549]]&amp;" "&amp;VLOOKUP(Tabella4[[#This Row],[Criterio]],Tabella5[[ID]:[Criterio di successo]],2,FALSE)&amp;" - "&amp;Tabella4[[#This Row],[Servizio]]&amp;":"</f>
        <v>Insurance Brocker - 9.4.1.2 Nome, ruolo, valore - S006 L'azienda:</v>
      </c>
      <c r="AE22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S006 L'azienda: (#TM0186)
S006 L'azienda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https://posteinsurancebroker.poste.it/segnalazioni-anomalie/ - &lt;div class="panel-heading" role="tab" tabindex="0" id="heading-item-posteinsurancebrokerposteinsurancebroker-modulisegnalazioni-anomalie-accordion-faqquali-sono-le-tempistiche-di-presa-in-carico-di-una-segnalazione-8-8"&gt; con selettore: 
["#heading-item-posteinsurancebrokerposteinsurancebroker-modulisegnalazioni-anomalie-accordion-faqquali-sono-le-tempistiche-di-presa-in-carico-di-una-segnalazione-8-8"]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10):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225">
        <f>_xlfn.XLOOKUP(Tabella4[[#This Row],[ID Silk]],outTable[ID Silk],outTable[Numero ticket  ],,0,1)</f>
        <v>5999</v>
      </c>
    </row>
    <row r="226" spans="1:32">
      <c r="A226" s="34" t="str">
        <f>MID(Tabella4[[#This Row],[Servizio]],1,4)&amp;Tabella4[[#This Row],[UNI CEI EN 301549]]</f>
        <v>S0069.4.1.2</v>
      </c>
      <c r="B226" s="34" t="str">
        <f>Tabella4[[#This Row],[ID Silk]]&amp;"_1"</f>
        <v>S0069.4.1.2_1</v>
      </c>
      <c r="C226" s="34" t="s">
        <v>967</v>
      </c>
      <c r="D226" s="2" t="str">
        <f>"(#"&amp;Tabella4[[#This Row],['#ID]]&amp;")"</f>
        <v>(#TM0187)</v>
      </c>
      <c r="E226" s="34" t="str">
        <f>IF(MID(Tabella4[[#This Row],['#ID]],1,1)="M","Mobile",IF(MID(Tabella4[[#This Row],['#ID]],1,1)="D","Desktop",IF(MID(Tabella4[[#This Row],['#ID]],1,2)="TM","Manuale","Documenti")))</f>
        <v>Manuale</v>
      </c>
      <c r="F226" s="34" t="s">
        <v>1005</v>
      </c>
      <c r="G226" s="34" t="s">
        <v>368</v>
      </c>
      <c r="H226" s="34" t="str">
        <f>IF(Tabella4[[#This Row],[Componente]]="Documenti","10.","9.")&amp;Tabella4[[#This Row],[Criterio]]</f>
        <v>9.4.1.2</v>
      </c>
      <c r="I226" s="34" t="s">
        <v>1023</v>
      </c>
      <c r="J226" s="34" t="s">
        <v>1028</v>
      </c>
      <c r="K226" s="34" t="s">
        <v>1029</v>
      </c>
      <c r="L226" s="34" t="s">
        <v>1030</v>
      </c>
      <c r="M226" s="34" t="s">
        <v>1031</v>
      </c>
      <c r="N226" t="s">
        <v>745</v>
      </c>
      <c r="O226" t="s">
        <v>746</v>
      </c>
      <c r="P226" t="s">
        <v>381</v>
      </c>
      <c r="R226" s="34" t="str">
        <f>IF(Tabella4[[#This Row],[Componente]]="Documenti",_xlfn.XLOOKUP(Tabella4[[#This Row],[URL]],Tabella27[URL],Tabella27[PDF ID],,0),_xlfn.XLOOKUP(Tabella4[[#This Row],[URL]],Tabella1[URL],Tabella1[Page ID],,0))</f>
        <v>#14</v>
      </c>
      <c r="S226" s="34" t="s">
        <v>1004</v>
      </c>
      <c r="T226" s="34" t="s">
        <v>490</v>
      </c>
      <c r="V226" t="s">
        <v>492</v>
      </c>
      <c r="W226" s="34" t="s">
        <v>1067</v>
      </c>
      <c r="X226"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id="heading-item-posteinsurancebrokerposteinsurancebroker-modulisegnalazioni-anomalie-accordion-faqquali-sono-gli-stati-di-lavorazione-di-una-segnalazione-9-9"&gt;</v>
      </c>
      <c r="Y226" s="34" t="str">
        <f>SUBSTITUTE(IF(Tabella4[[#This Row],[Tool]]="axe-core",MID(Tabella4[[#This Row],[Rejected Element]],3,LEN(Tabella4[[#This Row],[Rejected Element]])-4),Tabella4[[#This Row],[Rejected Element]]),"\","")</f>
        <v>#heading-item-posteinsurancebrokerposteinsurancebroker-modulisegnalazioni-anomalie-accordion-faqquali-sono-gli-stati-di-lavorazione-di-una-segnalazione-9-9</v>
      </c>
      <c r="Z226" s="34">
        <f>COUNTIFS(Tabella4[Detail univoco],Tabella4[[#This Row],[Detail univoco]],Tabella4[Rejected Element Univoco],Tabella4[[#This Row],[Rejected Element Univoco]],Tabella4[ItemsNodeLabel],Tabella4[[#This Row],[ItemsNodeLabel]])</f>
        <v>0</v>
      </c>
      <c r="AA226" s="34" t="str">
        <f>IF(Tabella4[[#This Row],[Componente]]="Documenti",VLOOKUP(Tabella4[[#This Row],[URL]],Tabella27[[URL]:[Servizio]],4,FALSE),VLOOKUP(Tabella4[[#This Row],[Page ID]],Tabella1[[Page ID]:[Servizio]],4,FALSE))</f>
        <v>S006 L'azienda</v>
      </c>
      <c r="AB226" s="34"/>
      <c r="AC226" s="34" t="str">
        <f>Tabella4[[#This Row],[User Impact]]</f>
        <v>2 - Serious</v>
      </c>
      <c r="AD226" s="34" t="str">
        <f>Copertina!C$2&amp;" - "&amp;Tabella4[[#This Row],[UNI CEI EN 301549]]&amp;" "&amp;VLOOKUP(Tabella4[[#This Row],[Criterio]],Tabella5[[ID]:[Criterio di successo]],2,FALSE)&amp;" - "&amp;Tabella4[[#This Row],[Servizio]]&amp;":"</f>
        <v>Insurance Brocker - 9.4.1.2 Nome, ruolo, valore - S006 L'azienda:</v>
      </c>
      <c r="AE22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S006 L'azienda: (#TM0187)
S006 L'azienda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https://posteinsurancebroker.poste.it/segnalazioni-anomalie/ - &lt;div class="panel-heading" role="tab" tabindex="0" id="heading-item-posteinsurancebrokerposteinsurancebroker-modulisegnalazioni-anomalie-accordion-faqquali-sono-gli-stati-di-lavorazione-di-una-segnalazione-9-9"&gt; con selettore: 
["#heading-item-posteinsurancebrokerposteinsurancebroker-modulisegnalazioni-anomalie-accordion-faqquali-sono-gli-stati-di-lavorazione-di-una-segnalazione-9-9"]
Dettaglio + screenshot (accedere con le seguenti credenziali: user, axeposte@gmail.com; password, Poste2024!):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10):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226">
        <f>_xlfn.XLOOKUP(Tabella4[[#This Row],[ID Silk]],outTable[ID Silk],outTable[Numero ticket  ],,0,1)</f>
        <v>5999</v>
      </c>
    </row>
    <row r="227" spans="1:32">
      <c r="A227" s="34" t="str">
        <f>MID(Tabella4[[#This Row],[Servizio]],1,4)&amp;Tabella4[[#This Row],[UNI CEI EN 301549]]</f>
        <v>S0069.2.5.8</v>
      </c>
      <c r="B227" s="34" t="str">
        <f>Tabella4[[#This Row],[ID Silk]]&amp;"_1"</f>
        <v>S0069.2.5.8_1</v>
      </c>
      <c r="C227" s="34" t="s">
        <v>968</v>
      </c>
      <c r="D227" s="2" t="str">
        <f>"(#"&amp;Tabella4[[#This Row],['#ID]]&amp;")"</f>
        <v>(#TM0188)</v>
      </c>
      <c r="E227" s="34" t="str">
        <f>IF(MID(Tabella4[[#This Row],['#ID]],1,1)="M","Mobile",IF(MID(Tabella4[[#This Row],['#ID]],1,1)="D","Desktop",IF(MID(Tabella4[[#This Row],['#ID]],1,2)="TM","Manuale","Documenti")))</f>
        <v>Manuale</v>
      </c>
      <c r="F227" s="34" t="s">
        <v>1006</v>
      </c>
      <c r="G227" s="34" t="s">
        <v>372</v>
      </c>
      <c r="H227" s="34" t="str">
        <f>IF(Tabella4[[#This Row],[Componente]]="Documenti","10.","9.")&amp;Tabella4[[#This Row],[Criterio]]</f>
        <v>9.2.5.8</v>
      </c>
      <c r="I227" s="34" t="s">
        <v>1023</v>
      </c>
      <c r="J227" s="34" t="s">
        <v>1032</v>
      </c>
      <c r="K227" s="34" t="s">
        <v>1033</v>
      </c>
      <c r="L227" s="34" t="s">
        <v>1034</v>
      </c>
      <c r="M227" s="34" t="s">
        <v>1035</v>
      </c>
      <c r="N227" t="s">
        <v>727</v>
      </c>
      <c r="O227" t="s">
        <v>728</v>
      </c>
      <c r="P227" t="s">
        <v>381</v>
      </c>
      <c r="R227" s="34" t="str">
        <f>IF(Tabella4[[#This Row],[Componente]]="Documenti",_xlfn.XLOOKUP(Tabella4[[#This Row],[URL]],Tabella27[URL],Tabella27[PDF ID],,0),_xlfn.XLOOKUP(Tabella4[[#This Row],[URL]],Tabella1[URL],Tabella1[Page ID],,0))</f>
        <v>#14</v>
      </c>
      <c r="S227" s="34" t="s">
        <v>1004</v>
      </c>
      <c r="T227" s="34" t="s">
        <v>518</v>
      </c>
      <c r="V227" t="s">
        <v>578</v>
      </c>
      <c r="W227" s="34" t="s">
        <v>1068</v>
      </c>
      <c r="X227"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id="heading-item-posteinsurancebrokerposteinsurancebroker-modulisegnalazioni-anomalie-accordion-faqchi-puo-inviare-una-segnalazione-0-0"&gt;</v>
      </c>
      <c r="Y227" s="34" t="str">
        <f>SUBSTITUTE(IF(Tabella4[[#This Row],[Tool]]="axe-core",MID(Tabella4[[#This Row],[Rejected Element]],3,LEN(Tabella4[[#This Row],[Rejected Element]])-4),Tabella4[[#This Row],[Rejected Element]]),"\","")</f>
        <v>#heading-item-posteinsurancebrokerposteinsurancebroker-modulisegnalazioni-anomalie-accordion-faqchi-puo-inviare-una-segnalazione-0-0</v>
      </c>
      <c r="Z227" s="34">
        <f>COUNTIFS(Tabella4[Detail univoco],Tabella4[[#This Row],[Detail univoco]],Tabella4[Rejected Element Univoco],Tabella4[[#This Row],[Rejected Element Univoco]],Tabella4[ItemsNodeLabel],Tabella4[[#This Row],[ItemsNodeLabel]])</f>
        <v>0</v>
      </c>
      <c r="AA227" s="34" t="str">
        <f>IF(Tabella4[[#This Row],[Componente]]="Documenti",VLOOKUP(Tabella4[[#This Row],[URL]],Tabella27[[URL]:[Servizio]],4,FALSE),VLOOKUP(Tabella4[[#This Row],[Page ID]],Tabella1[[Page ID]:[Servizio]],4,FALSE))</f>
        <v>S006 L'azienda</v>
      </c>
      <c r="AB227" s="34"/>
      <c r="AC227" s="34" t="str">
        <f>Tabella4[[#This Row],[User Impact]]</f>
        <v>2 - Serious</v>
      </c>
      <c r="AD227" s="34" t="str">
        <f>Copertina!C$2&amp;" - "&amp;Tabella4[[#This Row],[UNI CEI EN 301549]]&amp;" "&amp;VLOOKUP(Tabella4[[#This Row],[Criterio]],Tabella5[[ID]:[Criterio di successo]],2,FALSE)&amp;" - "&amp;Tabella4[[#This Row],[Servizio]]&amp;":"</f>
        <v>Insurance Brocker - 9.2.5.8 Dimensione dell'obiettivo (minimo) - S006 L'azienda:</v>
      </c>
      <c r="AE22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(#TM0188)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&lt;div class="panel-heading" role="tab" tabindex="0" id="heading-item-posteinsurancebrokerposteinsurancebroker-modulisegnalazioni-anomalie-accordion-faqchi-puo-inviare-una-segnalazione-0-0"&gt; con selettore: 
["#heading-item-posteinsurancebrokerposteinsurancebroker-modulisegnalazioni-anomalie-accordion-faqchi-puo-inviare-una-segnalazione-0-0"]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27" t="e">
        <f>_xlfn.XLOOKUP(Tabella4[[#This Row],[ID Silk]],outTable[ID Silk],outTable[Numero ticket  ],,0,1)</f>
        <v>#N/A</v>
      </c>
    </row>
    <row r="228" spans="1:32">
      <c r="A228" s="34" t="str">
        <f>MID(Tabella4[[#This Row],[Servizio]],1,4)&amp;Tabella4[[#This Row],[UNI CEI EN 301549]]</f>
        <v>S0069.2.5.8</v>
      </c>
      <c r="B228" s="34" t="str">
        <f>Tabella4[[#This Row],[ID Silk]]&amp;"_1"</f>
        <v>S0069.2.5.8_1</v>
      </c>
      <c r="C228" s="34" t="s">
        <v>969</v>
      </c>
      <c r="D228" s="2" t="str">
        <f>"(#"&amp;Tabella4[[#This Row],['#ID]]&amp;")"</f>
        <v>(#TM0189)</v>
      </c>
      <c r="E228" s="34" t="str">
        <f>IF(MID(Tabella4[[#This Row],['#ID]],1,1)="M","Mobile",IF(MID(Tabella4[[#This Row],['#ID]],1,1)="D","Desktop",IF(MID(Tabella4[[#This Row],['#ID]],1,2)="TM","Manuale","Documenti")))</f>
        <v>Manuale</v>
      </c>
      <c r="F228" s="34" t="s">
        <v>1006</v>
      </c>
      <c r="G228" s="34" t="s">
        <v>372</v>
      </c>
      <c r="H228" s="34" t="str">
        <f>IF(Tabella4[[#This Row],[Componente]]="Documenti","10.","9.")&amp;Tabella4[[#This Row],[Criterio]]</f>
        <v>9.2.5.8</v>
      </c>
      <c r="I228" s="34" t="s">
        <v>1023</v>
      </c>
      <c r="J228" s="34" t="s">
        <v>1032</v>
      </c>
      <c r="K228" s="34" t="s">
        <v>1033</v>
      </c>
      <c r="L228" s="34" t="s">
        <v>1034</v>
      </c>
      <c r="M228" s="34" t="s">
        <v>1035</v>
      </c>
      <c r="N228" t="s">
        <v>747</v>
      </c>
      <c r="O228" t="s">
        <v>748</v>
      </c>
      <c r="P228" t="s">
        <v>381</v>
      </c>
      <c r="R228" s="34" t="str">
        <f>IF(Tabella4[[#This Row],[Componente]]="Documenti",_xlfn.XLOOKUP(Tabella4[[#This Row],[URL]],Tabella27[URL],Tabella27[PDF ID],,0),_xlfn.XLOOKUP(Tabella4[[#This Row],[URL]],Tabella1[URL],Tabella1[Page ID],,0))</f>
        <v>#14</v>
      </c>
      <c r="S228" s="34" t="s">
        <v>1004</v>
      </c>
      <c r="T228" s="34" t="s">
        <v>518</v>
      </c>
      <c r="V228" t="s">
        <v>580</v>
      </c>
      <c r="W228" s="34" t="s">
        <v>1068</v>
      </c>
      <c r="X22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data-parent="#accordion-posteinsurancebrokerposteinsurancebroker-modulisegnalazioni-anomalie-accordion-faqfaq" href="#item-posteinsurancebrokerposteinsurancebroker-modulisegnalazioni-anomalie-accordion-faqchi-puo-inviare-una-segnalazione-0" aria-expanded="false" aria-controls="item-posteinsurancebrokerposteinsurancebroker-modulisegnalazioni-anomalie-accordion-faqchi-puo-inviare-una-segnalazione-0" aria-label="Chi può inviare una segnalazione" title="Chi può inviare una segnalazione"&gt;</v>
      </c>
      <c r="Y228" s="34" t="str">
        <f>SUBSTITUTE(IF(Tabella4[[#This Row],[Tool]]="axe-core",MID(Tabella4[[#This Row],[Rejected Element]],3,LEN(Tabella4[[#This Row],[Rejected Element]])-4),Tabella4[[#This Row],[Rejected Element]]),"\","")</f>
        <v>#heading-item-posteinsurancebrokerposteinsurancebroker-modulisegnalazioni-anomalie-accordion-faqchi-puo-inviare-una-segnalazione-0-0 &gt; .panel-title &gt; .accordion-toggle.collapsed[role="button"]</v>
      </c>
      <c r="Z228" s="34">
        <f>COUNTIFS(Tabella4[Detail univoco],Tabella4[[#This Row],[Detail univoco]],Tabella4[Rejected Element Univoco],Tabella4[[#This Row],[Rejected Element Univoco]],Tabella4[ItemsNodeLabel],Tabella4[[#This Row],[ItemsNodeLabel]])</f>
        <v>0</v>
      </c>
      <c r="AA228" s="34" t="str">
        <f>IF(Tabella4[[#This Row],[Componente]]="Documenti",VLOOKUP(Tabella4[[#This Row],[URL]],Tabella27[[URL]:[Servizio]],4,FALSE),VLOOKUP(Tabella4[[#This Row],[Page ID]],Tabella1[[Page ID]:[Servizio]],4,FALSE))</f>
        <v>S006 L'azienda</v>
      </c>
      <c r="AB228" s="34"/>
      <c r="AC228" s="34" t="str">
        <f>Tabella4[[#This Row],[User Impact]]</f>
        <v>2 - Serious</v>
      </c>
      <c r="AD228" s="34" t="str">
        <f>Copertina!C$2&amp;" - "&amp;Tabella4[[#This Row],[UNI CEI EN 301549]]&amp;" "&amp;VLOOKUP(Tabella4[[#This Row],[Criterio]],Tabella5[[ID]:[Criterio di successo]],2,FALSE)&amp;" - "&amp;Tabella4[[#This Row],[Servizio]]&amp;":"</f>
        <v>Insurance Brocker - 9.2.5.8 Dimensione dell'obiettivo (minimo) - S006 L'azienda:</v>
      </c>
      <c r="AE22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(#TM0189)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href="#item-posteinsurancebrokerposteinsurancebroker-modulisegnalazioni-anomalie-accordion-faqchi-puo-inviare-una-segnalazione-0" aria-expanded="false" aria-controls="item-posteinsurancebrokerposteinsurancebroker-modulisegnalazioni-anomalie-accordion-faqchi-puo-inviare-una-segnalazione-0" aria-label="Chi può inviare una segnalazione" title="Chi può inviare una segnalazione"&gt; con selettore: 
["#heading-item-posteinsurancebrokerposteinsurancebroker-modulisegnalazioni-anomalie-accordion-faqchi-puo-inviare-una-segnalazione-0-0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28" t="e">
        <f>_xlfn.XLOOKUP(Tabella4[[#This Row],[ID Silk]],outTable[ID Silk],outTable[Numero ticket  ],,0,1)</f>
        <v>#N/A</v>
      </c>
    </row>
    <row r="229" spans="1:32">
      <c r="A229" s="34" t="str">
        <f>MID(Tabella4[[#This Row],[Servizio]],1,4)&amp;Tabella4[[#This Row],[UNI CEI EN 301549]]</f>
        <v>S0069.2.5.8</v>
      </c>
      <c r="B229" s="34" t="str">
        <f>Tabella4[[#This Row],[ID Silk]]&amp;"_1"</f>
        <v>S0069.2.5.8_1</v>
      </c>
      <c r="C229" s="34" t="s">
        <v>970</v>
      </c>
      <c r="D229" s="2" t="str">
        <f>"(#"&amp;Tabella4[[#This Row],['#ID]]&amp;")"</f>
        <v>(#TM0190)</v>
      </c>
      <c r="E229" s="34" t="str">
        <f>IF(MID(Tabella4[[#This Row],['#ID]],1,1)="M","Mobile",IF(MID(Tabella4[[#This Row],['#ID]],1,1)="D","Desktop",IF(MID(Tabella4[[#This Row],['#ID]],1,2)="TM","Manuale","Documenti")))</f>
        <v>Manuale</v>
      </c>
      <c r="F229" s="34" t="s">
        <v>1006</v>
      </c>
      <c r="G229" s="34" t="s">
        <v>372</v>
      </c>
      <c r="H229" s="34" t="str">
        <f>IF(Tabella4[[#This Row],[Componente]]="Documenti","10.","9.")&amp;Tabella4[[#This Row],[Criterio]]</f>
        <v>9.2.5.8</v>
      </c>
      <c r="I229" s="34" t="s">
        <v>1023</v>
      </c>
      <c r="J229" s="34" t="s">
        <v>1032</v>
      </c>
      <c r="K229" s="34" t="s">
        <v>1033</v>
      </c>
      <c r="L229" s="34" t="s">
        <v>1034</v>
      </c>
      <c r="M229" s="34" t="s">
        <v>1035</v>
      </c>
      <c r="N229" t="s">
        <v>729</v>
      </c>
      <c r="O229" t="s">
        <v>730</v>
      </c>
      <c r="P229" t="s">
        <v>381</v>
      </c>
      <c r="R229" s="34" t="str">
        <f>IF(Tabella4[[#This Row],[Componente]]="Documenti",_xlfn.XLOOKUP(Tabella4[[#This Row],[URL]],Tabella27[URL],Tabella27[PDF ID],,0),_xlfn.XLOOKUP(Tabella4[[#This Row],[URL]],Tabella1[URL],Tabella1[Page ID],,0))</f>
        <v>#14</v>
      </c>
      <c r="S229" s="34" t="s">
        <v>1004</v>
      </c>
      <c r="T229" s="34" t="s">
        <v>518</v>
      </c>
      <c r="V229" t="s">
        <v>578</v>
      </c>
      <c r="W229" s="34" t="s">
        <v>1068</v>
      </c>
      <c r="X229"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id="heading-item-posteinsurancebrokerposteinsurancebroker-modulisegnalazioni-anomalie-accordion-faqe-possibile-inviare-una-segnalazione-anonima-1-1"&gt;</v>
      </c>
      <c r="Y229" s="34" t="str">
        <f>SUBSTITUTE(IF(Tabella4[[#This Row],[Tool]]="axe-core",MID(Tabella4[[#This Row],[Rejected Element]],3,LEN(Tabella4[[#This Row],[Rejected Element]])-4),Tabella4[[#This Row],[Rejected Element]]),"\","")</f>
        <v>#heading-item-posteinsurancebrokerposteinsurancebroker-modulisegnalazioni-anomalie-accordion-faqe-possibile-inviare-una-segnalazione-anonima-1-1</v>
      </c>
      <c r="Z229" s="34">
        <f>COUNTIFS(Tabella4[Detail univoco],Tabella4[[#This Row],[Detail univoco]],Tabella4[Rejected Element Univoco],Tabella4[[#This Row],[Rejected Element Univoco]],Tabella4[ItemsNodeLabel],Tabella4[[#This Row],[ItemsNodeLabel]])</f>
        <v>0</v>
      </c>
      <c r="AA229" s="34" t="str">
        <f>IF(Tabella4[[#This Row],[Componente]]="Documenti",VLOOKUP(Tabella4[[#This Row],[URL]],Tabella27[[URL]:[Servizio]],4,FALSE),VLOOKUP(Tabella4[[#This Row],[Page ID]],Tabella1[[Page ID]:[Servizio]],4,FALSE))</f>
        <v>S006 L'azienda</v>
      </c>
      <c r="AB229" s="34"/>
      <c r="AC229" s="34" t="str">
        <f>Tabella4[[#This Row],[User Impact]]</f>
        <v>2 - Serious</v>
      </c>
      <c r="AD229" s="34" t="str">
        <f>Copertina!C$2&amp;" - "&amp;Tabella4[[#This Row],[UNI CEI EN 301549]]&amp;" "&amp;VLOOKUP(Tabella4[[#This Row],[Criterio]],Tabella5[[ID]:[Criterio di successo]],2,FALSE)&amp;" - "&amp;Tabella4[[#This Row],[Servizio]]&amp;":"</f>
        <v>Insurance Brocker - 9.2.5.8 Dimensione dell'obiettivo (minimo) - S006 L'azienda:</v>
      </c>
      <c r="AE22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(#TM0190)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&lt;div class="panel-heading" role="tab" tabindex="0" id="heading-item-posteinsurancebrokerposteinsurancebroker-modulisegnalazioni-anomalie-accordion-faqe-possibile-inviare-una-segnalazione-anonima-1-1"&gt; con selettore: 
["#heading-item-posteinsurancebrokerposteinsurancebroker-modulisegnalazioni-anomalie-accordion-faqe-possibile-inviare-una-segnalazione-anonima-1-1"]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29" t="e">
        <f>_xlfn.XLOOKUP(Tabella4[[#This Row],[ID Silk]],outTable[ID Silk],outTable[Numero ticket  ],,0,1)</f>
        <v>#N/A</v>
      </c>
    </row>
    <row r="230" spans="1:32">
      <c r="A230" s="34" t="str">
        <f>MID(Tabella4[[#This Row],[Servizio]],1,4)&amp;Tabella4[[#This Row],[UNI CEI EN 301549]]</f>
        <v>S0069.2.5.8</v>
      </c>
      <c r="B230" s="34" t="str">
        <f>Tabella4[[#This Row],[ID Silk]]&amp;"_1"</f>
        <v>S0069.2.5.8_1</v>
      </c>
      <c r="C230" s="34" t="s">
        <v>971</v>
      </c>
      <c r="D230" s="2" t="str">
        <f>"(#"&amp;Tabella4[[#This Row],['#ID]]&amp;")"</f>
        <v>(#TM0191)</v>
      </c>
      <c r="E230" s="34" t="str">
        <f>IF(MID(Tabella4[[#This Row],['#ID]],1,1)="M","Mobile",IF(MID(Tabella4[[#This Row],['#ID]],1,1)="D","Desktop",IF(MID(Tabella4[[#This Row],['#ID]],1,2)="TM","Manuale","Documenti")))</f>
        <v>Manuale</v>
      </c>
      <c r="F230" s="34" t="s">
        <v>1006</v>
      </c>
      <c r="G230" s="34" t="s">
        <v>372</v>
      </c>
      <c r="H230" s="34" t="str">
        <f>IF(Tabella4[[#This Row],[Componente]]="Documenti","10.","9.")&amp;Tabella4[[#This Row],[Criterio]]</f>
        <v>9.2.5.8</v>
      </c>
      <c r="I230" s="34" t="s">
        <v>1023</v>
      </c>
      <c r="J230" s="34" t="s">
        <v>1032</v>
      </c>
      <c r="K230" s="34" t="s">
        <v>1033</v>
      </c>
      <c r="L230" s="34" t="s">
        <v>1034</v>
      </c>
      <c r="M230" s="34" t="s">
        <v>1035</v>
      </c>
      <c r="N230" t="s">
        <v>749</v>
      </c>
      <c r="O230" t="s">
        <v>750</v>
      </c>
      <c r="P230" t="s">
        <v>381</v>
      </c>
      <c r="R230" s="34" t="str">
        <f>IF(Tabella4[[#This Row],[Componente]]="Documenti",_xlfn.XLOOKUP(Tabella4[[#This Row],[URL]],Tabella27[URL],Tabella27[PDF ID],,0),_xlfn.XLOOKUP(Tabella4[[#This Row],[URL]],Tabella1[URL],Tabella1[Page ID],,0))</f>
        <v>#14</v>
      </c>
      <c r="S230" s="34" t="s">
        <v>1004</v>
      </c>
      <c r="T230" s="34" t="s">
        <v>518</v>
      </c>
      <c r="V230" t="s">
        <v>580</v>
      </c>
      <c r="W230" s="34" t="s">
        <v>1068</v>
      </c>
      <c r="X23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data-parent="#accordion-posteinsurancebrokerposteinsurancebroker-modulisegnalazioni-anomalie-accordion-faqfaq" href="#item-posteinsurancebrokerposteinsurancebroker-modulisegnalazioni-anomalie-accordion-faqe-possibile-inviare-una-segnalazione-anonima-1" aria-expanded="false" aria-controls="item-posteinsurancebrokerposteinsurancebroker-modulisegnalazioni-anomalie-accordion-faqe-possibile-inviare-una-segnalazione-anonima-1" aria-label="È possibile inviare una segnalazione anonima?" title="È possibile inviare una segnalazione anonima?"&gt;</v>
      </c>
      <c r="Y230" s="34" t="str">
        <f>SUBSTITUTE(IF(Tabella4[[#This Row],[Tool]]="axe-core",MID(Tabella4[[#This Row],[Rejected Element]],3,LEN(Tabella4[[#This Row],[Rejected Element]])-4),Tabella4[[#This Row],[Rejected Element]]),"\","")</f>
        <v>#heading-item-posteinsurancebrokerposteinsurancebroker-modulisegnalazioni-anomalie-accordion-faqe-possibile-inviare-una-segnalazione-anonima-1-1 &gt; .panel-title &gt; .accordion-toggle.collapsed[role="button"]</v>
      </c>
      <c r="Z230" s="34">
        <f>COUNTIFS(Tabella4[Detail univoco],Tabella4[[#This Row],[Detail univoco]],Tabella4[Rejected Element Univoco],Tabella4[[#This Row],[Rejected Element Univoco]],Tabella4[ItemsNodeLabel],Tabella4[[#This Row],[ItemsNodeLabel]])</f>
        <v>0</v>
      </c>
      <c r="AA230" s="34" t="str">
        <f>IF(Tabella4[[#This Row],[Componente]]="Documenti",VLOOKUP(Tabella4[[#This Row],[URL]],Tabella27[[URL]:[Servizio]],4,FALSE),VLOOKUP(Tabella4[[#This Row],[Page ID]],Tabella1[[Page ID]:[Servizio]],4,FALSE))</f>
        <v>S006 L'azienda</v>
      </c>
      <c r="AB230" s="34"/>
      <c r="AC230" s="34" t="str">
        <f>Tabella4[[#This Row],[User Impact]]</f>
        <v>2 - Serious</v>
      </c>
      <c r="AD230" s="34" t="str">
        <f>Copertina!C$2&amp;" - "&amp;Tabella4[[#This Row],[UNI CEI EN 301549]]&amp;" "&amp;VLOOKUP(Tabella4[[#This Row],[Criterio]],Tabella5[[ID]:[Criterio di successo]],2,FALSE)&amp;" - "&amp;Tabella4[[#This Row],[Servizio]]&amp;":"</f>
        <v>Insurance Brocker - 9.2.5.8 Dimensione dell'obiettivo (minimo) - S006 L'azienda:</v>
      </c>
      <c r="AE23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(#TM0191)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href="#item-posteinsurancebrokerposteinsurancebroker-modulisegnalazioni-anomalie-accordion-faqe-possibile-inviare-una-segnalazione-anonima-1" aria-expanded="false" aria-controls="item-posteinsurancebrokerposteinsurancebroker-modulisegnalazioni-anomalie-accordion-faqe-possibile-inviare-una-segnalazione-anonima-1" aria-label="È possibile inviare una segnalazione anonima?" title="È possibile inviare una segnalazione anonima?"&gt; con selettore: 
["#heading-item-posteinsurancebrokerposteinsurancebroker-modulisegnalazioni-anomalie-accordion-faqe-possibile-inviare-una-segnalazione-anonima-1-1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30" t="e">
        <f>_xlfn.XLOOKUP(Tabella4[[#This Row],[ID Silk]],outTable[ID Silk],outTable[Numero ticket  ],,0,1)</f>
        <v>#N/A</v>
      </c>
    </row>
    <row r="231" spans="1:32">
      <c r="A231" s="34" t="str">
        <f>MID(Tabella4[[#This Row],[Servizio]],1,4)&amp;Tabella4[[#This Row],[UNI CEI EN 301549]]</f>
        <v>S0069.2.5.8</v>
      </c>
      <c r="B231" s="34" t="str">
        <f>Tabella4[[#This Row],[ID Silk]]&amp;"_1"</f>
        <v>S0069.2.5.8_1</v>
      </c>
      <c r="C231" s="34" t="s">
        <v>972</v>
      </c>
      <c r="D231" s="2" t="str">
        <f>"(#"&amp;Tabella4[[#This Row],['#ID]]&amp;")"</f>
        <v>(#TM0192)</v>
      </c>
      <c r="E231" s="34" t="str">
        <f>IF(MID(Tabella4[[#This Row],['#ID]],1,1)="M","Mobile",IF(MID(Tabella4[[#This Row],['#ID]],1,1)="D","Desktop",IF(MID(Tabella4[[#This Row],['#ID]],1,2)="TM","Manuale","Documenti")))</f>
        <v>Manuale</v>
      </c>
      <c r="F231" s="34" t="s">
        <v>1006</v>
      </c>
      <c r="G231" s="34" t="s">
        <v>372</v>
      </c>
      <c r="H231" s="34" t="str">
        <f>IF(Tabella4[[#This Row],[Componente]]="Documenti","10.","9.")&amp;Tabella4[[#This Row],[Criterio]]</f>
        <v>9.2.5.8</v>
      </c>
      <c r="I231" s="34" t="s">
        <v>1023</v>
      </c>
      <c r="J231" s="34" t="s">
        <v>1032</v>
      </c>
      <c r="K231" s="34" t="s">
        <v>1033</v>
      </c>
      <c r="L231" s="34" t="s">
        <v>1034</v>
      </c>
      <c r="M231" s="34" t="s">
        <v>1035</v>
      </c>
      <c r="N231" t="s">
        <v>731</v>
      </c>
      <c r="O231" t="s">
        <v>732</v>
      </c>
      <c r="P231" t="s">
        <v>381</v>
      </c>
      <c r="R231" s="34" t="str">
        <f>IF(Tabella4[[#This Row],[Componente]]="Documenti",_xlfn.XLOOKUP(Tabella4[[#This Row],[URL]],Tabella27[URL],Tabella27[PDF ID],,0),_xlfn.XLOOKUP(Tabella4[[#This Row],[URL]],Tabella1[URL],Tabella1[Page ID],,0))</f>
        <v>#14</v>
      </c>
      <c r="S231" s="34" t="s">
        <v>1004</v>
      </c>
      <c r="T231" s="34" t="s">
        <v>518</v>
      </c>
      <c r="V231" t="s">
        <v>578</v>
      </c>
      <c r="W231" s="34" t="s">
        <v>1068</v>
      </c>
      <c r="X231"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id="heading-item-posteinsurancebrokerposteinsurancebroker-modulisegnalazioni-anomalie-accordion-faqe-possibile-consultare-lo-stato-di-lavorazione-di-una-segnalazione-2-2"&gt;</v>
      </c>
      <c r="Y231" s="34" t="str">
        <f>SUBSTITUTE(IF(Tabella4[[#This Row],[Tool]]="axe-core",MID(Tabella4[[#This Row],[Rejected Element]],3,LEN(Tabella4[[#This Row],[Rejected Element]])-4),Tabella4[[#This Row],[Rejected Element]]),"\","")</f>
        <v>#heading-item-posteinsurancebrokerposteinsurancebroker-modulisegnalazioni-anomalie-accordion-faqe-possibile-consultare-lo-stato-di-lavorazione-di-una-segnalazione-2-2</v>
      </c>
      <c r="Z231" s="34">
        <f>COUNTIFS(Tabella4[Detail univoco],Tabella4[[#This Row],[Detail univoco]],Tabella4[Rejected Element Univoco],Tabella4[[#This Row],[Rejected Element Univoco]],Tabella4[ItemsNodeLabel],Tabella4[[#This Row],[ItemsNodeLabel]])</f>
        <v>0</v>
      </c>
      <c r="AA231" s="34" t="str">
        <f>IF(Tabella4[[#This Row],[Componente]]="Documenti",VLOOKUP(Tabella4[[#This Row],[URL]],Tabella27[[URL]:[Servizio]],4,FALSE),VLOOKUP(Tabella4[[#This Row],[Page ID]],Tabella1[[Page ID]:[Servizio]],4,FALSE))</f>
        <v>S006 L'azienda</v>
      </c>
      <c r="AB231" s="34"/>
      <c r="AC231" s="34" t="str">
        <f>Tabella4[[#This Row],[User Impact]]</f>
        <v>2 - Serious</v>
      </c>
      <c r="AD231" s="34" t="str">
        <f>Copertina!C$2&amp;" - "&amp;Tabella4[[#This Row],[UNI CEI EN 301549]]&amp;" "&amp;VLOOKUP(Tabella4[[#This Row],[Criterio]],Tabella5[[ID]:[Criterio di successo]],2,FALSE)&amp;" - "&amp;Tabella4[[#This Row],[Servizio]]&amp;":"</f>
        <v>Insurance Brocker - 9.2.5.8 Dimensione dell'obiettivo (minimo) - S006 L'azienda:</v>
      </c>
      <c r="AE23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(#TM0192)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&lt;div class="panel-heading" role="tab" tabindex="0" id="heading-item-posteinsurancebrokerposteinsurancebroker-modulisegnalazioni-anomalie-accordion-faqe-possibile-consultare-lo-stato-di-lavorazione-di-una-segnalazione-2-2"&gt; con selettore: 
["#heading-item-posteinsurancebrokerposteinsurancebroker-modulisegnalazioni-anomalie-accordion-faqe-possibile-consultare-lo-stato-di-lavorazione-di-una-segnalazione-2-2"]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31" t="e">
        <f>_xlfn.XLOOKUP(Tabella4[[#This Row],[ID Silk]],outTable[ID Silk],outTable[Numero ticket  ],,0,1)</f>
        <v>#N/A</v>
      </c>
    </row>
    <row r="232" spans="1:32">
      <c r="A232" s="34" t="str">
        <f>MID(Tabella4[[#This Row],[Servizio]],1,4)&amp;Tabella4[[#This Row],[UNI CEI EN 301549]]</f>
        <v>S0069.2.5.8</v>
      </c>
      <c r="B232" s="34" t="str">
        <f>Tabella4[[#This Row],[ID Silk]]&amp;"_1"</f>
        <v>S0069.2.5.8_1</v>
      </c>
      <c r="C232" s="34" t="s">
        <v>973</v>
      </c>
      <c r="D232" s="2" t="str">
        <f>"(#"&amp;Tabella4[[#This Row],['#ID]]&amp;")"</f>
        <v>(#TM0193)</v>
      </c>
      <c r="E232" s="34" t="str">
        <f>IF(MID(Tabella4[[#This Row],['#ID]],1,1)="M","Mobile",IF(MID(Tabella4[[#This Row],['#ID]],1,1)="D","Desktop",IF(MID(Tabella4[[#This Row],['#ID]],1,2)="TM","Manuale","Documenti")))</f>
        <v>Manuale</v>
      </c>
      <c r="F232" s="34" t="s">
        <v>1006</v>
      </c>
      <c r="G232" s="34" t="s">
        <v>372</v>
      </c>
      <c r="H232" s="34" t="str">
        <f>IF(Tabella4[[#This Row],[Componente]]="Documenti","10.","9.")&amp;Tabella4[[#This Row],[Criterio]]</f>
        <v>9.2.5.8</v>
      </c>
      <c r="I232" s="34" t="s">
        <v>1023</v>
      </c>
      <c r="J232" s="34" t="s">
        <v>1032</v>
      </c>
      <c r="K232" s="34" t="s">
        <v>1033</v>
      </c>
      <c r="L232" s="34" t="s">
        <v>1034</v>
      </c>
      <c r="M232" s="34" t="s">
        <v>1035</v>
      </c>
      <c r="N232" t="s">
        <v>751</v>
      </c>
      <c r="O232" t="s">
        <v>752</v>
      </c>
      <c r="P232" t="s">
        <v>381</v>
      </c>
      <c r="R232" s="34" t="str">
        <f>IF(Tabella4[[#This Row],[Componente]]="Documenti",_xlfn.XLOOKUP(Tabella4[[#This Row],[URL]],Tabella27[URL],Tabella27[PDF ID],,0),_xlfn.XLOOKUP(Tabella4[[#This Row],[URL]],Tabella1[URL],Tabella1[Page ID],,0))</f>
        <v>#14</v>
      </c>
      <c r="S232" s="34" t="s">
        <v>1004</v>
      </c>
      <c r="T232" s="34" t="s">
        <v>518</v>
      </c>
      <c r="V232" t="s">
        <v>580</v>
      </c>
      <c r="W232" s="34" t="s">
        <v>1068</v>
      </c>
      <c r="X23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data-parent="#accordion-posteinsurancebrokerposteinsurancebroker-modulisegnalazioni-anomalie-accordion-faqfaq" href="#item-posteinsurancebrokerposteinsurancebroker-modulisegnalazioni-anomalie-accordion-faqe-possibile-consultare-lo-stato-di-lavorazione-di-una-segnalazione-2" aria-expanded="false" aria-controls="item-posteinsurancebrokerposteinsurancebroker-modulisegnalazioni-anomalie-accordion-faqe-possibile-consultare-lo-stato-di-lavorazione-di-una-segnalazione-2" aria-label="È possibile consultare lo stato di lavorazione di una segnalazione?" title="È possibile consultare lo stato di lavorazione di una segnalazione?"&gt;</v>
      </c>
      <c r="Y232" s="34" t="str">
        <f>SUBSTITUTE(IF(Tabella4[[#This Row],[Tool]]="axe-core",MID(Tabella4[[#This Row],[Rejected Element]],3,LEN(Tabella4[[#This Row],[Rejected Element]])-4),Tabella4[[#This Row],[Rejected Element]]),"\","")</f>
        <v>#heading-item-posteinsurancebrokerposteinsurancebroker-modulisegnalazioni-anomalie-accordion-faqe-possibile-consultare-lo-stato-di-lavorazione-di-una-segnalazione-2-2 &gt; .panel-title &gt; .accordion-toggle.collapsed[role="button"]</v>
      </c>
      <c r="Z232" s="34">
        <f>COUNTIFS(Tabella4[Detail univoco],Tabella4[[#This Row],[Detail univoco]],Tabella4[Rejected Element Univoco],Tabella4[[#This Row],[Rejected Element Univoco]],Tabella4[ItemsNodeLabel],Tabella4[[#This Row],[ItemsNodeLabel]])</f>
        <v>0</v>
      </c>
      <c r="AA232" s="34" t="str">
        <f>IF(Tabella4[[#This Row],[Componente]]="Documenti",VLOOKUP(Tabella4[[#This Row],[URL]],Tabella27[[URL]:[Servizio]],4,FALSE),VLOOKUP(Tabella4[[#This Row],[Page ID]],Tabella1[[Page ID]:[Servizio]],4,FALSE))</f>
        <v>S006 L'azienda</v>
      </c>
      <c r="AB232" s="34"/>
      <c r="AC232" s="34" t="str">
        <f>Tabella4[[#This Row],[User Impact]]</f>
        <v>2 - Serious</v>
      </c>
      <c r="AD232" s="34" t="str">
        <f>Copertina!C$2&amp;" - "&amp;Tabella4[[#This Row],[UNI CEI EN 301549]]&amp;" "&amp;VLOOKUP(Tabella4[[#This Row],[Criterio]],Tabella5[[ID]:[Criterio di successo]],2,FALSE)&amp;" - "&amp;Tabella4[[#This Row],[Servizio]]&amp;":"</f>
        <v>Insurance Brocker - 9.2.5.8 Dimensione dell'obiettivo (minimo) - S006 L'azienda:</v>
      </c>
      <c r="AE23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(#TM0193)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href="#item-posteinsurancebrokerposteinsurancebroker-modulisegnalazioni-anomalie-accordion-faqe-possibile-consultare-lo-stato-di-lavorazione-di-una-segnalazione-2" aria-expanded="false" aria-controls="item-posteinsurancebrokerposteinsurancebroker-modulisegnalazioni-anomalie-accordion-faqe-possibile-consultare-lo-stato-di-lavorazione-di-una-segnalazione-2" aria-label="È possibile consultare lo stato di lavorazione di una segnalazione?" title="È possibile consultare lo stato di lavorazione di una segnalazione?"&gt; con selettore: 
["#heading-item-posteinsurancebrokerposteinsurancebroker-modulisegnalazioni-anomalie-accordion-faqe-possibile-consultare-lo-stato-di-lavorazione-di-una-segnalazione-2-2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32" t="e">
        <f>_xlfn.XLOOKUP(Tabella4[[#This Row],[ID Silk]],outTable[ID Silk],outTable[Numero ticket  ],,0,1)</f>
        <v>#N/A</v>
      </c>
    </row>
    <row r="233" spans="1:32">
      <c r="A233" s="34" t="str">
        <f>MID(Tabella4[[#This Row],[Servizio]],1,4)&amp;Tabella4[[#This Row],[UNI CEI EN 301549]]</f>
        <v>S0069.2.5.8</v>
      </c>
      <c r="B233" s="34" t="str">
        <f>Tabella4[[#This Row],[ID Silk]]&amp;"_1"</f>
        <v>S0069.2.5.8_1</v>
      </c>
      <c r="C233" s="34" t="s">
        <v>974</v>
      </c>
      <c r="D233" s="2" t="str">
        <f>"(#"&amp;Tabella4[[#This Row],['#ID]]&amp;")"</f>
        <v>(#TM0194)</v>
      </c>
      <c r="E233" s="34" t="str">
        <f>IF(MID(Tabella4[[#This Row],['#ID]],1,1)="M","Mobile",IF(MID(Tabella4[[#This Row],['#ID]],1,1)="D","Desktop",IF(MID(Tabella4[[#This Row],['#ID]],1,2)="TM","Manuale","Documenti")))</f>
        <v>Manuale</v>
      </c>
      <c r="F233" s="34" t="s">
        <v>1006</v>
      </c>
      <c r="G233" s="34" t="s">
        <v>372</v>
      </c>
      <c r="H233" s="34" t="str">
        <f>IF(Tabella4[[#This Row],[Componente]]="Documenti","10.","9.")&amp;Tabella4[[#This Row],[Criterio]]</f>
        <v>9.2.5.8</v>
      </c>
      <c r="I233" s="34" t="s">
        <v>1023</v>
      </c>
      <c r="J233" s="34" t="s">
        <v>1032</v>
      </c>
      <c r="K233" s="34" t="s">
        <v>1033</v>
      </c>
      <c r="L233" s="34" t="s">
        <v>1034</v>
      </c>
      <c r="M233" s="34" t="s">
        <v>1035</v>
      </c>
      <c r="N233" t="s">
        <v>733</v>
      </c>
      <c r="O233" t="s">
        <v>734</v>
      </c>
      <c r="P233" t="s">
        <v>381</v>
      </c>
      <c r="R233" s="34" t="str">
        <f>IF(Tabella4[[#This Row],[Componente]]="Documenti",_xlfn.XLOOKUP(Tabella4[[#This Row],[URL]],Tabella27[URL],Tabella27[PDF ID],,0),_xlfn.XLOOKUP(Tabella4[[#This Row],[URL]],Tabella1[URL],Tabella1[Page ID],,0))</f>
        <v>#14</v>
      </c>
      <c r="S233" s="34" t="s">
        <v>1004</v>
      </c>
      <c r="T233" s="34" t="s">
        <v>518</v>
      </c>
      <c r="V233" t="s">
        <v>578</v>
      </c>
      <c r="W233" s="34" t="s">
        <v>1068</v>
      </c>
      <c r="X233"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id="heading-item-posteinsurancebrokerposteinsurancebroker-modulisegnalazioni-anomalie-accordion-faqquali-sono-le-tutele-per-il-segnalante-3-3"&gt;</v>
      </c>
      <c r="Y233" s="34" t="str">
        <f>SUBSTITUTE(IF(Tabella4[[#This Row],[Tool]]="axe-core",MID(Tabella4[[#This Row],[Rejected Element]],3,LEN(Tabella4[[#This Row],[Rejected Element]])-4),Tabella4[[#This Row],[Rejected Element]]),"\","")</f>
        <v>#heading-item-posteinsurancebrokerposteinsurancebroker-modulisegnalazioni-anomalie-accordion-faqquali-sono-le-tutele-per-il-segnalante-3-3</v>
      </c>
      <c r="Z233" s="34">
        <f>COUNTIFS(Tabella4[Detail univoco],Tabella4[[#This Row],[Detail univoco]],Tabella4[Rejected Element Univoco],Tabella4[[#This Row],[Rejected Element Univoco]],Tabella4[ItemsNodeLabel],Tabella4[[#This Row],[ItemsNodeLabel]])</f>
        <v>0</v>
      </c>
      <c r="AA233" s="34" t="str">
        <f>IF(Tabella4[[#This Row],[Componente]]="Documenti",VLOOKUP(Tabella4[[#This Row],[URL]],Tabella27[[URL]:[Servizio]],4,FALSE),VLOOKUP(Tabella4[[#This Row],[Page ID]],Tabella1[[Page ID]:[Servizio]],4,FALSE))</f>
        <v>S006 L'azienda</v>
      </c>
      <c r="AB233" s="34"/>
      <c r="AC233" s="34" t="str">
        <f>Tabella4[[#This Row],[User Impact]]</f>
        <v>2 - Serious</v>
      </c>
      <c r="AD233" s="34" t="str">
        <f>Copertina!C$2&amp;" - "&amp;Tabella4[[#This Row],[UNI CEI EN 301549]]&amp;" "&amp;VLOOKUP(Tabella4[[#This Row],[Criterio]],Tabella5[[ID]:[Criterio di successo]],2,FALSE)&amp;" - "&amp;Tabella4[[#This Row],[Servizio]]&amp;":"</f>
        <v>Insurance Brocker - 9.2.5.8 Dimensione dell'obiettivo (minimo) - S006 L'azienda:</v>
      </c>
      <c r="AE23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(#TM0194)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&lt;div class="panel-heading" role="tab" tabindex="0" id="heading-item-posteinsurancebrokerposteinsurancebroker-modulisegnalazioni-anomalie-accordion-faqquali-sono-le-tutele-per-il-segnalante-3-3"&gt; con selettore: 
["#heading-item-posteinsurancebrokerposteinsurancebroker-modulisegnalazioni-anomalie-accordion-faqquali-sono-le-tutele-per-il-segnalante-3-3"]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33" t="e">
        <f>_xlfn.XLOOKUP(Tabella4[[#This Row],[ID Silk]],outTable[ID Silk],outTable[Numero ticket  ],,0,1)</f>
        <v>#N/A</v>
      </c>
    </row>
    <row r="234" spans="1:32">
      <c r="A234" s="34" t="str">
        <f>MID(Tabella4[[#This Row],[Servizio]],1,4)&amp;Tabella4[[#This Row],[UNI CEI EN 301549]]</f>
        <v>S0069.2.5.8</v>
      </c>
      <c r="B234" s="34" t="str">
        <f>Tabella4[[#This Row],[ID Silk]]&amp;"_1"</f>
        <v>S0069.2.5.8_1</v>
      </c>
      <c r="C234" s="34" t="s">
        <v>975</v>
      </c>
      <c r="D234" s="2" t="str">
        <f>"(#"&amp;Tabella4[[#This Row],['#ID]]&amp;")"</f>
        <v>(#TM0195)</v>
      </c>
      <c r="E234" s="34" t="str">
        <f>IF(MID(Tabella4[[#This Row],['#ID]],1,1)="M","Mobile",IF(MID(Tabella4[[#This Row],['#ID]],1,1)="D","Desktop",IF(MID(Tabella4[[#This Row],['#ID]],1,2)="TM","Manuale","Documenti")))</f>
        <v>Manuale</v>
      </c>
      <c r="F234" s="34" t="s">
        <v>1006</v>
      </c>
      <c r="G234" s="34" t="s">
        <v>372</v>
      </c>
      <c r="H234" s="34" t="str">
        <f>IF(Tabella4[[#This Row],[Componente]]="Documenti","10.","9.")&amp;Tabella4[[#This Row],[Criterio]]</f>
        <v>9.2.5.8</v>
      </c>
      <c r="I234" s="34" t="s">
        <v>1023</v>
      </c>
      <c r="J234" s="34" t="s">
        <v>1032</v>
      </c>
      <c r="K234" s="34" t="s">
        <v>1033</v>
      </c>
      <c r="L234" s="34" t="s">
        <v>1034</v>
      </c>
      <c r="M234" s="34" t="s">
        <v>1035</v>
      </c>
      <c r="N234" t="s">
        <v>753</v>
      </c>
      <c r="O234" t="s">
        <v>754</v>
      </c>
      <c r="P234" t="s">
        <v>381</v>
      </c>
      <c r="R234" s="34" t="str">
        <f>IF(Tabella4[[#This Row],[Componente]]="Documenti",_xlfn.XLOOKUP(Tabella4[[#This Row],[URL]],Tabella27[URL],Tabella27[PDF ID],,0),_xlfn.XLOOKUP(Tabella4[[#This Row],[URL]],Tabella1[URL],Tabella1[Page ID],,0))</f>
        <v>#14</v>
      </c>
      <c r="S234" s="34" t="s">
        <v>1004</v>
      </c>
      <c r="T234" s="34" t="s">
        <v>518</v>
      </c>
      <c r="V234" t="s">
        <v>580</v>
      </c>
      <c r="W234" s="34" t="s">
        <v>1068</v>
      </c>
      <c r="X23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data-parent="#accordion-posteinsurancebrokerposteinsurancebroker-modulisegnalazioni-anomalie-accordion-faqfaq" href="#item-posteinsurancebrokerposteinsurancebroker-modulisegnalazioni-anomalie-accordion-faqquali-sono-le-tutele-per-il-segnalante-3" aria-expanded="false" aria-controls="item-posteinsurancebrokerposteinsurancebroker-modulisegnalazioni-anomalie-accordion-faqquali-sono-le-tutele-per-il-segnalante-3" aria-label="Quali sono le tutele per il segnalante?" title="Quali sono le tutele per il segnalante?"&gt;</v>
      </c>
      <c r="Y234" s="34" t="str">
        <f>SUBSTITUTE(IF(Tabella4[[#This Row],[Tool]]="axe-core",MID(Tabella4[[#This Row],[Rejected Element]],3,LEN(Tabella4[[#This Row],[Rejected Element]])-4),Tabella4[[#This Row],[Rejected Element]]),"\","")</f>
        <v>#heading-item-posteinsurancebrokerposteinsurancebroker-modulisegnalazioni-anomalie-accordion-faqquali-sono-le-tutele-per-il-segnalante-3-3 &gt; .panel-title &gt; .accordion-toggle.collapsed[role="button"]</v>
      </c>
      <c r="Z234" s="34">
        <f>COUNTIFS(Tabella4[Detail univoco],Tabella4[[#This Row],[Detail univoco]],Tabella4[Rejected Element Univoco],Tabella4[[#This Row],[Rejected Element Univoco]],Tabella4[ItemsNodeLabel],Tabella4[[#This Row],[ItemsNodeLabel]])</f>
        <v>0</v>
      </c>
      <c r="AA234" s="34" t="str">
        <f>IF(Tabella4[[#This Row],[Componente]]="Documenti",VLOOKUP(Tabella4[[#This Row],[URL]],Tabella27[[URL]:[Servizio]],4,FALSE),VLOOKUP(Tabella4[[#This Row],[Page ID]],Tabella1[[Page ID]:[Servizio]],4,FALSE))</f>
        <v>S006 L'azienda</v>
      </c>
      <c r="AB234" s="34"/>
      <c r="AC234" s="34" t="str">
        <f>Tabella4[[#This Row],[User Impact]]</f>
        <v>2 - Serious</v>
      </c>
      <c r="AD234" s="34" t="str">
        <f>Copertina!C$2&amp;" - "&amp;Tabella4[[#This Row],[UNI CEI EN 301549]]&amp;" "&amp;VLOOKUP(Tabella4[[#This Row],[Criterio]],Tabella5[[ID]:[Criterio di successo]],2,FALSE)&amp;" - "&amp;Tabella4[[#This Row],[Servizio]]&amp;":"</f>
        <v>Insurance Brocker - 9.2.5.8 Dimensione dell'obiettivo (minimo) - S006 L'azienda:</v>
      </c>
      <c r="AE23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(#TM0195)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href="#item-posteinsurancebrokerposteinsurancebroker-modulisegnalazioni-anomalie-accordion-faqquali-sono-le-tutele-per-il-segnalante-3" aria-expanded="false" aria-controls="item-posteinsurancebrokerposteinsurancebroker-modulisegnalazioni-anomalie-accordion-faqquali-sono-le-tutele-per-il-segnalante-3" aria-label="Quali sono le tutele per il segnalante?" title="Quali sono le tutele per il segnalante?"&gt; con selettore: 
["#heading-item-posteinsurancebrokerposteinsurancebroker-modulisegnalazioni-anomalie-accordion-faqquali-sono-le-tutele-per-il-segnalante-3-3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34" t="e">
        <f>_xlfn.XLOOKUP(Tabella4[[#This Row],[ID Silk]],outTable[ID Silk],outTable[Numero ticket  ],,0,1)</f>
        <v>#N/A</v>
      </c>
    </row>
    <row r="235" spans="1:32">
      <c r="A235" s="34" t="str">
        <f>MID(Tabella4[[#This Row],[Servizio]],1,4)&amp;Tabella4[[#This Row],[UNI CEI EN 301549]]</f>
        <v>S0069.2.5.8</v>
      </c>
      <c r="B235" s="34" t="str">
        <f>Tabella4[[#This Row],[ID Silk]]&amp;"_1"</f>
        <v>S0069.2.5.8_1</v>
      </c>
      <c r="C235" s="34" t="s">
        <v>976</v>
      </c>
      <c r="D235" s="2" t="str">
        <f>"(#"&amp;Tabella4[[#This Row],['#ID]]&amp;")"</f>
        <v>(#TM0196)</v>
      </c>
      <c r="E235" s="34" t="str">
        <f>IF(MID(Tabella4[[#This Row],['#ID]],1,1)="M","Mobile",IF(MID(Tabella4[[#This Row],['#ID]],1,1)="D","Desktop",IF(MID(Tabella4[[#This Row],['#ID]],1,2)="TM","Manuale","Documenti")))</f>
        <v>Manuale</v>
      </c>
      <c r="F235" s="34" t="s">
        <v>1006</v>
      </c>
      <c r="G235" s="34" t="s">
        <v>372</v>
      </c>
      <c r="H235" s="34" t="str">
        <f>IF(Tabella4[[#This Row],[Componente]]="Documenti","10.","9.")&amp;Tabella4[[#This Row],[Criterio]]</f>
        <v>9.2.5.8</v>
      </c>
      <c r="I235" s="34" t="s">
        <v>1023</v>
      </c>
      <c r="J235" s="34" t="s">
        <v>1032</v>
      </c>
      <c r="K235" s="34" t="s">
        <v>1033</v>
      </c>
      <c r="L235" s="34" t="s">
        <v>1034</v>
      </c>
      <c r="M235" s="34" t="s">
        <v>1035</v>
      </c>
      <c r="N235" t="s">
        <v>735</v>
      </c>
      <c r="O235" t="s">
        <v>736</v>
      </c>
      <c r="P235" t="s">
        <v>381</v>
      </c>
      <c r="R235" s="34" t="str">
        <f>IF(Tabella4[[#This Row],[Componente]]="Documenti",_xlfn.XLOOKUP(Tabella4[[#This Row],[URL]],Tabella27[URL],Tabella27[PDF ID],,0),_xlfn.XLOOKUP(Tabella4[[#This Row],[URL]],Tabella1[URL],Tabella1[Page ID],,0))</f>
        <v>#14</v>
      </c>
      <c r="S235" s="34" t="s">
        <v>1004</v>
      </c>
      <c r="T235" s="34" t="s">
        <v>518</v>
      </c>
      <c r="V235" t="s">
        <v>578</v>
      </c>
      <c r="W235" s="34" t="s">
        <v>1068</v>
      </c>
      <c r="X235"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id="heading-item-posteinsurancebrokerposteinsurancebroker-modulisegnalazioni-anomalie-accordion-faqidentita-del-segnalante-puo-essere-rivelata-senza-il-suo-consenso-4-4"&gt;</v>
      </c>
      <c r="Y235" s="34" t="str">
        <f>SUBSTITUTE(IF(Tabella4[[#This Row],[Tool]]="axe-core",MID(Tabella4[[#This Row],[Rejected Element]],3,LEN(Tabella4[[#This Row],[Rejected Element]])-4),Tabella4[[#This Row],[Rejected Element]]),"\","")</f>
        <v>#heading-item-posteinsurancebrokerposteinsurancebroker-modulisegnalazioni-anomalie-accordion-faqidentita-del-segnalante-puo-essere-rivelata-senza-il-suo-consenso-4-4</v>
      </c>
      <c r="Z235" s="34">
        <f>COUNTIFS(Tabella4[Detail univoco],Tabella4[[#This Row],[Detail univoco]],Tabella4[Rejected Element Univoco],Tabella4[[#This Row],[Rejected Element Univoco]],Tabella4[ItemsNodeLabel],Tabella4[[#This Row],[ItemsNodeLabel]])</f>
        <v>0</v>
      </c>
      <c r="AA235" s="34" t="str">
        <f>IF(Tabella4[[#This Row],[Componente]]="Documenti",VLOOKUP(Tabella4[[#This Row],[URL]],Tabella27[[URL]:[Servizio]],4,FALSE),VLOOKUP(Tabella4[[#This Row],[Page ID]],Tabella1[[Page ID]:[Servizio]],4,FALSE))</f>
        <v>S006 L'azienda</v>
      </c>
      <c r="AB235" s="34"/>
      <c r="AC235" s="34" t="str">
        <f>Tabella4[[#This Row],[User Impact]]</f>
        <v>2 - Serious</v>
      </c>
      <c r="AD235" s="34" t="str">
        <f>Copertina!C$2&amp;" - "&amp;Tabella4[[#This Row],[UNI CEI EN 301549]]&amp;" "&amp;VLOOKUP(Tabella4[[#This Row],[Criterio]],Tabella5[[ID]:[Criterio di successo]],2,FALSE)&amp;" - "&amp;Tabella4[[#This Row],[Servizio]]&amp;":"</f>
        <v>Insurance Brocker - 9.2.5.8 Dimensione dell'obiettivo (minimo) - S006 L'azienda:</v>
      </c>
      <c r="AE23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(#TM0196)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&lt;div class="panel-heading" role="tab" tabindex="0" id="heading-item-posteinsurancebrokerposteinsurancebroker-modulisegnalazioni-anomalie-accordion-faqidentita-del-segnalante-puo-essere-rivelata-senza-il-suo-consenso-4-4"&gt; con selettore: 
["#heading-item-posteinsurancebrokerposteinsurancebroker-modulisegnalazioni-anomalie-accordion-faqidentita-del-segnalante-puo-essere-rivelata-senza-il-suo-consenso-4-4"]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35" t="e">
        <f>_xlfn.XLOOKUP(Tabella4[[#This Row],[ID Silk]],outTable[ID Silk],outTable[Numero ticket  ],,0,1)</f>
        <v>#N/A</v>
      </c>
    </row>
    <row r="236" spans="1:32">
      <c r="A236" s="34" t="str">
        <f>MID(Tabella4[[#This Row],[Servizio]],1,4)&amp;Tabella4[[#This Row],[UNI CEI EN 301549]]</f>
        <v>S0069.2.5.8</v>
      </c>
      <c r="B236" s="34" t="str">
        <f>Tabella4[[#This Row],[ID Silk]]&amp;"_1"</f>
        <v>S0069.2.5.8_1</v>
      </c>
      <c r="C236" s="34" t="s">
        <v>977</v>
      </c>
      <c r="D236" s="2" t="str">
        <f>"(#"&amp;Tabella4[[#This Row],['#ID]]&amp;")"</f>
        <v>(#TM0197)</v>
      </c>
      <c r="E236" s="34" t="str">
        <f>IF(MID(Tabella4[[#This Row],['#ID]],1,1)="M","Mobile",IF(MID(Tabella4[[#This Row],['#ID]],1,1)="D","Desktop",IF(MID(Tabella4[[#This Row],['#ID]],1,2)="TM","Manuale","Documenti")))</f>
        <v>Manuale</v>
      </c>
      <c r="F236" s="34" t="s">
        <v>1006</v>
      </c>
      <c r="G236" s="34" t="s">
        <v>372</v>
      </c>
      <c r="H236" s="34" t="str">
        <f>IF(Tabella4[[#This Row],[Componente]]="Documenti","10.","9.")&amp;Tabella4[[#This Row],[Criterio]]</f>
        <v>9.2.5.8</v>
      </c>
      <c r="I236" s="34" t="s">
        <v>1023</v>
      </c>
      <c r="J236" s="34" t="s">
        <v>1032</v>
      </c>
      <c r="K236" s="34" t="s">
        <v>1033</v>
      </c>
      <c r="L236" s="34" t="s">
        <v>1034</v>
      </c>
      <c r="M236" s="34" t="s">
        <v>1035</v>
      </c>
      <c r="N236" t="s">
        <v>755</v>
      </c>
      <c r="O236" t="s">
        <v>756</v>
      </c>
      <c r="P236" t="s">
        <v>381</v>
      </c>
      <c r="R236" s="34" t="str">
        <f>IF(Tabella4[[#This Row],[Componente]]="Documenti",_xlfn.XLOOKUP(Tabella4[[#This Row],[URL]],Tabella27[URL],Tabella27[PDF ID],,0),_xlfn.XLOOKUP(Tabella4[[#This Row],[URL]],Tabella1[URL],Tabella1[Page ID],,0))</f>
        <v>#14</v>
      </c>
      <c r="S236" s="34" t="s">
        <v>1004</v>
      </c>
      <c r="T236" s="34" t="s">
        <v>518</v>
      </c>
      <c r="V236" t="s">
        <v>580</v>
      </c>
      <c r="W236" s="34" t="s">
        <v>1068</v>
      </c>
      <c r="X23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data-parent="#accordion-posteinsurancebrokerposteinsurancebroker-modulisegnalazioni-anomalie-accordion-faqfaq" href="#item-posteinsurancebrokerposteinsurancebroker-modulisegnalazioni-anomalie-accordion-faqidentita-del-segnalante-puo-essere-rivelata-senza-il-suo-consenso-4" aria-expanded="false" aria-controls="item-posteinsurancebrokerposteinsurancebroker-modulisegnalazioni-anomalie-accordion-faqidentita-del-segnalante-puo-essere-rivelata-senza-il-suo-consenso-4" aria-label="L’identità del segnalante può essere rivelata senza il suo consenso?" title="L’identità del segnalante può essere rivelata senza il suo consenso?"&gt;</v>
      </c>
      <c r="Y236" s="34" t="str">
        <f>SUBSTITUTE(IF(Tabella4[[#This Row],[Tool]]="axe-core",MID(Tabella4[[#This Row],[Rejected Element]],3,LEN(Tabella4[[#This Row],[Rejected Element]])-4),Tabella4[[#This Row],[Rejected Element]]),"\","")</f>
        <v>#heading-item-posteinsurancebrokerposteinsurancebroker-modulisegnalazioni-anomalie-accordion-faqidentita-del-segnalante-puo-essere-rivelata-senza-il-suo-consenso-4-4 &gt; .panel-title &gt; .accordion-toggle.collapsed[role="button"]</v>
      </c>
      <c r="Z236" s="34">
        <f>COUNTIFS(Tabella4[Detail univoco],Tabella4[[#This Row],[Detail univoco]],Tabella4[Rejected Element Univoco],Tabella4[[#This Row],[Rejected Element Univoco]],Tabella4[ItemsNodeLabel],Tabella4[[#This Row],[ItemsNodeLabel]])</f>
        <v>0</v>
      </c>
      <c r="AA236" s="34" t="str">
        <f>IF(Tabella4[[#This Row],[Componente]]="Documenti",VLOOKUP(Tabella4[[#This Row],[URL]],Tabella27[[URL]:[Servizio]],4,FALSE),VLOOKUP(Tabella4[[#This Row],[Page ID]],Tabella1[[Page ID]:[Servizio]],4,FALSE))</f>
        <v>S006 L'azienda</v>
      </c>
      <c r="AB236" s="34"/>
      <c r="AC236" s="34" t="str">
        <f>Tabella4[[#This Row],[User Impact]]</f>
        <v>2 - Serious</v>
      </c>
      <c r="AD236" s="34" t="str">
        <f>Copertina!C$2&amp;" - "&amp;Tabella4[[#This Row],[UNI CEI EN 301549]]&amp;" "&amp;VLOOKUP(Tabella4[[#This Row],[Criterio]],Tabella5[[ID]:[Criterio di successo]],2,FALSE)&amp;" - "&amp;Tabella4[[#This Row],[Servizio]]&amp;":"</f>
        <v>Insurance Brocker - 9.2.5.8 Dimensione dell'obiettivo (minimo) - S006 L'azienda:</v>
      </c>
      <c r="AE23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(#TM0197)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href="#item-posteinsurancebrokerposteinsurancebroker-modulisegnalazioni-anomalie-accordion-faqidentita-del-segnalante-puo-essere-rivelata-senza-il-suo-consenso-4" aria-expanded="false" aria-controls="item-posteinsurancebrokerposteinsurancebroker-modulisegnalazioni-anomalie-accordion-faqidentita-del-segnalante-puo-essere-rivelata-senza-il-suo-consenso-4" aria-label="L’identità del segnalante può essere rivelata senza il suo consenso?" title="L’identità del segnalante può essere rivelata senza il suo consenso?"&gt; con selettore: 
["#heading-item-posteinsurancebrokerposteinsurancebroker-modulisegnalazioni-anomalie-accordion-faqidentita-del-segnalante-puo-essere-rivelata-senza-il-suo-consenso-4-4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36" t="e">
        <f>_xlfn.XLOOKUP(Tabella4[[#This Row],[ID Silk]],outTable[ID Silk],outTable[Numero ticket  ],,0,1)</f>
        <v>#N/A</v>
      </c>
    </row>
    <row r="237" spans="1:32">
      <c r="A237" s="34" t="str">
        <f>MID(Tabella4[[#This Row],[Servizio]],1,4)&amp;Tabella4[[#This Row],[UNI CEI EN 301549]]</f>
        <v>S0069.2.5.8</v>
      </c>
      <c r="B237" s="34" t="str">
        <f>Tabella4[[#This Row],[ID Silk]]&amp;"_1"</f>
        <v>S0069.2.5.8_1</v>
      </c>
      <c r="C237" s="34" t="s">
        <v>978</v>
      </c>
      <c r="D237" s="2" t="str">
        <f>"(#"&amp;Tabella4[[#This Row],['#ID]]&amp;")"</f>
        <v>(#TM0198)</v>
      </c>
      <c r="E237" s="34" t="str">
        <f>IF(MID(Tabella4[[#This Row],['#ID]],1,1)="M","Mobile",IF(MID(Tabella4[[#This Row],['#ID]],1,1)="D","Desktop",IF(MID(Tabella4[[#This Row],['#ID]],1,2)="TM","Manuale","Documenti")))</f>
        <v>Manuale</v>
      </c>
      <c r="F237" s="34" t="s">
        <v>1006</v>
      </c>
      <c r="G237" s="34" t="s">
        <v>372</v>
      </c>
      <c r="H237" s="34" t="str">
        <f>IF(Tabella4[[#This Row],[Componente]]="Documenti","10.","9.")&amp;Tabella4[[#This Row],[Criterio]]</f>
        <v>9.2.5.8</v>
      </c>
      <c r="I237" s="34" t="s">
        <v>1023</v>
      </c>
      <c r="J237" s="34" t="s">
        <v>1032</v>
      </c>
      <c r="K237" s="34" t="s">
        <v>1033</v>
      </c>
      <c r="L237" s="34" t="s">
        <v>1034</v>
      </c>
      <c r="M237" s="34" t="s">
        <v>1035</v>
      </c>
      <c r="N237" t="s">
        <v>737</v>
      </c>
      <c r="O237" t="s">
        <v>738</v>
      </c>
      <c r="P237" t="s">
        <v>381</v>
      </c>
      <c r="R237" s="34" t="str">
        <f>IF(Tabella4[[#This Row],[Componente]]="Documenti",_xlfn.XLOOKUP(Tabella4[[#This Row],[URL]],Tabella27[URL],Tabella27[PDF ID],,0),_xlfn.XLOOKUP(Tabella4[[#This Row],[URL]],Tabella1[URL],Tabella1[Page ID],,0))</f>
        <v>#14</v>
      </c>
      <c r="S237" s="34" t="s">
        <v>1004</v>
      </c>
      <c r="T237" s="34" t="s">
        <v>518</v>
      </c>
      <c r="V237" t="s">
        <v>578</v>
      </c>
      <c r="W237" s="34" t="s">
        <v>1068</v>
      </c>
      <c r="X237"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id="heading-item-posteinsurancebrokerposteinsurancebroker-modulisegnalazioni-anomalie-accordion-faqchi-esamina-le-segnalazioni-e-ne-cura-gli-approfondimenti-5-5"&gt;</v>
      </c>
      <c r="Y237" s="34" t="str">
        <f>SUBSTITUTE(IF(Tabella4[[#This Row],[Tool]]="axe-core",MID(Tabella4[[#This Row],[Rejected Element]],3,LEN(Tabella4[[#This Row],[Rejected Element]])-4),Tabella4[[#This Row],[Rejected Element]]),"\","")</f>
        <v>#heading-item-posteinsurancebrokerposteinsurancebroker-modulisegnalazioni-anomalie-accordion-faqchi-esamina-le-segnalazioni-e-ne-cura-gli-approfondimenti-5-5</v>
      </c>
      <c r="Z237" s="34">
        <f>COUNTIFS(Tabella4[Detail univoco],Tabella4[[#This Row],[Detail univoco]],Tabella4[Rejected Element Univoco],Tabella4[[#This Row],[Rejected Element Univoco]],Tabella4[ItemsNodeLabel],Tabella4[[#This Row],[ItemsNodeLabel]])</f>
        <v>0</v>
      </c>
      <c r="AA237" s="34" t="str">
        <f>IF(Tabella4[[#This Row],[Componente]]="Documenti",VLOOKUP(Tabella4[[#This Row],[URL]],Tabella27[[URL]:[Servizio]],4,FALSE),VLOOKUP(Tabella4[[#This Row],[Page ID]],Tabella1[[Page ID]:[Servizio]],4,FALSE))</f>
        <v>S006 L'azienda</v>
      </c>
      <c r="AB237" s="34"/>
      <c r="AC237" s="34" t="str">
        <f>Tabella4[[#This Row],[User Impact]]</f>
        <v>2 - Serious</v>
      </c>
      <c r="AD237" s="34" t="str">
        <f>Copertina!C$2&amp;" - "&amp;Tabella4[[#This Row],[UNI CEI EN 301549]]&amp;" "&amp;VLOOKUP(Tabella4[[#This Row],[Criterio]],Tabella5[[ID]:[Criterio di successo]],2,FALSE)&amp;" - "&amp;Tabella4[[#This Row],[Servizio]]&amp;":"</f>
        <v>Insurance Brocker - 9.2.5.8 Dimensione dell'obiettivo (minimo) - S006 L'azienda:</v>
      </c>
      <c r="AE23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(#TM0198)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&lt;div class="panel-heading" role="tab" tabindex="0" id="heading-item-posteinsurancebrokerposteinsurancebroker-modulisegnalazioni-anomalie-accordion-faqchi-esamina-le-segnalazioni-e-ne-cura-gli-approfondimenti-5-5"&gt; con selettore: 
["#heading-item-posteinsurancebrokerposteinsurancebroker-modulisegnalazioni-anomalie-accordion-faqchi-esamina-le-segnalazioni-e-ne-cura-gli-approfondimenti-5-5"]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37" t="e">
        <f>_xlfn.XLOOKUP(Tabella4[[#This Row],[ID Silk]],outTable[ID Silk],outTable[Numero ticket  ],,0,1)</f>
        <v>#N/A</v>
      </c>
    </row>
    <row r="238" spans="1:32">
      <c r="A238" s="34" t="str">
        <f>MID(Tabella4[[#This Row],[Servizio]],1,4)&amp;Tabella4[[#This Row],[UNI CEI EN 301549]]</f>
        <v>S0069.2.5.8</v>
      </c>
      <c r="B238" s="34" t="str">
        <f>Tabella4[[#This Row],[ID Silk]]&amp;"_1"</f>
        <v>S0069.2.5.8_1</v>
      </c>
      <c r="C238" s="34" t="s">
        <v>979</v>
      </c>
      <c r="D238" s="2" t="str">
        <f>"(#"&amp;Tabella4[[#This Row],['#ID]]&amp;")"</f>
        <v>(#TM0199)</v>
      </c>
      <c r="E238" s="34" t="str">
        <f>IF(MID(Tabella4[[#This Row],['#ID]],1,1)="M","Mobile",IF(MID(Tabella4[[#This Row],['#ID]],1,1)="D","Desktop",IF(MID(Tabella4[[#This Row],['#ID]],1,2)="TM","Manuale","Documenti")))</f>
        <v>Manuale</v>
      </c>
      <c r="F238" s="34" t="s">
        <v>1006</v>
      </c>
      <c r="G238" s="34" t="s">
        <v>372</v>
      </c>
      <c r="H238" s="34" t="str">
        <f>IF(Tabella4[[#This Row],[Componente]]="Documenti","10.","9.")&amp;Tabella4[[#This Row],[Criterio]]</f>
        <v>9.2.5.8</v>
      </c>
      <c r="I238" s="34" t="s">
        <v>1023</v>
      </c>
      <c r="J238" s="34" t="s">
        <v>1032</v>
      </c>
      <c r="K238" s="34" t="s">
        <v>1033</v>
      </c>
      <c r="L238" s="34" t="s">
        <v>1034</v>
      </c>
      <c r="M238" s="34" t="s">
        <v>1035</v>
      </c>
      <c r="N238" t="s">
        <v>757</v>
      </c>
      <c r="O238" t="s">
        <v>758</v>
      </c>
      <c r="P238" t="s">
        <v>381</v>
      </c>
      <c r="R238" s="34" t="str">
        <f>IF(Tabella4[[#This Row],[Componente]]="Documenti",_xlfn.XLOOKUP(Tabella4[[#This Row],[URL]],Tabella27[URL],Tabella27[PDF ID],,0),_xlfn.XLOOKUP(Tabella4[[#This Row],[URL]],Tabella1[URL],Tabella1[Page ID],,0))</f>
        <v>#14</v>
      </c>
      <c r="S238" s="34" t="s">
        <v>1004</v>
      </c>
      <c r="T238" s="34" t="s">
        <v>518</v>
      </c>
      <c r="V238" t="s">
        <v>580</v>
      </c>
      <c r="W238" s="34" t="s">
        <v>1068</v>
      </c>
      <c r="X23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data-parent="#accordion-posteinsurancebrokerposteinsurancebroker-modulisegnalazioni-anomalie-accordion-faqfaq" href="#item-posteinsurancebrokerposteinsurancebroker-modulisegnalazioni-anomalie-accordion-faqchi-esamina-le-segnalazioni-e-ne-cura-gli-approfondimenti-5" aria-expanded="false" aria-controls="item-posteinsurancebrokerposteinsurancebroker-modulisegnalazioni-anomalie-accordion-faqchi-esamina-le-segnalazioni-e-ne-cura-gli-approfondimenti-5" aria-label="Chi esamina le segnalazioni e ne cura gli approfondimenti?" title="Chi esamina le segnalazioni e ne cura gli approfondimenti?"&gt;</v>
      </c>
      <c r="Y238" s="34" t="str">
        <f>SUBSTITUTE(IF(Tabella4[[#This Row],[Tool]]="axe-core",MID(Tabella4[[#This Row],[Rejected Element]],3,LEN(Tabella4[[#This Row],[Rejected Element]])-4),Tabella4[[#This Row],[Rejected Element]]),"\","")</f>
        <v>#heading-item-posteinsurancebrokerposteinsurancebroker-modulisegnalazioni-anomalie-accordion-faqchi-esamina-le-segnalazioni-e-ne-cura-gli-approfondimenti-5-5 &gt; .panel-title &gt; .accordion-toggle.collapsed[role="button"]</v>
      </c>
      <c r="Z238" s="34">
        <f>COUNTIFS(Tabella4[Detail univoco],Tabella4[[#This Row],[Detail univoco]],Tabella4[Rejected Element Univoco],Tabella4[[#This Row],[Rejected Element Univoco]],Tabella4[ItemsNodeLabel],Tabella4[[#This Row],[ItemsNodeLabel]])</f>
        <v>0</v>
      </c>
      <c r="AA238" s="34" t="str">
        <f>IF(Tabella4[[#This Row],[Componente]]="Documenti",VLOOKUP(Tabella4[[#This Row],[URL]],Tabella27[[URL]:[Servizio]],4,FALSE),VLOOKUP(Tabella4[[#This Row],[Page ID]],Tabella1[[Page ID]:[Servizio]],4,FALSE))</f>
        <v>S006 L'azienda</v>
      </c>
      <c r="AB238" s="34"/>
      <c r="AC238" s="34" t="str">
        <f>Tabella4[[#This Row],[User Impact]]</f>
        <v>2 - Serious</v>
      </c>
      <c r="AD238" s="34" t="str">
        <f>Copertina!C$2&amp;" - "&amp;Tabella4[[#This Row],[UNI CEI EN 301549]]&amp;" "&amp;VLOOKUP(Tabella4[[#This Row],[Criterio]],Tabella5[[ID]:[Criterio di successo]],2,FALSE)&amp;" - "&amp;Tabella4[[#This Row],[Servizio]]&amp;":"</f>
        <v>Insurance Brocker - 9.2.5.8 Dimensione dell'obiettivo (minimo) - S006 L'azienda:</v>
      </c>
      <c r="AE23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(#TM0199)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href="#item-posteinsurancebrokerposteinsurancebroker-modulisegnalazioni-anomalie-accordion-faqchi-esamina-le-segnalazioni-e-ne-cura-gli-approfondimenti-5" aria-expanded="false" aria-controls="item-posteinsurancebrokerposteinsurancebroker-modulisegnalazioni-anomalie-accordion-faqchi-esamina-le-segnalazioni-e-ne-cura-gli-approfondimenti-5" aria-label="Chi esamina le segnalazioni e ne cura gli approfondimenti?" title="Chi esamina le segnalazioni e ne cura gli approfondimenti?"&gt; con selettore: 
["#heading-item-posteinsurancebrokerposteinsurancebroker-modulisegnalazioni-anomalie-accordion-faqchi-esamina-le-segnalazioni-e-ne-cura-gli-approfondimenti-5-5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38" t="e">
        <f>_xlfn.XLOOKUP(Tabella4[[#This Row],[ID Silk]],outTable[ID Silk],outTable[Numero ticket  ],,0,1)</f>
        <v>#N/A</v>
      </c>
    </row>
    <row r="239" spans="1:32">
      <c r="A239" s="34" t="str">
        <f>MID(Tabella4[[#This Row],[Servizio]],1,4)&amp;Tabella4[[#This Row],[UNI CEI EN 301549]]</f>
        <v>S0069.2.5.8</v>
      </c>
      <c r="B239" s="34" t="str">
        <f>Tabella4[[#This Row],[ID Silk]]&amp;"_1"</f>
        <v>S0069.2.5.8_1</v>
      </c>
      <c r="C239" s="34" t="s">
        <v>980</v>
      </c>
      <c r="D239" s="2" t="str">
        <f>"(#"&amp;Tabella4[[#This Row],['#ID]]&amp;")"</f>
        <v>(#TM0200)</v>
      </c>
      <c r="E239" s="34" t="str">
        <f>IF(MID(Tabella4[[#This Row],['#ID]],1,1)="M","Mobile",IF(MID(Tabella4[[#This Row],['#ID]],1,1)="D","Desktop",IF(MID(Tabella4[[#This Row],['#ID]],1,2)="TM","Manuale","Documenti")))</f>
        <v>Manuale</v>
      </c>
      <c r="F239" s="34" t="s">
        <v>1006</v>
      </c>
      <c r="G239" s="34" t="s">
        <v>372</v>
      </c>
      <c r="H239" s="34" t="str">
        <f>IF(Tabella4[[#This Row],[Componente]]="Documenti","10.","9.")&amp;Tabella4[[#This Row],[Criterio]]</f>
        <v>9.2.5.8</v>
      </c>
      <c r="I239" s="34" t="s">
        <v>1023</v>
      </c>
      <c r="J239" s="34" t="s">
        <v>1032</v>
      </c>
      <c r="K239" s="34" t="s">
        <v>1033</v>
      </c>
      <c r="L239" s="34" t="s">
        <v>1034</v>
      </c>
      <c r="M239" s="34" t="s">
        <v>1035</v>
      </c>
      <c r="N239" t="s">
        <v>739</v>
      </c>
      <c r="O239" t="s">
        <v>740</v>
      </c>
      <c r="P239" t="s">
        <v>381</v>
      </c>
      <c r="R239" s="34" t="str">
        <f>IF(Tabella4[[#This Row],[Componente]]="Documenti",_xlfn.XLOOKUP(Tabella4[[#This Row],[URL]],Tabella27[URL],Tabella27[PDF ID],,0),_xlfn.XLOOKUP(Tabella4[[#This Row],[URL]],Tabella1[URL],Tabella1[Page ID],,0))</f>
        <v>#14</v>
      </c>
      <c r="S239" s="34" t="s">
        <v>1004</v>
      </c>
      <c r="T239" s="34" t="s">
        <v>518</v>
      </c>
      <c r="V239" t="s">
        <v>578</v>
      </c>
      <c r="W239" s="34" t="s">
        <v>1068</v>
      </c>
      <c r="X239"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id="heading-item-posteinsurancebrokerposteinsurancebroker-modulisegnalazioni-anomalie-accordion-faqcome-e-composto-il-comitato-whistleblowing-di-una-societa-poste-italiane-6-6"&gt;</v>
      </c>
      <c r="Y239" s="34" t="str">
        <f>SUBSTITUTE(IF(Tabella4[[#This Row],[Tool]]="axe-core",MID(Tabella4[[#This Row],[Rejected Element]],3,LEN(Tabella4[[#This Row],[Rejected Element]])-4),Tabella4[[#This Row],[Rejected Element]]),"\","")</f>
        <v>#heading-item-posteinsurancebrokerposteinsurancebroker-modulisegnalazioni-anomalie-accordion-faqcome-e-composto-il-comitato-whistleblowing-di-una-societa-poste-italiane-6-6</v>
      </c>
      <c r="Z239" s="34">
        <f>COUNTIFS(Tabella4[Detail univoco],Tabella4[[#This Row],[Detail univoco]],Tabella4[Rejected Element Univoco],Tabella4[[#This Row],[Rejected Element Univoco]],Tabella4[ItemsNodeLabel],Tabella4[[#This Row],[ItemsNodeLabel]])</f>
        <v>0</v>
      </c>
      <c r="AA239" s="34" t="str">
        <f>IF(Tabella4[[#This Row],[Componente]]="Documenti",VLOOKUP(Tabella4[[#This Row],[URL]],Tabella27[[URL]:[Servizio]],4,FALSE),VLOOKUP(Tabella4[[#This Row],[Page ID]],Tabella1[[Page ID]:[Servizio]],4,FALSE))</f>
        <v>S006 L'azienda</v>
      </c>
      <c r="AB239" s="34"/>
      <c r="AC239" s="34" t="str">
        <f>Tabella4[[#This Row],[User Impact]]</f>
        <v>2 - Serious</v>
      </c>
      <c r="AD239" s="34" t="str">
        <f>Copertina!C$2&amp;" - "&amp;Tabella4[[#This Row],[UNI CEI EN 301549]]&amp;" "&amp;VLOOKUP(Tabella4[[#This Row],[Criterio]],Tabella5[[ID]:[Criterio di successo]],2,FALSE)&amp;" - "&amp;Tabella4[[#This Row],[Servizio]]&amp;":"</f>
        <v>Insurance Brocker - 9.2.5.8 Dimensione dell'obiettivo (minimo) - S006 L'azienda:</v>
      </c>
      <c r="AE23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(#TM0200)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&lt;div class="panel-heading" role="tab" tabindex="0" id="heading-item-posteinsurancebrokerposteinsurancebroker-modulisegnalazioni-anomalie-accordion-faqcome-e-composto-il-comitato-whistleblowing-di-una-societa-poste-italiane-6-6"&gt; con selettore: 
["#heading-item-posteinsurancebrokerposteinsurancebroker-modulisegnalazioni-anomalie-accordion-faqcome-e-composto-il-comitato-whistleblowing-di-una-societa-poste-italiane-6-6"]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39" t="e">
        <f>_xlfn.XLOOKUP(Tabella4[[#This Row],[ID Silk]],outTable[ID Silk],outTable[Numero ticket  ],,0,1)</f>
        <v>#N/A</v>
      </c>
    </row>
    <row r="240" spans="1:32">
      <c r="A240" s="34" t="str">
        <f>MID(Tabella4[[#This Row],[Servizio]],1,4)&amp;Tabella4[[#This Row],[UNI CEI EN 301549]]</f>
        <v>S0069.2.5.8</v>
      </c>
      <c r="B240" s="34" t="str">
        <f>Tabella4[[#This Row],[ID Silk]]&amp;"_1"</f>
        <v>S0069.2.5.8_1</v>
      </c>
      <c r="C240" s="34" t="s">
        <v>981</v>
      </c>
      <c r="D240" s="2" t="str">
        <f>"(#"&amp;Tabella4[[#This Row],['#ID]]&amp;")"</f>
        <v>(#TM0201)</v>
      </c>
      <c r="E240" s="34" t="str">
        <f>IF(MID(Tabella4[[#This Row],['#ID]],1,1)="M","Mobile",IF(MID(Tabella4[[#This Row],['#ID]],1,1)="D","Desktop",IF(MID(Tabella4[[#This Row],['#ID]],1,2)="TM","Manuale","Documenti")))</f>
        <v>Manuale</v>
      </c>
      <c r="F240" s="34" t="s">
        <v>1006</v>
      </c>
      <c r="G240" s="34" t="s">
        <v>372</v>
      </c>
      <c r="H240" s="34" t="str">
        <f>IF(Tabella4[[#This Row],[Componente]]="Documenti","10.","9.")&amp;Tabella4[[#This Row],[Criterio]]</f>
        <v>9.2.5.8</v>
      </c>
      <c r="I240" s="34" t="s">
        <v>1023</v>
      </c>
      <c r="J240" s="34" t="s">
        <v>1032</v>
      </c>
      <c r="K240" s="34" t="s">
        <v>1033</v>
      </c>
      <c r="L240" s="34" t="s">
        <v>1034</v>
      </c>
      <c r="M240" s="34" t="s">
        <v>1035</v>
      </c>
      <c r="N240" t="s">
        <v>759</v>
      </c>
      <c r="O240" t="s">
        <v>760</v>
      </c>
      <c r="P240" t="s">
        <v>381</v>
      </c>
      <c r="R240" s="34" t="str">
        <f>IF(Tabella4[[#This Row],[Componente]]="Documenti",_xlfn.XLOOKUP(Tabella4[[#This Row],[URL]],Tabella27[URL],Tabella27[PDF ID],,0),_xlfn.XLOOKUP(Tabella4[[#This Row],[URL]],Tabella1[URL],Tabella1[Page ID],,0))</f>
        <v>#14</v>
      </c>
      <c r="S240" s="34" t="s">
        <v>1004</v>
      </c>
      <c r="T240" s="34" t="s">
        <v>518</v>
      </c>
      <c r="V240" t="s">
        <v>580</v>
      </c>
      <c r="W240" s="34" t="s">
        <v>1068</v>
      </c>
      <c r="X24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data-parent="#accordion-posteinsurancebrokerposteinsurancebroker-modulisegnalazioni-anomalie-accordion-faqfaq" href="#item-posteinsurancebrokerposteinsurancebroker-modulisegnalazioni-anomalie-accordion-faqcome-e-composto-il-comitato-whistleblowing-di-una-societa-poste-italiane-6" aria-expanded="false" aria-controls="item-posteinsurancebrokerposteinsurancebroker-modulisegnalazioni-anomalie-accordion-faqcome-e-composto-il-comitato-whistleblowing-di-una-societa-poste-italiane-6" aria-label="Come è composto il comitato whistleblowing di una società del gruppo poste italiane?" title="Come è composto il comitato whistleblowing di una società del gruppo poste italiane?"&gt;</v>
      </c>
      <c r="Y240" s="34" t="str">
        <f>SUBSTITUTE(IF(Tabella4[[#This Row],[Tool]]="axe-core",MID(Tabella4[[#This Row],[Rejected Element]],3,LEN(Tabella4[[#This Row],[Rejected Element]])-4),Tabella4[[#This Row],[Rejected Element]]),"\","")</f>
        <v>#heading-item-posteinsurancebrokerposteinsurancebroker-modulisegnalazioni-anomalie-accordion-faqcome-e-composto-il-comitato-whistleblowing-di-una-societa-poste-italiane-6-6 &gt; .panel-title &gt; .accordion-toggle.collapsed[role="button"]</v>
      </c>
      <c r="Z240" s="34">
        <f>COUNTIFS(Tabella4[Detail univoco],Tabella4[[#This Row],[Detail univoco]],Tabella4[Rejected Element Univoco],Tabella4[[#This Row],[Rejected Element Univoco]],Tabella4[ItemsNodeLabel],Tabella4[[#This Row],[ItemsNodeLabel]])</f>
        <v>0</v>
      </c>
      <c r="AA240" s="34" t="str">
        <f>IF(Tabella4[[#This Row],[Componente]]="Documenti",VLOOKUP(Tabella4[[#This Row],[URL]],Tabella27[[URL]:[Servizio]],4,FALSE),VLOOKUP(Tabella4[[#This Row],[Page ID]],Tabella1[[Page ID]:[Servizio]],4,FALSE))</f>
        <v>S006 L'azienda</v>
      </c>
      <c r="AB240" s="34"/>
      <c r="AC240" s="34" t="str">
        <f>Tabella4[[#This Row],[User Impact]]</f>
        <v>2 - Serious</v>
      </c>
      <c r="AD240" s="34" t="str">
        <f>Copertina!C$2&amp;" - "&amp;Tabella4[[#This Row],[UNI CEI EN 301549]]&amp;" "&amp;VLOOKUP(Tabella4[[#This Row],[Criterio]],Tabella5[[ID]:[Criterio di successo]],2,FALSE)&amp;" - "&amp;Tabella4[[#This Row],[Servizio]]&amp;":"</f>
        <v>Insurance Brocker - 9.2.5.8 Dimensione dell'obiettivo (minimo) - S006 L'azienda:</v>
      </c>
      <c r="AE24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(#TM0201)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href="#item-posteinsurancebrokerposteinsurancebroker-modulisegnalazioni-anomalie-accordion-faqcome-e-composto-il-comitato-whistleblowing-di-una-societa-poste-italiane-6" aria-expanded="false" aria-controls="item-posteinsurancebrokerposteinsurancebroker-modulisegnalazioni-anomalie-accordion-faqcome-e-composto-il-comitato-whistleblowing-di-una-societa-poste-italiane-6" aria-label="Come è composto il comitato whistleblowing di una società del gruppo poste italiane?" title="Come è composto il comitato whistleblowing di una società del gruppo poste italiane?"&gt; con selettore: 
["#heading-item-posteinsurancebrokerposteinsurancebroker-modulisegnalazioni-anomalie-accordion-faqcome-e-composto-il-comitato-whistleblowing-di-una-societa-poste-italiane-6-6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40" t="e">
        <f>_xlfn.XLOOKUP(Tabella4[[#This Row],[ID Silk]],outTable[ID Silk],outTable[Numero ticket  ],,0,1)</f>
        <v>#N/A</v>
      </c>
    </row>
    <row r="241" spans="1:32">
      <c r="A241" s="34" t="str">
        <f>MID(Tabella4[[#This Row],[Servizio]],1,4)&amp;Tabella4[[#This Row],[UNI CEI EN 301549]]</f>
        <v>S0069.2.5.8</v>
      </c>
      <c r="B241" s="34" t="str">
        <f>Tabella4[[#This Row],[ID Silk]]&amp;"_1"</f>
        <v>S0069.2.5.8_1</v>
      </c>
      <c r="C241" s="34" t="s">
        <v>982</v>
      </c>
      <c r="D241" s="2" t="str">
        <f>"(#"&amp;Tabella4[[#This Row],['#ID]]&amp;")"</f>
        <v>(#TM0202)</v>
      </c>
      <c r="E241" s="34" t="str">
        <f>IF(MID(Tabella4[[#This Row],['#ID]],1,1)="M","Mobile",IF(MID(Tabella4[[#This Row],['#ID]],1,1)="D","Desktop",IF(MID(Tabella4[[#This Row],['#ID]],1,2)="TM","Manuale","Documenti")))</f>
        <v>Manuale</v>
      </c>
      <c r="F241" s="34" t="s">
        <v>1006</v>
      </c>
      <c r="G241" s="34" t="s">
        <v>372</v>
      </c>
      <c r="H241" s="34" t="str">
        <f>IF(Tabella4[[#This Row],[Componente]]="Documenti","10.","9.")&amp;Tabella4[[#This Row],[Criterio]]</f>
        <v>9.2.5.8</v>
      </c>
      <c r="I241" s="34" t="s">
        <v>1023</v>
      </c>
      <c r="J241" s="34" t="s">
        <v>1032</v>
      </c>
      <c r="K241" s="34" t="s">
        <v>1033</v>
      </c>
      <c r="L241" s="34" t="s">
        <v>1034</v>
      </c>
      <c r="M241" s="34" t="s">
        <v>1035</v>
      </c>
      <c r="N241" t="s">
        <v>741</v>
      </c>
      <c r="O241" t="s">
        <v>742</v>
      </c>
      <c r="P241" t="s">
        <v>381</v>
      </c>
      <c r="R241" s="34" t="str">
        <f>IF(Tabella4[[#This Row],[Componente]]="Documenti",_xlfn.XLOOKUP(Tabella4[[#This Row],[URL]],Tabella27[URL],Tabella27[PDF ID],,0),_xlfn.XLOOKUP(Tabella4[[#This Row],[URL]],Tabella1[URL],Tabella1[Page ID],,0))</f>
        <v>#14</v>
      </c>
      <c r="S241" s="34" t="s">
        <v>1004</v>
      </c>
      <c r="T241" s="34" t="s">
        <v>518</v>
      </c>
      <c r="V241" t="s">
        <v>578</v>
      </c>
      <c r="W241" s="34" t="s">
        <v>1068</v>
      </c>
      <c r="X241"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id="heading-item-posteinsurancebrokerposteinsurancebroker-modulisegnalazioni-anomalie-accordion-faqcome-composta-la-segreteria-del-comitato-whistleblowing-di-una-societa-poste-italiane-7-7"&gt;</v>
      </c>
      <c r="Y241" s="34" t="str">
        <f>SUBSTITUTE(IF(Tabella4[[#This Row],[Tool]]="axe-core",MID(Tabella4[[#This Row],[Rejected Element]],3,LEN(Tabella4[[#This Row],[Rejected Element]])-4),Tabella4[[#This Row],[Rejected Element]]),"\","")</f>
        <v>#heading-item-posteinsurancebrokerposteinsurancebroker-modulisegnalazioni-anomalie-accordion-faqcome-composta-la-segreteria-del-comitato-whistleblowing-di-una-societa-poste-italiane-7-7</v>
      </c>
      <c r="Z241" s="34">
        <f>COUNTIFS(Tabella4[Detail univoco],Tabella4[[#This Row],[Detail univoco]],Tabella4[Rejected Element Univoco],Tabella4[[#This Row],[Rejected Element Univoco]],Tabella4[ItemsNodeLabel],Tabella4[[#This Row],[ItemsNodeLabel]])</f>
        <v>0</v>
      </c>
      <c r="AA241" s="34" t="str">
        <f>IF(Tabella4[[#This Row],[Componente]]="Documenti",VLOOKUP(Tabella4[[#This Row],[URL]],Tabella27[[URL]:[Servizio]],4,FALSE),VLOOKUP(Tabella4[[#This Row],[Page ID]],Tabella1[[Page ID]:[Servizio]],4,FALSE))</f>
        <v>S006 L'azienda</v>
      </c>
      <c r="AB241" s="34"/>
      <c r="AC241" s="34" t="str">
        <f>Tabella4[[#This Row],[User Impact]]</f>
        <v>2 - Serious</v>
      </c>
      <c r="AD241" s="34" t="str">
        <f>Copertina!C$2&amp;" - "&amp;Tabella4[[#This Row],[UNI CEI EN 301549]]&amp;" "&amp;VLOOKUP(Tabella4[[#This Row],[Criterio]],Tabella5[[ID]:[Criterio di successo]],2,FALSE)&amp;" - "&amp;Tabella4[[#This Row],[Servizio]]&amp;":"</f>
        <v>Insurance Brocker - 9.2.5.8 Dimensione dell'obiettivo (minimo) - S006 L'azienda:</v>
      </c>
      <c r="AE24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(#TM0202)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&lt;div class="panel-heading" role="tab" tabindex="0" id="heading-item-posteinsurancebrokerposteinsurancebroker-modulisegnalazioni-anomalie-accordion-faqcome-composta-la-segreteria-del-comitato-whistleblowing-di-una-societa-poste-italiane-7-7"&gt; con selettore: 
["#heading-item-posteinsurancebrokerposteinsurancebroker-modulisegnalazioni-anomalie-accordion-faqcome-composta-la-segreteria-del-comitato-whistleblowing-di-una-societa-poste-italiane-7-7"]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41" t="e">
        <f>_xlfn.XLOOKUP(Tabella4[[#This Row],[ID Silk]],outTable[ID Silk],outTable[Numero ticket  ],,0,1)</f>
        <v>#N/A</v>
      </c>
    </row>
    <row r="242" spans="1:32">
      <c r="A242" s="34" t="str">
        <f>MID(Tabella4[[#This Row],[Servizio]],1,4)&amp;Tabella4[[#This Row],[UNI CEI EN 301549]]</f>
        <v>S0069.2.5.8</v>
      </c>
      <c r="B242" s="34" t="str">
        <f>Tabella4[[#This Row],[ID Silk]]&amp;"_1"</f>
        <v>S0069.2.5.8_1</v>
      </c>
      <c r="C242" s="34" t="s">
        <v>983</v>
      </c>
      <c r="D242" s="2" t="str">
        <f>"(#"&amp;Tabella4[[#This Row],['#ID]]&amp;")"</f>
        <v>(#TM0203)</v>
      </c>
      <c r="E242" s="34" t="str">
        <f>IF(MID(Tabella4[[#This Row],['#ID]],1,1)="M","Mobile",IF(MID(Tabella4[[#This Row],['#ID]],1,1)="D","Desktop",IF(MID(Tabella4[[#This Row],['#ID]],1,2)="TM","Manuale","Documenti")))</f>
        <v>Manuale</v>
      </c>
      <c r="F242" s="34" t="s">
        <v>1006</v>
      </c>
      <c r="G242" s="34" t="s">
        <v>372</v>
      </c>
      <c r="H242" s="34" t="str">
        <f>IF(Tabella4[[#This Row],[Componente]]="Documenti","10.","9.")&amp;Tabella4[[#This Row],[Criterio]]</f>
        <v>9.2.5.8</v>
      </c>
      <c r="I242" s="34" t="s">
        <v>1023</v>
      </c>
      <c r="J242" s="34" t="s">
        <v>1032</v>
      </c>
      <c r="K242" s="34" t="s">
        <v>1033</v>
      </c>
      <c r="L242" s="34" t="s">
        <v>1034</v>
      </c>
      <c r="M242" s="34" t="s">
        <v>1035</v>
      </c>
      <c r="N242" t="s">
        <v>761</v>
      </c>
      <c r="O242" t="s">
        <v>762</v>
      </c>
      <c r="P242" t="s">
        <v>381</v>
      </c>
      <c r="R242" s="34" t="str">
        <f>IF(Tabella4[[#This Row],[Componente]]="Documenti",_xlfn.XLOOKUP(Tabella4[[#This Row],[URL]],Tabella27[URL],Tabella27[PDF ID],,0),_xlfn.XLOOKUP(Tabella4[[#This Row],[URL]],Tabella1[URL],Tabella1[Page ID],,0))</f>
        <v>#14</v>
      </c>
      <c r="S242" s="34" t="s">
        <v>1004</v>
      </c>
      <c r="T242" s="34" t="s">
        <v>518</v>
      </c>
      <c r="V242" t="s">
        <v>580</v>
      </c>
      <c r="W242" s="34" t="s">
        <v>1068</v>
      </c>
      <c r="X24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data-parent="#accordion-posteinsurancebrokerposteinsurancebroker-modulisegnalazioni-anomalie-accordion-faqfaq" href="#item-posteinsurancebrokerposteinsurancebroker-modulisegnalazioni-anomalie-accordion-faqcome-composta-la-segreteria-del-comitato-whistleblowing-di-una-societa-poste-italiane-7" aria-expanded="false" aria-controls="item-posteinsurancebrokerposteinsurancebroker-modulisegnalazioni-anomalie-accordion-faqcome-composta-la-segreteria-del-comitato-whistleblowing-di-una-societa-poste-italiane-7" aria-label="Come è composta la segreteria del comitato whistleblowing di una società del gruppo poste italiane?" title="Come è composta la segreteria del comitato whistleblowing di una società del gruppo poste italiane?"&gt;</v>
      </c>
      <c r="Y242" s="34" t="str">
        <f>SUBSTITUTE(IF(Tabella4[[#This Row],[Tool]]="axe-core",MID(Tabella4[[#This Row],[Rejected Element]],3,LEN(Tabella4[[#This Row],[Rejected Element]])-4),Tabella4[[#This Row],[Rejected Element]]),"\","")</f>
        <v>#heading-item-posteinsurancebrokerposteinsurancebroker-modulisegnalazioni-anomalie-accordion-faqcome-composta-la-segreteria-del-comitato-whistleblowing-di-una-societa-poste-italiane-7-7 &gt; .panel-title &gt; .accordion-toggle.collapsed[role="button"]</v>
      </c>
      <c r="Z242" s="34">
        <f>COUNTIFS(Tabella4[Detail univoco],Tabella4[[#This Row],[Detail univoco]],Tabella4[Rejected Element Univoco],Tabella4[[#This Row],[Rejected Element Univoco]],Tabella4[ItemsNodeLabel],Tabella4[[#This Row],[ItemsNodeLabel]])</f>
        <v>0</v>
      </c>
      <c r="AA242" s="34" t="str">
        <f>IF(Tabella4[[#This Row],[Componente]]="Documenti",VLOOKUP(Tabella4[[#This Row],[URL]],Tabella27[[URL]:[Servizio]],4,FALSE),VLOOKUP(Tabella4[[#This Row],[Page ID]],Tabella1[[Page ID]:[Servizio]],4,FALSE))</f>
        <v>S006 L'azienda</v>
      </c>
      <c r="AB242" s="34"/>
      <c r="AC242" s="34" t="str">
        <f>Tabella4[[#This Row],[User Impact]]</f>
        <v>2 - Serious</v>
      </c>
      <c r="AD242" s="34" t="str">
        <f>Copertina!C$2&amp;" - "&amp;Tabella4[[#This Row],[UNI CEI EN 301549]]&amp;" "&amp;VLOOKUP(Tabella4[[#This Row],[Criterio]],Tabella5[[ID]:[Criterio di successo]],2,FALSE)&amp;" - "&amp;Tabella4[[#This Row],[Servizio]]&amp;":"</f>
        <v>Insurance Brocker - 9.2.5.8 Dimensione dell'obiettivo (minimo) - S006 L'azienda:</v>
      </c>
      <c r="AE24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(#TM0203)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href="#item-posteinsurancebrokerposteinsurancebroker-modulisegnalazioni-anomalie-accordion-faqcome-composta-la-segreteria-del-comitato-whistleblowing-di-una-societa-poste-italiane-7" aria-expanded="false" aria-controls="item-posteinsurancebrokerposteinsurancebroker-modulisegnalazioni-anomalie-accordion-faqcome-composta-la-segreteria-del-comitato-whistleblowing-di-una-societa-poste-italiane-7" aria-label="Come è composta la segreteria del comitato whistleblowing di una società del gruppo poste italiane?" title="Come è composta la segreteria del comitato whistleblowing di una società del gruppo poste italiane?"&gt; con selettore: 
["#heading-item-posteinsurancebrokerposteinsurancebroker-modulisegnalazioni-anomalie-accordion-faqcome-composta-la-segreteria-del-comitato-whistleblowing-di-una-societa-poste-italiane-7-7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42" t="e">
        <f>_xlfn.XLOOKUP(Tabella4[[#This Row],[ID Silk]],outTable[ID Silk],outTable[Numero ticket  ],,0,1)</f>
        <v>#N/A</v>
      </c>
    </row>
    <row r="243" spans="1:32">
      <c r="A243" s="34" t="str">
        <f>MID(Tabella4[[#This Row],[Servizio]],1,4)&amp;Tabella4[[#This Row],[UNI CEI EN 301549]]</f>
        <v>S0069.2.5.8</v>
      </c>
      <c r="B243" s="34" t="str">
        <f>Tabella4[[#This Row],[ID Silk]]&amp;"_1"</f>
        <v>S0069.2.5.8_1</v>
      </c>
      <c r="C243" s="34" t="s">
        <v>984</v>
      </c>
      <c r="D243" s="2" t="str">
        <f>"(#"&amp;Tabella4[[#This Row],['#ID]]&amp;")"</f>
        <v>(#TM0204)</v>
      </c>
      <c r="E243" s="34" t="str">
        <f>IF(MID(Tabella4[[#This Row],['#ID]],1,1)="M","Mobile",IF(MID(Tabella4[[#This Row],['#ID]],1,1)="D","Desktop",IF(MID(Tabella4[[#This Row],['#ID]],1,2)="TM","Manuale","Documenti")))</f>
        <v>Manuale</v>
      </c>
      <c r="F243" s="34" t="s">
        <v>1006</v>
      </c>
      <c r="G243" s="34" t="s">
        <v>372</v>
      </c>
      <c r="H243" s="34" t="str">
        <f>IF(Tabella4[[#This Row],[Componente]]="Documenti","10.","9.")&amp;Tabella4[[#This Row],[Criterio]]</f>
        <v>9.2.5.8</v>
      </c>
      <c r="I243" s="34" t="s">
        <v>1023</v>
      </c>
      <c r="J243" s="34" t="s">
        <v>1032</v>
      </c>
      <c r="K243" s="34" t="s">
        <v>1033</v>
      </c>
      <c r="L243" s="34" t="s">
        <v>1034</v>
      </c>
      <c r="M243" s="34" t="s">
        <v>1035</v>
      </c>
      <c r="N243" t="s">
        <v>743</v>
      </c>
      <c r="O243" t="s">
        <v>744</v>
      </c>
      <c r="P243" t="s">
        <v>381</v>
      </c>
      <c r="R243" s="34" t="str">
        <f>IF(Tabella4[[#This Row],[Componente]]="Documenti",_xlfn.XLOOKUP(Tabella4[[#This Row],[URL]],Tabella27[URL],Tabella27[PDF ID],,0),_xlfn.XLOOKUP(Tabella4[[#This Row],[URL]],Tabella1[URL],Tabella1[Page ID],,0))</f>
        <v>#14</v>
      </c>
      <c r="S243" s="34" t="s">
        <v>1004</v>
      </c>
      <c r="T243" s="34" t="s">
        <v>518</v>
      </c>
      <c r="V243" t="s">
        <v>578</v>
      </c>
      <c r="W243" s="34" t="s">
        <v>1068</v>
      </c>
      <c r="X243"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id="heading-item-posteinsurancebrokerposteinsurancebroker-modulisegnalazioni-anomalie-accordion-faqquali-sono-le-tempistiche-di-presa-in-carico-di-una-segnalazione-8-8"&gt;</v>
      </c>
      <c r="Y243" s="34" t="str">
        <f>SUBSTITUTE(IF(Tabella4[[#This Row],[Tool]]="axe-core",MID(Tabella4[[#This Row],[Rejected Element]],3,LEN(Tabella4[[#This Row],[Rejected Element]])-4),Tabella4[[#This Row],[Rejected Element]]),"\","")</f>
        <v>#heading-item-posteinsurancebrokerposteinsurancebroker-modulisegnalazioni-anomalie-accordion-faqquali-sono-le-tempistiche-di-presa-in-carico-di-una-segnalazione-8-8</v>
      </c>
      <c r="Z243" s="34">
        <f>COUNTIFS(Tabella4[Detail univoco],Tabella4[[#This Row],[Detail univoco]],Tabella4[Rejected Element Univoco],Tabella4[[#This Row],[Rejected Element Univoco]],Tabella4[ItemsNodeLabel],Tabella4[[#This Row],[ItemsNodeLabel]])</f>
        <v>0</v>
      </c>
      <c r="AA243" s="34" t="str">
        <f>IF(Tabella4[[#This Row],[Componente]]="Documenti",VLOOKUP(Tabella4[[#This Row],[URL]],Tabella27[[URL]:[Servizio]],4,FALSE),VLOOKUP(Tabella4[[#This Row],[Page ID]],Tabella1[[Page ID]:[Servizio]],4,FALSE))</f>
        <v>S006 L'azienda</v>
      </c>
      <c r="AB243" s="34"/>
      <c r="AC243" s="34" t="str">
        <f>Tabella4[[#This Row],[User Impact]]</f>
        <v>2 - Serious</v>
      </c>
      <c r="AD243" s="34" t="str">
        <f>Copertina!C$2&amp;" - "&amp;Tabella4[[#This Row],[UNI CEI EN 301549]]&amp;" "&amp;VLOOKUP(Tabella4[[#This Row],[Criterio]],Tabella5[[ID]:[Criterio di successo]],2,FALSE)&amp;" - "&amp;Tabella4[[#This Row],[Servizio]]&amp;":"</f>
        <v>Insurance Brocker - 9.2.5.8 Dimensione dell'obiettivo (minimo) - S006 L'azienda:</v>
      </c>
      <c r="AE24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(#TM0204)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&lt;div class="panel-heading" role="tab" tabindex="0" id="heading-item-posteinsurancebrokerposteinsurancebroker-modulisegnalazioni-anomalie-accordion-faqquali-sono-le-tempistiche-di-presa-in-carico-di-una-segnalazione-8-8"&gt; con selettore: 
["#heading-item-posteinsurancebrokerposteinsurancebroker-modulisegnalazioni-anomalie-accordion-faqquali-sono-le-tempistiche-di-presa-in-carico-di-una-segnalazione-8-8"]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43" t="e">
        <f>_xlfn.XLOOKUP(Tabella4[[#This Row],[ID Silk]],outTable[ID Silk],outTable[Numero ticket  ],,0,1)</f>
        <v>#N/A</v>
      </c>
    </row>
    <row r="244" spans="1:32">
      <c r="A244" s="34" t="str">
        <f>MID(Tabella4[[#This Row],[Servizio]],1,4)&amp;Tabella4[[#This Row],[UNI CEI EN 301549]]</f>
        <v>S0069.2.5.8</v>
      </c>
      <c r="B244" s="34" t="str">
        <f>Tabella4[[#This Row],[ID Silk]]&amp;"_1"</f>
        <v>S0069.2.5.8_1</v>
      </c>
      <c r="C244" s="34" t="s">
        <v>985</v>
      </c>
      <c r="D244" s="2" t="str">
        <f>"(#"&amp;Tabella4[[#This Row],['#ID]]&amp;")"</f>
        <v>(#TM0205)</v>
      </c>
      <c r="E244" s="34" t="str">
        <f>IF(MID(Tabella4[[#This Row],['#ID]],1,1)="M","Mobile",IF(MID(Tabella4[[#This Row],['#ID]],1,1)="D","Desktop",IF(MID(Tabella4[[#This Row],['#ID]],1,2)="TM","Manuale","Documenti")))</f>
        <v>Manuale</v>
      </c>
      <c r="F244" s="34" t="s">
        <v>1006</v>
      </c>
      <c r="G244" s="34" t="s">
        <v>372</v>
      </c>
      <c r="H244" s="34" t="str">
        <f>IF(Tabella4[[#This Row],[Componente]]="Documenti","10.","9.")&amp;Tabella4[[#This Row],[Criterio]]</f>
        <v>9.2.5.8</v>
      </c>
      <c r="I244" s="34" t="s">
        <v>1023</v>
      </c>
      <c r="J244" s="34" t="s">
        <v>1032</v>
      </c>
      <c r="K244" s="34" t="s">
        <v>1033</v>
      </c>
      <c r="L244" s="34" t="s">
        <v>1034</v>
      </c>
      <c r="M244" s="34" t="s">
        <v>1035</v>
      </c>
      <c r="N244" t="s">
        <v>763</v>
      </c>
      <c r="O244" t="s">
        <v>764</v>
      </c>
      <c r="P244" t="s">
        <v>381</v>
      </c>
      <c r="R244" s="34" t="str">
        <f>IF(Tabella4[[#This Row],[Componente]]="Documenti",_xlfn.XLOOKUP(Tabella4[[#This Row],[URL]],Tabella27[URL],Tabella27[PDF ID],,0),_xlfn.XLOOKUP(Tabella4[[#This Row],[URL]],Tabella1[URL],Tabella1[Page ID],,0))</f>
        <v>#14</v>
      </c>
      <c r="S244" s="34" t="s">
        <v>1004</v>
      </c>
      <c r="T244" s="34" t="s">
        <v>518</v>
      </c>
      <c r="V244" t="s">
        <v>580</v>
      </c>
      <c r="W244" s="34" t="s">
        <v>1068</v>
      </c>
      <c r="X24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data-parent="#accordion-posteinsurancebrokerposteinsurancebroker-modulisegnalazioni-anomalie-accordion-faqfaq" href="#item-posteinsurancebrokerposteinsurancebroker-modulisegnalazioni-anomalie-accordion-faqquali-sono-le-tempistiche-di-presa-in-carico-di-una-segnalazione-8" aria-expanded="false" aria-controls="item-posteinsurancebrokerposteinsurancebroker-modulisegnalazioni-anomalie-accordion-faqquali-sono-le-tempistiche-di-presa-in-carico-di-una-segnalazione-8" aria-label="Quali sono le tempistiche di presa in carico di una segnalazione?" title="Quali sono le tempistiche di presa in carico di una segnalazione?"&gt;</v>
      </c>
      <c r="Y244" s="34" t="str">
        <f>SUBSTITUTE(IF(Tabella4[[#This Row],[Tool]]="axe-core",MID(Tabella4[[#This Row],[Rejected Element]],3,LEN(Tabella4[[#This Row],[Rejected Element]])-4),Tabella4[[#This Row],[Rejected Element]]),"\","")</f>
        <v>#heading-item-posteinsurancebrokerposteinsurancebroker-modulisegnalazioni-anomalie-accordion-faqquali-sono-le-tempistiche-di-presa-in-carico-di-una-segnalazione-8-8 &gt; .panel-title &gt; .accordion-toggle.collapsed[role="button"]</v>
      </c>
      <c r="Z244" s="34">
        <f>COUNTIFS(Tabella4[Detail univoco],Tabella4[[#This Row],[Detail univoco]],Tabella4[Rejected Element Univoco],Tabella4[[#This Row],[Rejected Element Univoco]],Tabella4[ItemsNodeLabel],Tabella4[[#This Row],[ItemsNodeLabel]])</f>
        <v>0</v>
      </c>
      <c r="AA244" s="34" t="str">
        <f>IF(Tabella4[[#This Row],[Componente]]="Documenti",VLOOKUP(Tabella4[[#This Row],[URL]],Tabella27[[URL]:[Servizio]],4,FALSE),VLOOKUP(Tabella4[[#This Row],[Page ID]],Tabella1[[Page ID]:[Servizio]],4,FALSE))</f>
        <v>S006 L'azienda</v>
      </c>
      <c r="AB244" s="34"/>
      <c r="AC244" s="34" t="str">
        <f>Tabella4[[#This Row],[User Impact]]</f>
        <v>2 - Serious</v>
      </c>
      <c r="AD244" s="34" t="str">
        <f>Copertina!C$2&amp;" - "&amp;Tabella4[[#This Row],[UNI CEI EN 301549]]&amp;" "&amp;VLOOKUP(Tabella4[[#This Row],[Criterio]],Tabella5[[ID]:[Criterio di successo]],2,FALSE)&amp;" - "&amp;Tabella4[[#This Row],[Servizio]]&amp;":"</f>
        <v>Insurance Brocker - 9.2.5.8 Dimensione dell'obiettivo (minimo) - S006 L'azienda:</v>
      </c>
      <c r="AE24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(#TM0205)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href="#item-posteinsurancebrokerposteinsurancebroker-modulisegnalazioni-anomalie-accordion-faqquali-sono-le-tempistiche-di-presa-in-carico-di-una-segnalazione-8" aria-expanded="false" aria-controls="item-posteinsurancebrokerposteinsurancebroker-modulisegnalazioni-anomalie-accordion-faqquali-sono-le-tempistiche-di-presa-in-carico-di-una-segnalazione-8" aria-label="Quali sono le tempistiche di presa in carico di una segnalazione?" title="Quali sono le tempistiche di presa in carico di una segnalazione?"&gt; con selettore: 
["#heading-item-posteinsurancebrokerposteinsurancebroker-modulisegnalazioni-anomalie-accordion-faqquali-sono-le-tempistiche-di-presa-in-carico-di-una-segnalazione-8-8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44" t="e">
        <f>_xlfn.XLOOKUP(Tabella4[[#This Row],[ID Silk]],outTable[ID Silk],outTable[Numero ticket  ],,0,1)</f>
        <v>#N/A</v>
      </c>
    </row>
    <row r="245" spans="1:32">
      <c r="A245" s="34" t="str">
        <f>MID(Tabella4[[#This Row],[Servizio]],1,4)&amp;Tabella4[[#This Row],[UNI CEI EN 301549]]</f>
        <v>S0069.2.5.8</v>
      </c>
      <c r="B245" s="34" t="str">
        <f>Tabella4[[#This Row],[ID Silk]]&amp;"_1"</f>
        <v>S0069.2.5.8_1</v>
      </c>
      <c r="C245" s="34" t="s">
        <v>986</v>
      </c>
      <c r="D245" s="2" t="str">
        <f>"(#"&amp;Tabella4[[#This Row],['#ID]]&amp;")"</f>
        <v>(#TM0206)</v>
      </c>
      <c r="E245" s="34" t="str">
        <f>IF(MID(Tabella4[[#This Row],['#ID]],1,1)="M","Mobile",IF(MID(Tabella4[[#This Row],['#ID]],1,1)="D","Desktop",IF(MID(Tabella4[[#This Row],['#ID]],1,2)="TM","Manuale","Documenti")))</f>
        <v>Manuale</v>
      </c>
      <c r="F245" s="34" t="s">
        <v>1006</v>
      </c>
      <c r="G245" s="34" t="s">
        <v>372</v>
      </c>
      <c r="H245" s="34" t="str">
        <f>IF(Tabella4[[#This Row],[Componente]]="Documenti","10.","9.")&amp;Tabella4[[#This Row],[Criterio]]</f>
        <v>9.2.5.8</v>
      </c>
      <c r="I245" s="34" t="s">
        <v>1023</v>
      </c>
      <c r="J245" s="34" t="s">
        <v>1032</v>
      </c>
      <c r="K245" s="34" t="s">
        <v>1033</v>
      </c>
      <c r="L245" s="34" t="s">
        <v>1034</v>
      </c>
      <c r="M245" s="34" t="s">
        <v>1035</v>
      </c>
      <c r="N245" t="s">
        <v>745</v>
      </c>
      <c r="O245" t="s">
        <v>746</v>
      </c>
      <c r="P245" t="s">
        <v>381</v>
      </c>
      <c r="R245" s="34" t="str">
        <f>IF(Tabella4[[#This Row],[Componente]]="Documenti",_xlfn.XLOOKUP(Tabella4[[#This Row],[URL]],Tabella27[URL],Tabella27[PDF ID],,0),_xlfn.XLOOKUP(Tabella4[[#This Row],[URL]],Tabella1[URL],Tabella1[Page ID],,0))</f>
        <v>#14</v>
      </c>
      <c r="S245" s="34" t="s">
        <v>1004</v>
      </c>
      <c r="T245" s="34" t="s">
        <v>518</v>
      </c>
      <c r="V245" t="s">
        <v>578</v>
      </c>
      <c r="W245" s="34" t="s">
        <v>1068</v>
      </c>
      <c r="X245" s="34" t="str">
        <f>IFERROR(IF(Tabella4[[#This Row],[Tool]]="lighthouse",Tabella4[[#This Row],[Detail]],MID(Tabella4[[#This Row],[Detail]],1,FIND("&gt;",Tabella4[[#This Row],[Detail]]))),Tabella4[[#This Row],[Detail]])</f>
        <v>&lt;div class="panel-heading" role="tab" tabindex="0" id="heading-item-posteinsurancebrokerposteinsurancebroker-modulisegnalazioni-anomalie-accordion-faqquali-sono-gli-stati-di-lavorazione-di-una-segnalazione-9-9"&gt;</v>
      </c>
      <c r="Y245" s="34" t="str">
        <f>SUBSTITUTE(IF(Tabella4[[#This Row],[Tool]]="axe-core",MID(Tabella4[[#This Row],[Rejected Element]],3,LEN(Tabella4[[#This Row],[Rejected Element]])-4),Tabella4[[#This Row],[Rejected Element]]),"\","")</f>
        <v>#heading-item-posteinsurancebrokerposteinsurancebroker-modulisegnalazioni-anomalie-accordion-faqquali-sono-gli-stati-di-lavorazione-di-una-segnalazione-9-9</v>
      </c>
      <c r="Z245" s="34">
        <f>COUNTIFS(Tabella4[Detail univoco],Tabella4[[#This Row],[Detail univoco]],Tabella4[Rejected Element Univoco],Tabella4[[#This Row],[Rejected Element Univoco]],Tabella4[ItemsNodeLabel],Tabella4[[#This Row],[ItemsNodeLabel]])</f>
        <v>0</v>
      </c>
      <c r="AA245" s="34" t="str">
        <f>IF(Tabella4[[#This Row],[Componente]]="Documenti",VLOOKUP(Tabella4[[#This Row],[URL]],Tabella27[[URL]:[Servizio]],4,FALSE),VLOOKUP(Tabella4[[#This Row],[Page ID]],Tabella1[[Page ID]:[Servizio]],4,FALSE))</f>
        <v>S006 L'azienda</v>
      </c>
      <c r="AB245" s="34"/>
      <c r="AC245" s="34" t="str">
        <f>Tabella4[[#This Row],[User Impact]]</f>
        <v>2 - Serious</v>
      </c>
      <c r="AD245" s="34" t="str">
        <f>Copertina!C$2&amp;" - "&amp;Tabella4[[#This Row],[UNI CEI EN 301549]]&amp;" "&amp;VLOOKUP(Tabella4[[#This Row],[Criterio]],Tabella5[[ID]:[Criterio di successo]],2,FALSE)&amp;" - "&amp;Tabella4[[#This Row],[Servizio]]&amp;":"</f>
        <v>Insurance Brocker - 9.2.5.8 Dimensione dell'obiettivo (minimo) - S006 L'azienda:</v>
      </c>
      <c r="AE24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(#TM0206)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&lt;div class="panel-heading" role="tab" tabindex="0" id="heading-item-posteinsurancebrokerposteinsurancebroker-modulisegnalazioni-anomalie-accordion-faqquali-sono-gli-stati-di-lavorazione-di-una-segnalazione-9-9"&gt; con selettore: 
["#heading-item-posteinsurancebrokerposteinsurancebroker-modulisegnalazioni-anomalie-accordion-faqquali-sono-gli-stati-di-lavorazione-di-una-segnalazione-9-9"]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45" t="e">
        <f>_xlfn.XLOOKUP(Tabella4[[#This Row],[ID Silk]],outTable[ID Silk],outTable[Numero ticket  ],,0,1)</f>
        <v>#N/A</v>
      </c>
    </row>
    <row r="246" spans="1:32">
      <c r="A246" s="34" t="str">
        <f>MID(Tabella4[[#This Row],[Servizio]],1,4)&amp;Tabella4[[#This Row],[UNI CEI EN 301549]]</f>
        <v>S0069.2.5.8</v>
      </c>
      <c r="B246" s="34" t="str">
        <f>Tabella4[[#This Row],[ID Silk]]&amp;"_1"</f>
        <v>S0069.2.5.8_1</v>
      </c>
      <c r="C246" s="34" t="s">
        <v>987</v>
      </c>
      <c r="D246" s="2" t="str">
        <f>"(#"&amp;Tabella4[[#This Row],['#ID]]&amp;")"</f>
        <v>(#TM0207)</v>
      </c>
      <c r="E246" s="34" t="str">
        <f>IF(MID(Tabella4[[#This Row],['#ID]],1,1)="M","Mobile",IF(MID(Tabella4[[#This Row],['#ID]],1,1)="D","Desktop",IF(MID(Tabella4[[#This Row],['#ID]],1,2)="TM","Manuale","Documenti")))</f>
        <v>Manuale</v>
      </c>
      <c r="F246" s="34" t="s">
        <v>1006</v>
      </c>
      <c r="G246" s="34" t="s">
        <v>372</v>
      </c>
      <c r="H246" s="34" t="str">
        <f>IF(Tabella4[[#This Row],[Componente]]="Documenti","10.","9.")&amp;Tabella4[[#This Row],[Criterio]]</f>
        <v>9.2.5.8</v>
      </c>
      <c r="I246" s="34" t="s">
        <v>1023</v>
      </c>
      <c r="J246" s="34" t="s">
        <v>1032</v>
      </c>
      <c r="K246" s="34" t="s">
        <v>1033</v>
      </c>
      <c r="L246" s="34" t="s">
        <v>1034</v>
      </c>
      <c r="M246" s="34" t="s">
        <v>1035</v>
      </c>
      <c r="N246" t="s">
        <v>765</v>
      </c>
      <c r="O246" t="s">
        <v>766</v>
      </c>
      <c r="P246" t="s">
        <v>381</v>
      </c>
      <c r="R246" s="34" t="str">
        <f>IF(Tabella4[[#This Row],[Componente]]="Documenti",_xlfn.XLOOKUP(Tabella4[[#This Row],[URL]],Tabella27[URL],Tabella27[PDF ID],,0),_xlfn.XLOOKUP(Tabella4[[#This Row],[URL]],Tabella1[URL],Tabella1[Page ID],,0))</f>
        <v>#14</v>
      </c>
      <c r="S246" s="34" t="s">
        <v>1004</v>
      </c>
      <c r="T246" s="34" t="s">
        <v>518</v>
      </c>
      <c r="V246" t="s">
        <v>580</v>
      </c>
      <c r="W246" s="34" t="s">
        <v>1068</v>
      </c>
      <c r="X24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data-parent="#accordion-posteinsurancebrokerposteinsurancebroker-modulisegnalazioni-anomalie-accordion-faqfaq" href="#item-posteinsurancebrokerposteinsurancebroker-modulisegnalazioni-anomalie-accordion-faqquali-sono-gli-stati-di-lavorazione-di-una-segnalazione-9" aria-expanded="false" aria-controls="item-posteinsurancebrokerposteinsurancebroker-modulisegnalazioni-anomalie-accordion-faqquali-sono-gli-stati-di-lavorazione-di-una-segnalazione-9" aria-label="Quali sono gli stati di lavorazione di una segnalazione?" title="Quali sono gli stati di lavorazione di una segnalazione?"&gt;</v>
      </c>
      <c r="Y246" s="34" t="str">
        <f>SUBSTITUTE(IF(Tabella4[[#This Row],[Tool]]="axe-core",MID(Tabella4[[#This Row],[Rejected Element]],3,LEN(Tabella4[[#This Row],[Rejected Element]])-4),Tabella4[[#This Row],[Rejected Element]]),"\","")</f>
        <v>#heading-item-posteinsurancebrokerposteinsurancebroker-modulisegnalazioni-anomalie-accordion-faqquali-sono-gli-stati-di-lavorazione-di-una-segnalazione-9-9 &gt; .panel-title &gt; .accordion-toggle.collapsed[role="button"]</v>
      </c>
      <c r="Z246" s="34">
        <f>COUNTIFS(Tabella4[Detail univoco],Tabella4[[#This Row],[Detail univoco]],Tabella4[Rejected Element Univoco],Tabella4[[#This Row],[Rejected Element Univoco]],Tabella4[ItemsNodeLabel],Tabella4[[#This Row],[ItemsNodeLabel]])</f>
        <v>0</v>
      </c>
      <c r="AA246" s="34" t="str">
        <f>IF(Tabella4[[#This Row],[Componente]]="Documenti",VLOOKUP(Tabella4[[#This Row],[URL]],Tabella27[[URL]:[Servizio]],4,FALSE),VLOOKUP(Tabella4[[#This Row],[Page ID]],Tabella1[[Page ID]:[Servizio]],4,FALSE))</f>
        <v>S006 L'azienda</v>
      </c>
      <c r="AB246" s="34"/>
      <c r="AC246" s="34" t="str">
        <f>Tabella4[[#This Row],[User Impact]]</f>
        <v>2 - Serious</v>
      </c>
      <c r="AD246" s="34" t="str">
        <f>Copertina!C$2&amp;" - "&amp;Tabella4[[#This Row],[UNI CEI EN 301549]]&amp;" "&amp;VLOOKUP(Tabella4[[#This Row],[Criterio]],Tabella5[[ID]:[Criterio di successo]],2,FALSE)&amp;" - "&amp;Tabella4[[#This Row],[Servizio]]&amp;":"</f>
        <v>Insurance Brocker - 9.2.5.8 Dimensione dell'obiettivo (minimo) - S006 L'azienda:</v>
      </c>
      <c r="AE24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S006 L'azienda: (#TM0207)
S006 L'azienda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href="#item-posteinsurancebrokerposteinsurancebroker-modulisegnalazioni-anomalie-accordion-faqquali-sono-gli-stati-di-lavorazione-di-una-segnalazione-9" aria-expanded="false" aria-controls="item-posteinsurancebrokerposteinsurancebroker-modulisegnalazioni-anomalie-accordion-faqquali-sono-gli-stati-di-lavorazione-di-una-segnalazione-9" aria-label="Quali sono gli stati di lavorazione di una segnalazione?" title="Quali sono gli stati di lavorazione di una segnalazione?"&gt; con selettore: 
["#heading-item-posteinsurancebrokerposteinsurancebroker-modulisegnalazioni-anomalie-accordion-faqquali-sono-gli-stati-di-lavorazione-di-una-segnalazione-9-9 &gt; .panel-title &gt; .accordion-toggle.collapsed[role=\"button\"]"]
Dettaglio + screenshot (accedere con le seguenti credenziali: user, axeposte@gmail.com; password, Poste2024!):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20): https://posteitaliane.sharepoint.com/:x:/r/teams/ACCESSIBILITRISULTATIVERIFICHETECNICHE-PORTALEIMMIGRAZIONE/Shared%20Documents/PORTALE%20IMMIGRAZIONE/LOG/Log_2411.xlsx?d=wce770a595441461abc11f2c139111c73&amp;csf=1&amp;web=1&amp;e=tpdJfo
Link al dettaglio requisito WCAG: </v>
      </c>
      <c r="AF246" t="e">
        <f>_xlfn.XLOOKUP(Tabella4[[#This Row],[ID Silk]],outTable[ID Silk],outTable[Numero ticket  ],,0,1)</f>
        <v>#N/A</v>
      </c>
    </row>
    <row r="247" spans="1:32">
      <c r="A247" s="34" t="str">
        <f>MID(Tabella4[[#This Row],[Servizio]],1,4)&amp;Tabella4[[#This Row],[UNI CEI EN 301549]]</f>
        <v>S0069.1.4.3</v>
      </c>
      <c r="B247" s="34" t="str">
        <f>Tabella4[[#This Row],[ID Silk]]&amp;"_1"</f>
        <v>S0069.1.4.3_1</v>
      </c>
      <c r="C247" s="34" t="s">
        <v>988</v>
      </c>
      <c r="D247" s="2" t="str">
        <f>"(#"&amp;Tabella4[[#This Row],['#ID]]&amp;")"</f>
        <v>(#TM0208)</v>
      </c>
      <c r="E247" s="34" t="str">
        <f>IF(MID(Tabella4[[#This Row],['#ID]],1,1)="M","Mobile",IF(MID(Tabella4[[#This Row],['#ID]],1,1)="D","Desktop",IF(MID(Tabella4[[#This Row],['#ID]],1,2)="TM","Manuale","Documenti")))</f>
        <v>Manuale</v>
      </c>
      <c r="F247" s="34" t="s">
        <v>1006</v>
      </c>
      <c r="G247" s="34" t="s">
        <v>228</v>
      </c>
      <c r="H247" s="34" t="str">
        <f>IF(Tabella4[[#This Row],[Componente]]="Documenti","10.","9.")&amp;Tabella4[[#This Row],[Criterio]]</f>
        <v>9.1.4.3</v>
      </c>
      <c r="I247" s="34" t="s">
        <v>1023</v>
      </c>
      <c r="J247" s="34" t="s">
        <v>1037</v>
      </c>
      <c r="K247" s="34" t="s">
        <v>549</v>
      </c>
      <c r="L247" s="34" t="s">
        <v>1038</v>
      </c>
      <c r="M247" s="34" t="s">
        <v>1039</v>
      </c>
      <c r="N247" t="s">
        <v>565</v>
      </c>
      <c r="O247" t="s">
        <v>551</v>
      </c>
      <c r="P247" t="s">
        <v>381</v>
      </c>
      <c r="R247" s="34" t="str">
        <f>IF(Tabella4[[#This Row],[Componente]]="Documenti",_xlfn.XLOOKUP(Tabella4[[#This Row],[URL]],Tabella27[URL],Tabella27[PDF ID],,0),_xlfn.XLOOKUP(Tabella4[[#This Row],[URL]],Tabella1[URL],Tabella1[Page ID],,0))</f>
        <v>#14</v>
      </c>
      <c r="S247" s="34" t="s">
        <v>1004</v>
      </c>
      <c r="T247" s="34" t="s">
        <v>547</v>
      </c>
      <c r="V247" t="s">
        <v>548</v>
      </c>
      <c r="W247" s="34" t="s">
        <v>1069</v>
      </c>
      <c r="X247" s="34" t="str">
        <f>IFERROR(IF(Tabella4[[#This Row],[Tool]]="lighthouse",Tabella4[[#This Row],[Detail]],MID(Tabella4[[#This Row],[Detail]],1,FIND("&gt;",Tabella4[[#This Row],[Detail]]))),Tabella4[[#This Row],[Detail]])</f>
        <v>&lt;a tabindex="0" class="skip-link sr-only-focusable-abs" href="#accessibility-anchor"&gt;</v>
      </c>
      <c r="Y247" s="34" t="str">
        <f>SUBSTITUTE(IF(Tabella4[[#This Row],[Tool]]="axe-core",MID(Tabella4[[#This Row],[Rejected Element]],3,LEN(Tabella4[[#This Row],[Rejected Element]])-4),Tabella4[[#This Row],[Rejected Element]]),"\","")</f>
        <v>body#page.Nessuno &gt; nav#skiplink:nth-of-type(1) &gt; ul:nth-of-type(1) &gt; li:nth-of-type(1) &gt; a.skip-link.sr-only-focusable-abs:nth-of-type(1)</v>
      </c>
      <c r="Z247" s="34">
        <f>COUNTIFS(Tabella4[Detail univoco],Tabella4[[#This Row],[Detail univoco]],Tabella4[Rejected Element Univoco],Tabella4[[#This Row],[Rejected Element Univoco]],Tabella4[ItemsNodeLabel],Tabella4[[#This Row],[ItemsNodeLabel]])</f>
        <v>0</v>
      </c>
      <c r="AA247" s="34" t="str">
        <f>IF(Tabella4[[#This Row],[Componente]]="Documenti",VLOOKUP(Tabella4[[#This Row],[URL]],Tabella27[[URL]:[Servizio]],4,FALSE),VLOOKUP(Tabella4[[#This Row],[Page ID]],Tabella1[[Page ID]:[Servizio]],4,FALSE))</f>
        <v>S006 L'azienda</v>
      </c>
      <c r="AB247" s="34"/>
      <c r="AC247" s="34" t="str">
        <f>Tabella4[[#This Row],[User Impact]]</f>
        <v>2 - Serious</v>
      </c>
      <c r="AD247" s="34" t="str">
        <f>Copertina!C$2&amp;" - "&amp;Tabella4[[#This Row],[UNI CEI EN 301549]]&amp;" "&amp;VLOOKUP(Tabella4[[#This Row],[Criterio]],Tabella5[[ID]:[Criterio di successo]],2,FALSE)&amp;" - "&amp;Tabella4[[#This Row],[Servizio]]&amp;":"</f>
        <v>Insurance Brocker - 9.1.4.3 Contrasto (minimo) - S006 L'azienda:</v>
      </c>
      <c r="AE24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S006 L'azienda: (#TM0208)
S006 L'azienda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https://posteinsurancebroker.poste.it/segnalazioni-anomalie/ - &lt;a tabindex="0" class="skip-link sr-only-focusable-abs" href="#accessibility-anchor"&gt;Passa al contenuto principale&lt;/a&gt; con selettore: 
["body#page.Nessuno &gt; nav#skiplink:nth-of-type(1) &gt; ul:nth-of-type(1) &gt; li:nth-of-type(1)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47">
        <f>_xlfn.XLOOKUP(Tabella4[[#This Row],[ID Silk]],outTable[ID Silk],outTable[Numero ticket  ],,0,1)</f>
        <v>5993</v>
      </c>
    </row>
    <row r="248" spans="1:32">
      <c r="A248" s="34" t="str">
        <f>MID(Tabella4[[#This Row],[Servizio]],1,4)&amp;Tabella4[[#This Row],[UNI CEI EN 301549]]</f>
        <v>S0069.1.4.3</v>
      </c>
      <c r="B248" s="34" t="str">
        <f>Tabella4[[#This Row],[ID Silk]]&amp;"_1"</f>
        <v>S0069.1.4.3_1</v>
      </c>
      <c r="C248" s="34" t="s">
        <v>989</v>
      </c>
      <c r="D248" s="2" t="str">
        <f>"(#"&amp;Tabella4[[#This Row],['#ID]]&amp;")"</f>
        <v>(#TM0209)</v>
      </c>
      <c r="E248" s="34" t="str">
        <f>IF(MID(Tabella4[[#This Row],['#ID]],1,1)="M","Mobile",IF(MID(Tabella4[[#This Row],['#ID]],1,1)="D","Desktop",IF(MID(Tabella4[[#This Row],['#ID]],1,2)="TM","Manuale","Documenti")))</f>
        <v>Manuale</v>
      </c>
      <c r="F248" s="34" t="s">
        <v>1006</v>
      </c>
      <c r="G248" s="34" t="s">
        <v>228</v>
      </c>
      <c r="H248" s="34" t="str">
        <f>IF(Tabella4[[#This Row],[Componente]]="Documenti","10.","9.")&amp;Tabella4[[#This Row],[Criterio]]</f>
        <v>9.1.4.3</v>
      </c>
      <c r="I248" s="34" t="s">
        <v>1023</v>
      </c>
      <c r="J248" s="34" t="s">
        <v>1037</v>
      </c>
      <c r="K248" s="34" t="s">
        <v>549</v>
      </c>
      <c r="L248" s="34" t="s">
        <v>1038</v>
      </c>
      <c r="M248" s="34" t="s">
        <v>1039</v>
      </c>
      <c r="N248" t="s">
        <v>566</v>
      </c>
      <c r="O248" t="s">
        <v>553</v>
      </c>
      <c r="P248" t="s">
        <v>381</v>
      </c>
      <c r="R248" s="34" t="str">
        <f>IF(Tabella4[[#This Row],[Componente]]="Documenti",_xlfn.XLOOKUP(Tabella4[[#This Row],[URL]],Tabella27[URL],Tabella27[PDF ID],,0),_xlfn.XLOOKUP(Tabella4[[#This Row],[URL]],Tabella1[URL],Tabella1[Page ID],,0))</f>
        <v>#14</v>
      </c>
      <c r="S248" s="34" t="s">
        <v>1004</v>
      </c>
      <c r="T248" s="34" t="s">
        <v>547</v>
      </c>
      <c r="V248" t="s">
        <v>548</v>
      </c>
      <c r="W248" s="34" t="s">
        <v>1069</v>
      </c>
      <c r="X248" s="34" t="str">
        <f>IFERROR(IF(Tabella4[[#This Row],[Tool]]="lighthouse",Tabella4[[#This Row],[Detail]],MID(Tabella4[[#This Row],[Detail]],1,FIND("&gt;",Tabella4[[#This Row],[Detail]]))),Tabella4[[#This Row],[Detail]])</f>
        <v>&lt;a class="skip-link sr-only-focusable-abs" href="#footer"&gt;</v>
      </c>
      <c r="Y248" s="34" t="str">
        <f>SUBSTITUTE(IF(Tabella4[[#This Row],[Tool]]="axe-core",MID(Tabella4[[#This Row],[Rejected Element]],3,LEN(Tabella4[[#This Row],[Rejected Element]])-4),Tabella4[[#This Row],[Rejected Element]]),"\","")</f>
        <v>body#page.Nessuno &gt; nav#skiplink:nth-of-type(1) &gt; ul:nth-of-type(1) &gt; li:nth-of-type(3) &gt; a.skip-link.sr-only-focusable-abs:nth-of-type(1)</v>
      </c>
      <c r="Z248" s="34">
        <f>COUNTIFS(Tabella4[Detail univoco],Tabella4[[#This Row],[Detail univoco]],Tabella4[Rejected Element Univoco],Tabella4[[#This Row],[Rejected Element Univoco]],Tabella4[ItemsNodeLabel],Tabella4[[#This Row],[ItemsNodeLabel]])</f>
        <v>0</v>
      </c>
      <c r="AA248" s="34" t="str">
        <f>IF(Tabella4[[#This Row],[Componente]]="Documenti",VLOOKUP(Tabella4[[#This Row],[URL]],Tabella27[[URL]:[Servizio]],4,FALSE),VLOOKUP(Tabella4[[#This Row],[Page ID]],Tabella1[[Page ID]:[Servizio]],4,FALSE))</f>
        <v>S006 L'azienda</v>
      </c>
      <c r="AB248" s="34"/>
      <c r="AC248" s="34" t="str">
        <f>Tabella4[[#This Row],[User Impact]]</f>
        <v>2 - Serious</v>
      </c>
      <c r="AD248" s="34" t="str">
        <f>Copertina!C$2&amp;" - "&amp;Tabella4[[#This Row],[UNI CEI EN 301549]]&amp;" "&amp;VLOOKUP(Tabella4[[#This Row],[Criterio]],Tabella5[[ID]:[Criterio di successo]],2,FALSE)&amp;" - "&amp;Tabella4[[#This Row],[Servizio]]&amp;":"</f>
        <v>Insurance Brocker - 9.1.4.3 Contrasto (minimo) - S006 L'azienda:</v>
      </c>
      <c r="AE24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S006 L'azienda: (#TM0209)
S006 L'azienda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https://posteinsurancebroker.poste.it/segnalazioni-anomalie/ - &lt;a class="skip-link sr-only-focusable-abs" href="#footer"&gt;Passa al footer di pagina&lt;/a&gt; con selettore: 
["body#page.Nessuno &gt; nav#skiplink:nth-of-type(1) &gt; ul:nth-of-type(1) &gt; li:nth-of-type(3)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48">
        <f>_xlfn.XLOOKUP(Tabella4[[#This Row],[ID Silk]],outTable[ID Silk],outTable[Numero ticket  ],,0,1)</f>
        <v>5993</v>
      </c>
    </row>
    <row r="249" spans="1:32">
      <c r="A249" s="34" t="str">
        <f>MID(Tabella4[[#This Row],[Servizio]],1,4)&amp;Tabella4[[#This Row],[UNI CEI EN 301549]]</f>
        <v>S0069.1.4.3</v>
      </c>
      <c r="B249" s="34" t="str">
        <f>Tabella4[[#This Row],[ID Silk]]&amp;"_1"</f>
        <v>S0069.1.4.3_1</v>
      </c>
      <c r="C249" s="34" t="s">
        <v>990</v>
      </c>
      <c r="D249" s="2" t="str">
        <f>"(#"&amp;Tabella4[[#This Row],['#ID]]&amp;")"</f>
        <v>(#TM0210)</v>
      </c>
      <c r="E249" s="34" t="str">
        <f>IF(MID(Tabella4[[#This Row],['#ID]],1,1)="M","Mobile",IF(MID(Tabella4[[#This Row],['#ID]],1,1)="D","Desktop",IF(MID(Tabella4[[#This Row],['#ID]],1,2)="TM","Manuale","Documenti")))</f>
        <v>Manuale</v>
      </c>
      <c r="F249" s="34" t="s">
        <v>1006</v>
      </c>
      <c r="G249" s="34" t="s">
        <v>228</v>
      </c>
      <c r="H249" s="34" t="str">
        <f>IF(Tabella4[[#This Row],[Componente]]="Documenti","10.","9.")&amp;Tabella4[[#This Row],[Criterio]]</f>
        <v>9.1.4.3</v>
      </c>
      <c r="I249" s="34" t="s">
        <v>1023</v>
      </c>
      <c r="J249" s="34" t="s">
        <v>1037</v>
      </c>
      <c r="K249" s="34" t="s">
        <v>549</v>
      </c>
      <c r="L249" s="34" t="s">
        <v>1038</v>
      </c>
      <c r="M249" s="34" t="s">
        <v>1039</v>
      </c>
      <c r="N249" t="s">
        <v>767</v>
      </c>
      <c r="O249" t="s">
        <v>768</v>
      </c>
      <c r="P249" t="s">
        <v>381</v>
      </c>
      <c r="R249" s="34" t="str">
        <f>IF(Tabella4[[#This Row],[Componente]]="Documenti",_xlfn.XLOOKUP(Tabella4[[#This Row],[URL]],Tabella27[URL],Tabella27[PDF ID],,0),_xlfn.XLOOKUP(Tabella4[[#This Row],[URL]],Tabella1[URL],Tabella1[Page ID],,0))</f>
        <v>#14</v>
      </c>
      <c r="S249" s="34" t="s">
        <v>1004</v>
      </c>
      <c r="T249" s="34" t="s">
        <v>547</v>
      </c>
      <c r="V249" t="s">
        <v>548</v>
      </c>
      <c r="W249" s="34" t="s">
        <v>1069</v>
      </c>
      <c r="X249" s="34" t="str">
        <f>IFERROR(IF(Tabella4[[#This Row],[Tool]]="lighthouse",Tabella4[[#This Row],[Detail]],MID(Tabella4[[#This Row],[Detail]],1,FIND("&gt;",Tabella4[[#This Row],[Detail]]))),Tabella4[[#This Row],[Detail]])</f>
        <v>&lt;a title="Vai alla pagina dedicata e invia la tua segnalazione" href="https://www.posteitaliane.it/it/sistema-di-segnalazione-delle-violazioni.html" target="_self" class="btn btn-icon btn-xs btn-primary" data-activity-linkid="Invia la tua segnalazione-posteinsurancebroker-moduli-segnalazioni-anomalie-descrizione-come-inviare-btn-primary"&gt;</v>
      </c>
      <c r="Y249" s="34" t="str">
        <f>SUBSTITUTE(IF(Tabella4[[#This Row],[Tool]]="axe-core",MID(Tabella4[[#This Row],[Rejected Element]],3,LEN(Tabella4[[#This Row],[Rejected Element]])-4),Tabella4[[#This Row],[Rejected Element]]),"\","")</f>
        <v>body#page.Nessuno &gt; main#accessibility-anchor:nth-of-type(1) &gt; div#posteinsurancebroker-moduli-segnalazioni-anomalie-descrizione-come-inviare.content.display-pop:nth-of-type(3) &gt; div.content-wrap:nth-of-type(1) &gt; div.container:nth-of-type(1) &gt; div.row.row-fix:nth-of-type(1) &gt; div.col-xs-12.col-lg-10.col-lg-push-1:nth-of-type(1) &gt; div.main-pills:nth-of-type(1) &gt; div.main-pills-wrap:nth-of-type(1) &gt; div.box-editable-area:nth-of-type(1) &gt; div.btn-container.mt-3.clearfix:nth-of-type(7) &gt; a.btn.btn-icon.btn-xs.btn-primary:nth-of-type(1)</v>
      </c>
      <c r="Z249" s="34">
        <f>COUNTIFS(Tabella4[Detail univoco],Tabella4[[#This Row],[Detail univoco]],Tabella4[Rejected Element Univoco],Tabella4[[#This Row],[Rejected Element Univoco]],Tabella4[ItemsNodeLabel],Tabella4[[#This Row],[ItemsNodeLabel]])</f>
        <v>0</v>
      </c>
      <c r="AA249" s="34" t="str">
        <f>IF(Tabella4[[#This Row],[Componente]]="Documenti",VLOOKUP(Tabella4[[#This Row],[URL]],Tabella27[[URL]:[Servizio]],4,FALSE),VLOOKUP(Tabella4[[#This Row],[Page ID]],Tabella1[[Page ID]:[Servizio]],4,FALSE))</f>
        <v>S006 L'azienda</v>
      </c>
      <c r="AB249" s="34"/>
      <c r="AC249" s="34" t="str">
        <f>Tabella4[[#This Row],[User Impact]]</f>
        <v>2 - Serious</v>
      </c>
      <c r="AD249" s="34" t="str">
        <f>Copertina!C$2&amp;" - "&amp;Tabella4[[#This Row],[UNI CEI EN 301549]]&amp;" "&amp;VLOOKUP(Tabella4[[#This Row],[Criterio]],Tabella5[[ID]:[Criterio di successo]],2,FALSE)&amp;" - "&amp;Tabella4[[#This Row],[Servizio]]&amp;":"</f>
        <v>Insurance Brocker - 9.1.4.3 Contrasto (minimo) - S006 L'azienda:</v>
      </c>
      <c r="AE24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S006 L'azienda: (#TM0210)
S006 L'azienda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https://posteinsurancebroker.poste.it/segnalazioni-anomalie/ - &lt;a title="Vai alla pagina dedicata e invia la tua segnalazione" href="https://www.posteitaliane.it/it/sistema-di-segnalazione-delle-violazioni.html" target="_self" class="btn btn-icon btn-xs btn-primary" data-activity-linkid="Invia la tua segnalazione-posteinsurancebroker-moduli-segnalazioni-anomalie-descrizione-come-inviare-btn-primary"&gt; con selettore: 
["body#page.Nessuno &gt; main#accessibility-anchor:nth-of-type(1) &gt; div#posteinsurancebroker-moduli-segnalazioni-anomalie-descrizione-come-inviare.content.display-pop:nth-of-type(3) &gt; div.content-wrap:nth-of-type(1) &gt; div.container:nth-of-type(1) &gt; div.row.row-fix:nth-of-type(1) &gt; div.col-xs-12.col-lg-10.col-lg-push-1:nth-of-type(1) &gt; div.main-pills:nth-of-type(1) &gt; div.main-pills-wrap:nth-of-type(1) &gt; div.box-editable-area:nth-of-type(1) &gt; div.btn-container.mt-3.clearfix:nth-of-type(7) &gt; a.btn.btn-icon.btn-xs.btn-primary:nth-of-type(1)"]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49">
        <f>_xlfn.XLOOKUP(Tabella4[[#This Row],[ID Silk]],outTable[ID Silk],outTable[Numero ticket  ],,0,1)</f>
        <v>5993</v>
      </c>
    </row>
    <row r="250" spans="1:32">
      <c r="A250" s="34" t="str">
        <f>MID(Tabella4[[#This Row],[Servizio]],1,4)&amp;Tabella4[[#This Row],[UNI CEI EN 301549]]</f>
        <v>S0069.1.3.1</v>
      </c>
      <c r="B250" s="34" t="str">
        <f>Tabella4[[#This Row],[ID Silk]]&amp;"_1"</f>
        <v>S0069.1.3.1_1</v>
      </c>
      <c r="C250" s="34" t="s">
        <v>991</v>
      </c>
      <c r="D250" s="2" t="str">
        <f>"(#"&amp;Tabella4[[#This Row],['#ID]]&amp;")"</f>
        <v>(#TM0211)</v>
      </c>
      <c r="E250" s="34" t="str">
        <f>IF(MID(Tabella4[[#This Row],['#ID]],1,1)="M","Mobile",IF(MID(Tabella4[[#This Row],['#ID]],1,1)="D","Desktop",IF(MID(Tabella4[[#This Row],['#ID]],1,2)="TM","Manuale","Documenti")))</f>
        <v>Manuale</v>
      </c>
      <c r="F250" s="34" t="s">
        <v>1005</v>
      </c>
      <c r="G250" s="34" t="s">
        <v>184</v>
      </c>
      <c r="H250" s="34" t="str">
        <f>IF(Tabella4[[#This Row],[Componente]]="Documenti","10.","9.")&amp;Tabella4[[#This Row],[Criterio]]</f>
        <v>9.1.3.1</v>
      </c>
      <c r="I250" s="34" t="s">
        <v>1036</v>
      </c>
      <c r="J250" s="34" t="s">
        <v>1008</v>
      </c>
      <c r="K250" s="34" t="s">
        <v>558</v>
      </c>
      <c r="L250" s="34" t="s">
        <v>1040</v>
      </c>
      <c r="M250" s="34" t="s">
        <v>1041</v>
      </c>
      <c r="N250" t="s">
        <v>567</v>
      </c>
      <c r="O250" t="s">
        <v>560</v>
      </c>
      <c r="P250" t="s">
        <v>381</v>
      </c>
      <c r="R250" s="34" t="str">
        <f>IF(Tabella4[[#This Row],[Componente]]="Documenti",_xlfn.XLOOKUP(Tabella4[[#This Row],[URL]],Tabella27[URL],Tabella27[PDF ID],,0),_xlfn.XLOOKUP(Tabella4[[#This Row],[URL]],Tabella1[URL],Tabella1[Page ID],,0))</f>
        <v>#14</v>
      </c>
      <c r="S250" s="34" t="s">
        <v>1004</v>
      </c>
      <c r="T250" s="34" t="s">
        <v>556</v>
      </c>
      <c r="V250" t="s">
        <v>557</v>
      </c>
      <c r="W250" s="34" t="s">
        <v>1070</v>
      </c>
      <c r="X250" s="34" t="str">
        <f>IFERROR(IF(Tabella4[[#This Row],[Tool]]="lighthouse",Tabella4[[#This Row],[Detail]],MID(Tabella4[[#This Row],[Detail]],1,FIND("&gt;",Tabella4[[#This Row],[Detail]]))),Tabella4[[#This Row],[Detail]])</f>
        <v>&lt;ul&gt;</v>
      </c>
      <c r="Y250" s="34" t="str">
        <f>SUBSTITUTE(IF(Tabella4[[#This Row],[Tool]]="axe-core",MID(Tabella4[[#This Row],[Rejected Element]],3,LEN(Tabella4[[#This Row],[Rejected Element]])-4),Tabella4[[#This Row],[Rejected Element]]),"\","")</f>
        <v>body#page.Nessuno &gt; nav#skiplink:nth-of-type(1) &gt; ul:nth-of-type(1)</v>
      </c>
      <c r="Z250" s="34">
        <f>COUNTIFS(Tabella4[Detail univoco],Tabella4[[#This Row],[Detail univoco]],Tabella4[Rejected Element Univoco],Tabella4[[#This Row],[Rejected Element Univoco]],Tabella4[ItemsNodeLabel],Tabella4[[#This Row],[ItemsNodeLabel]])</f>
        <v>0</v>
      </c>
      <c r="AA250" s="34" t="str">
        <f>IF(Tabella4[[#This Row],[Componente]]="Documenti",VLOOKUP(Tabella4[[#This Row],[URL]],Tabella27[[URL]:[Servizio]],4,FALSE),VLOOKUP(Tabella4[[#This Row],[Page ID]],Tabella1[[Page ID]:[Servizio]],4,FALSE))</f>
        <v>S006 L'azienda</v>
      </c>
      <c r="AB250" s="34"/>
      <c r="AC250" s="34" t="str">
        <f>Tabella4[[#This Row],[User Impact]]</f>
        <v>3 - Moderate</v>
      </c>
      <c r="AD250" s="34" t="str">
        <f>Copertina!C$2&amp;" - "&amp;Tabella4[[#This Row],[UNI CEI EN 301549]]&amp;" "&amp;VLOOKUP(Tabella4[[#This Row],[Criterio]],Tabella5[[ID]:[Criterio di successo]],2,FALSE)&amp;" - "&amp;Tabella4[[#This Row],[Servizio]]&amp;":"</f>
        <v>Insurance Brocker - 9.1.3.1 Informazioni e correlazioni - S006 L'azienda:</v>
      </c>
      <c r="AE25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S006 L'azienda: (#TM0211)
S006 L'azienda
Requisito: WCAG 1.3.1
Disabilità afflitte: Blind;Deafblind
Impatto Utente: 3 - Moderate
Descrizione: Il contenuto non è una list, ma è contrassegnato come tale - Il contenuto non è una list, ma è contrassegnato come tale. [Ulteriori informazioni] (https://docs.deque.com/issue-help/1.0.0/en/semantic-list-used-for-presentation)
Esempio di violazione individuata sull'oggetto: 
https://posteinsurancebroker.poste.it/segnalazioni-anomalie/ - &lt;ul&gt; con selettore: 
["body#page.Nessuno &gt; nav#skiplink:nth-of-type(1) &gt; ul:nth-of-type(1)"]
Dettaglio + screenshot (accedere con le seguenti credenziali: user, axeposte@gmail.com; password, Poste2024!): 
Possibile metodologia risolutiva:
Usa elementi di lista come &lt;ul&gt;, &lt;ol&gt;, e &lt;li&gt; solo per contenuti che devono essere presentati in forma di elenco. Assicurati che le liste siano semanticamente corrette per evitare confusione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250">
        <f>_xlfn.XLOOKUP(Tabella4[[#This Row],[ID Silk]],outTable[ID Silk],outTable[Numero ticket  ],,0,1)</f>
        <v>5991</v>
      </c>
    </row>
    <row r="251" spans="1:32">
      <c r="A251" s="34" t="str">
        <f>MID(Tabella4[[#This Row],[Servizio]],1,4)&amp;Tabella4[[#This Row],[UNI CEI EN 301549]]</f>
        <v>S0039.2.5.3</v>
      </c>
      <c r="B251" s="34" t="str">
        <f>Tabella4[[#This Row],[ID Silk]]&amp;"_1"</f>
        <v>S0039.2.5.3_1</v>
      </c>
      <c r="C251" s="34" t="s">
        <v>992</v>
      </c>
      <c r="D251" s="2" t="str">
        <f>"(#"&amp;Tabella4[[#This Row],['#ID]]&amp;")"</f>
        <v>(#TM0212)</v>
      </c>
      <c r="E251" s="34" t="str">
        <f>IF(MID(Tabella4[[#This Row],['#ID]],1,1)="M","Mobile",IF(MID(Tabella4[[#This Row],['#ID]],1,1)="D","Desktop",IF(MID(Tabella4[[#This Row],['#ID]],1,2)="TM","Manuale","Documenti")))</f>
        <v>Manuale</v>
      </c>
      <c r="F251" s="34" t="s">
        <v>1005</v>
      </c>
      <c r="G251" s="34" t="s">
        <v>324</v>
      </c>
      <c r="H251" s="34" t="str">
        <f>IF(Tabella4[[#This Row],[Componente]]="Documenti","10.","9.")&amp;Tabella4[[#This Row],[Criterio]]</f>
        <v>9.2.5.3</v>
      </c>
      <c r="I251" s="34" t="s">
        <v>1023</v>
      </c>
      <c r="J251" s="34" t="s">
        <v>1024</v>
      </c>
      <c r="K251" s="34" t="s">
        <v>1025</v>
      </c>
      <c r="L251" s="34" t="s">
        <v>1026</v>
      </c>
      <c r="M251" s="34" t="s">
        <v>1027</v>
      </c>
      <c r="N251" t="s">
        <v>483</v>
      </c>
      <c r="O251" t="s">
        <v>485</v>
      </c>
      <c r="P251" t="s">
        <v>394</v>
      </c>
      <c r="R251" s="34" t="str">
        <f>IF(Tabella4[[#This Row],[Componente]]="Documenti",_xlfn.XLOOKUP(Tabella4[[#This Row],[URL]],Tabella27[URL],Tabella27[PDF ID],,0),_xlfn.XLOOKUP(Tabella4[[#This Row],[URL]],Tabella1[URL],Tabella1[Page ID],,0))</f>
        <v>#15</v>
      </c>
      <c r="S251" s="34" t="s">
        <v>1004</v>
      </c>
      <c r="T251" s="34" t="s">
        <v>481</v>
      </c>
      <c r="V251" t="s">
        <v>484</v>
      </c>
      <c r="W251" s="34" t="s">
        <v>1066</v>
      </c>
      <c r="X251" s="34" t="str">
        <f>IFERROR(IF(Tabella4[[#This Row],[Tool]]="lighthouse",Tabella4[[#This Row],[Detail]],MID(Tabella4[[#This Row],[Detail]],1,FIND("&gt;",Tabella4[[#This Row],[Detail]]))),Tabella4[[#This Row],[Detail]])</f>
        <v>&lt;button id="business-button-open" class="offcanvas-toggle pi-targetarea" aria-label="Business" type="button" aria-haspopup="true" aria-controls="menu-siti" aria-expanded="false"&gt;</v>
      </c>
      <c r="Y251" s="34" t="str">
        <f>SUBSTITUTE(IF(Tabella4[[#This Row],[Tool]]="axe-core",MID(Tabella4[[#This Row],[Rejected Element]],3,LEN(Tabella4[[#This Row],[Rejected Element]])-4),Tabella4[[#This Row],[Rejected Element]]),"\","")</f>
        <v>#business-button-open</v>
      </c>
      <c r="Z251" s="34">
        <f>COUNTIFS(Tabella4[Detail univoco],Tabella4[[#This Row],[Detail univoco]],Tabella4[Rejected Element Univoco],Tabella4[[#This Row],[Rejected Element Univoco]],Tabella4[ItemsNodeLabel],Tabella4[[#This Row],[ItemsNodeLabel]])</f>
        <v>0</v>
      </c>
      <c r="AA251" s="34" t="str">
        <f>IF(Tabella4[[#This Row],[Componente]]="Documenti",VLOOKUP(Tabella4[[#This Row],[URL]],Tabella27[[URL]:[Servizio]],4,FALSE),VLOOKUP(Tabella4[[#This Row],[Page ID]],Tabella1[[Page ID]:[Servizio]],4,FALSE))</f>
        <v>S003 Assistenza</v>
      </c>
      <c r="AB251" s="34"/>
      <c r="AC251" s="34" t="str">
        <f>Tabella4[[#This Row],[User Impact]]</f>
        <v>2 - Serious</v>
      </c>
      <c r="AD251" s="34" t="str">
        <f>Copertina!C$2&amp;" - "&amp;Tabella4[[#This Row],[UNI CEI EN 301549]]&amp;" "&amp;VLOOKUP(Tabella4[[#This Row],[Criterio]],Tabella5[[ID]:[Criterio di successo]],2,FALSE)&amp;" - "&amp;Tabella4[[#This Row],[Servizio]]&amp;":"</f>
        <v>Insurance Brocker - 9.2.5.3 Etichetta nel nome - S003 Assistenza:</v>
      </c>
      <c r="AE25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(#TM0212)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https://posteinsurancebroker.poste.it/sinistri/ - &lt;button id="business-button-open" class="offcanvas-toggle pi-targetarea" aria-label="Business" type="button" aria-haspopup="true" aria-controls="menu-siti" aria-expanded="false"&gt; con selettore: 
["#business-button-open"]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251">
        <f>_xlfn.XLOOKUP(Tabella4[[#This Row],[ID Silk]],outTable[ID Silk],outTable[Numero ticket  ],,0,1)</f>
        <v>5970</v>
      </c>
    </row>
    <row r="252" spans="1:32">
      <c r="A252" s="34" t="str">
        <f>MID(Tabella4[[#This Row],[Servizio]],1,4)&amp;Tabella4[[#This Row],[UNI CEI EN 301549]]</f>
        <v>S0039.2.5.3</v>
      </c>
      <c r="B252" s="34" t="str">
        <f>Tabella4[[#This Row],[ID Silk]]&amp;"_1"</f>
        <v>S0039.2.5.3_1</v>
      </c>
      <c r="C252" s="34" t="s">
        <v>993</v>
      </c>
      <c r="D252" s="2" t="str">
        <f>"(#"&amp;Tabella4[[#This Row],['#ID]]&amp;")"</f>
        <v>(#TM0213)</v>
      </c>
      <c r="E252" s="34" t="str">
        <f>IF(MID(Tabella4[[#This Row],['#ID]],1,1)="M","Mobile",IF(MID(Tabella4[[#This Row],['#ID]],1,1)="D","Desktop",IF(MID(Tabella4[[#This Row],['#ID]],1,2)="TM","Manuale","Documenti")))</f>
        <v>Manuale</v>
      </c>
      <c r="F252" s="34" t="s">
        <v>1005</v>
      </c>
      <c r="G252" s="34" t="s">
        <v>324</v>
      </c>
      <c r="H252" s="34" t="str">
        <f>IF(Tabella4[[#This Row],[Componente]]="Documenti","10.","9.")&amp;Tabella4[[#This Row],[Criterio]]</f>
        <v>9.2.5.3</v>
      </c>
      <c r="I252" s="34" t="s">
        <v>1023</v>
      </c>
      <c r="J252" s="34" t="s">
        <v>1024</v>
      </c>
      <c r="K252" s="34" t="s">
        <v>1025</v>
      </c>
      <c r="L252" s="34" t="s">
        <v>1026</v>
      </c>
      <c r="M252" s="34" t="s">
        <v>1027</v>
      </c>
      <c r="N252" t="s">
        <v>486</v>
      </c>
      <c r="O252" t="s">
        <v>487</v>
      </c>
      <c r="P252" t="s">
        <v>394</v>
      </c>
      <c r="R252" s="34" t="str">
        <f>IF(Tabella4[[#This Row],[Componente]]="Documenti",_xlfn.XLOOKUP(Tabella4[[#This Row],[URL]],Tabella27[URL],Tabella27[PDF ID],,0),_xlfn.XLOOKUP(Tabella4[[#This Row],[URL]],Tabella1[URL],Tabella1[Page ID],,0))</f>
        <v>#15</v>
      </c>
      <c r="S252" s="34" t="s">
        <v>1004</v>
      </c>
      <c r="T252" s="34" t="s">
        <v>481</v>
      </c>
      <c r="V252" t="s">
        <v>484</v>
      </c>
      <c r="W252" s="34" t="s">
        <v>1066</v>
      </c>
      <c r="X252" s="34" t="str">
        <f>IFERROR(IF(Tabella4[[#This Row],[Tool]]="lighthouse",Tabella4[[#This Row],[Detail]],MID(Tabella4[[#This Row],[Detail]],1,FIND("&gt;",Tabella4[[#This Row],[Detail]]))),Tabella4[[#This Row],[Detail]])</f>
        <v>&lt;button id="assistenza-cta" class="fedbar-object offcanvas-toggle" aria-label="assistenza" aria-controls="assistenza-side" aria-expanded="false" data-menu-pnl="assistenza-default-panel" aria-haspopup="true" title="Assistenza" data-activity-linkid="header-assistenza-btn"&gt;</v>
      </c>
      <c r="Y252" s="34" t="str">
        <f>SUBSTITUTE(IF(Tabella4[[#This Row],[Tool]]="axe-core",MID(Tabella4[[#This Row],[Rejected Element]],3,LEN(Tabella4[[#This Row],[Rejected Element]])-4),Tabella4[[#This Row],[Rejected Element]]),"\","")</f>
        <v>#assistenza-cta</v>
      </c>
      <c r="Z252" s="34">
        <f>COUNTIFS(Tabella4[Detail univoco],Tabella4[[#This Row],[Detail univoco]],Tabella4[Rejected Element Univoco],Tabella4[[#This Row],[Rejected Element Univoco]],Tabella4[ItemsNodeLabel],Tabella4[[#This Row],[ItemsNodeLabel]])</f>
        <v>0</v>
      </c>
      <c r="AA252" s="34" t="str">
        <f>IF(Tabella4[[#This Row],[Componente]]="Documenti",VLOOKUP(Tabella4[[#This Row],[URL]],Tabella27[[URL]:[Servizio]],4,FALSE),VLOOKUP(Tabella4[[#This Row],[Page ID]],Tabella1[[Page ID]:[Servizio]],4,FALSE))</f>
        <v>S003 Assistenza</v>
      </c>
      <c r="AB252" s="34"/>
      <c r="AC252" s="34" t="str">
        <f>Tabella4[[#This Row],[User Impact]]</f>
        <v>2 - Serious</v>
      </c>
      <c r="AD252" s="34" t="str">
        <f>Copertina!C$2&amp;" - "&amp;Tabella4[[#This Row],[UNI CEI EN 301549]]&amp;" "&amp;VLOOKUP(Tabella4[[#This Row],[Criterio]],Tabella5[[ID]:[Criterio di successo]],2,FALSE)&amp;" - "&amp;Tabella4[[#This Row],[Servizio]]&amp;":"</f>
        <v>Insurance Brocker - 9.2.5.3 Etichetta nel nome - S003 Assistenza:</v>
      </c>
      <c r="AE25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(#TM0213)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https://posteinsurancebroker.poste.it/sinistri/ - &lt;button id="assistenza-cta" class="fedbar-object offcanvas-toggle" aria-label="assistenza" aria-controls="assistenza-side" aria-expanded="false" data-menu-pnl="assistenza-default-panel" aria-haspopup="true" title="Assistenza" data-activity-linkid="header-assistenza-btn"&gt; con selettore: 
["#assistenza-cta"]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252">
        <f>_xlfn.XLOOKUP(Tabella4[[#This Row],[ID Silk]],outTable[ID Silk],outTable[Numero ticket  ],,0,1)</f>
        <v>5970</v>
      </c>
    </row>
    <row r="253" spans="1:32">
      <c r="A253" s="34" t="str">
        <f>MID(Tabella4[[#This Row],[Servizio]],1,4)&amp;Tabella4[[#This Row],[UNI CEI EN 301549]]</f>
        <v>S0039.2.5.3</v>
      </c>
      <c r="B253" s="34" t="str">
        <f>Tabella4[[#This Row],[ID Silk]]&amp;"_1"</f>
        <v>S0039.2.5.3_1</v>
      </c>
      <c r="C253" s="34" t="s">
        <v>994</v>
      </c>
      <c r="D253" s="2" t="str">
        <f>"(#"&amp;Tabella4[[#This Row],['#ID]]&amp;")"</f>
        <v>(#TM0214)</v>
      </c>
      <c r="E253" s="34" t="str">
        <f>IF(MID(Tabella4[[#This Row],['#ID]],1,1)="M","Mobile",IF(MID(Tabella4[[#This Row],['#ID]],1,1)="D","Desktop",IF(MID(Tabella4[[#This Row],['#ID]],1,2)="TM","Manuale","Documenti")))</f>
        <v>Manuale</v>
      </c>
      <c r="F253" s="34" t="s">
        <v>1005</v>
      </c>
      <c r="G253" s="34" t="s">
        <v>324</v>
      </c>
      <c r="H253" s="34" t="str">
        <f>IF(Tabella4[[#This Row],[Componente]]="Documenti","10.","9.")&amp;Tabella4[[#This Row],[Criterio]]</f>
        <v>9.2.5.3</v>
      </c>
      <c r="I253" s="34" t="s">
        <v>1023</v>
      </c>
      <c r="J253" s="34" t="s">
        <v>1024</v>
      </c>
      <c r="K253" s="34" t="s">
        <v>1025</v>
      </c>
      <c r="L253" s="34" t="s">
        <v>1026</v>
      </c>
      <c r="M253" s="34" t="s">
        <v>1027</v>
      </c>
      <c r="N253" t="s">
        <v>488</v>
      </c>
      <c r="O253" t="s">
        <v>489</v>
      </c>
      <c r="P253" t="s">
        <v>394</v>
      </c>
      <c r="R253" s="34" t="str">
        <f>IF(Tabella4[[#This Row],[Componente]]="Documenti",_xlfn.XLOOKUP(Tabella4[[#This Row],[URL]],Tabella27[URL],Tabella27[PDF ID],,0),_xlfn.XLOOKUP(Tabella4[[#This Row],[URL]],Tabella1[URL],Tabella1[Page ID],,0))</f>
        <v>#15</v>
      </c>
      <c r="S253" s="34" t="s">
        <v>1004</v>
      </c>
      <c r="T253" s="34" t="s">
        <v>481</v>
      </c>
      <c r="V253" t="s">
        <v>484</v>
      </c>
      <c r="W253" s="34" t="s">
        <v>1066</v>
      </c>
      <c r="X253" s="34" t="str">
        <f>IFERROR(IF(Tabella4[[#This Row],[Tool]]="lighthouse",Tabella4[[#This Row],[Detail]],MID(Tabella4[[#This Row],[Detail]],1,FIND("&gt;",Tabella4[[#This Row],[Detail]]))),Tabella4[[#This Row],[Detail]])</f>
        <v>&lt;button class="navbar-object offcanvas-toggle" id="mn-ctrl" type="button" aria-haspopup="true" aria-controls="menu-navigazione" aria-expanded="false" aria-label="Apre il menu di navigazione" data-activity-linkid="Btn Menu Mobile"&gt;</v>
      </c>
      <c r="Y253" s="34" t="str">
        <f>SUBSTITUTE(IF(Tabella4[[#This Row],[Tool]]="axe-core",MID(Tabella4[[#This Row],[Rejected Element]],3,LEN(Tabella4[[#This Row],[Rejected Element]])-4),Tabella4[[#This Row],[Rejected Element]]),"\","")</f>
        <v>#mn-ctrl</v>
      </c>
      <c r="Z253" s="34">
        <f>COUNTIFS(Tabella4[Detail univoco],Tabella4[[#This Row],[Detail univoco]],Tabella4[Rejected Element Univoco],Tabella4[[#This Row],[Rejected Element Univoco]],Tabella4[ItemsNodeLabel],Tabella4[[#This Row],[ItemsNodeLabel]])</f>
        <v>0</v>
      </c>
      <c r="AA253" s="34" t="str">
        <f>IF(Tabella4[[#This Row],[Componente]]="Documenti",VLOOKUP(Tabella4[[#This Row],[URL]],Tabella27[[URL]:[Servizio]],4,FALSE),VLOOKUP(Tabella4[[#This Row],[Page ID]],Tabella1[[Page ID]:[Servizio]],4,FALSE))</f>
        <v>S003 Assistenza</v>
      </c>
      <c r="AB253" s="34"/>
      <c r="AC253" s="34" t="str">
        <f>Tabella4[[#This Row],[User Impact]]</f>
        <v>2 - Serious</v>
      </c>
      <c r="AD253" s="34" t="str">
        <f>Copertina!C$2&amp;" - "&amp;Tabella4[[#This Row],[UNI CEI EN 301549]]&amp;" "&amp;VLOOKUP(Tabella4[[#This Row],[Criterio]],Tabella5[[ID]:[Criterio di successo]],2,FALSE)&amp;" - "&amp;Tabella4[[#This Row],[Servizio]]&amp;":"</f>
        <v>Insurance Brocker - 9.2.5.3 Etichetta nel nome - S003 Assistenza:</v>
      </c>
      <c r="AE25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S003 Assistenza: (#TM0214)
S003 Assistenza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https://posteinsurancebroker.poste.it/sinistri/ - &lt;button class="navbar-object offcanvas-toggle" id="mn-ctrl" type="button" aria-haspopup="true" aria-controls="menu-navigazione" aria-expanded="false" aria-label="Apre il menu di navigazione" data-activity-linkid="Btn Menu Mobile"&gt; con selettore: 
["#mn-ctrl"]
Dettaglio + screenshot (accedere con le seguenti credenziali: user, axeposte@gmail.com; password, Poste2024!): 
Possibile metodologia risolutiva:
Correggi uno dei seguenti problemi:
Il testo all'interno dell'elemento non è incluso nel nome accessibile
File di log (occorrenze rilevate: 15):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253">
        <f>_xlfn.XLOOKUP(Tabella4[[#This Row],[ID Silk]],outTable[ID Silk],outTable[Numero ticket  ],,0,1)</f>
        <v>5970</v>
      </c>
    </row>
    <row r="254" spans="1:32">
      <c r="A254" s="34" t="str">
        <f>MID(Tabella4[[#This Row],[Servizio]],1,4)&amp;Tabella4[[#This Row],[UNI CEI EN 301549]]</f>
        <v>S0039.1.4.3</v>
      </c>
      <c r="B254" s="34" t="str">
        <f>Tabella4[[#This Row],[ID Silk]]&amp;"_1"</f>
        <v>S0039.1.4.3_1</v>
      </c>
      <c r="C254" s="34" t="s">
        <v>995</v>
      </c>
      <c r="D254" s="2" t="str">
        <f>"(#"&amp;Tabella4[[#This Row],['#ID]]&amp;")"</f>
        <v>(#TM0215)</v>
      </c>
      <c r="E254" s="34" t="str">
        <f>IF(MID(Tabella4[[#This Row],['#ID]],1,1)="M","Mobile",IF(MID(Tabella4[[#This Row],['#ID]],1,1)="D","Desktop",IF(MID(Tabella4[[#This Row],['#ID]],1,2)="TM","Manuale","Documenti")))</f>
        <v>Manuale</v>
      </c>
      <c r="F254" s="34" t="s">
        <v>1006</v>
      </c>
      <c r="G254" s="34" t="s">
        <v>228</v>
      </c>
      <c r="H254" s="34" t="str">
        <f>IF(Tabella4[[#This Row],[Componente]]="Documenti","10.","9.")&amp;Tabella4[[#This Row],[Criterio]]</f>
        <v>9.1.4.3</v>
      </c>
      <c r="I254" s="34" t="s">
        <v>1023</v>
      </c>
      <c r="J254" s="34" t="s">
        <v>1037</v>
      </c>
      <c r="K254" s="34" t="s">
        <v>549</v>
      </c>
      <c r="L254" s="34" t="s">
        <v>1038</v>
      </c>
      <c r="M254" s="34" t="s">
        <v>1039</v>
      </c>
      <c r="N254" t="s">
        <v>565</v>
      </c>
      <c r="O254" t="s">
        <v>551</v>
      </c>
      <c r="P254" t="s">
        <v>394</v>
      </c>
      <c r="R254" s="34" t="str">
        <f>IF(Tabella4[[#This Row],[Componente]]="Documenti",_xlfn.XLOOKUP(Tabella4[[#This Row],[URL]],Tabella27[URL],Tabella27[PDF ID],,0),_xlfn.XLOOKUP(Tabella4[[#This Row],[URL]],Tabella1[URL],Tabella1[Page ID],,0))</f>
        <v>#15</v>
      </c>
      <c r="S254" s="34" t="s">
        <v>1004</v>
      </c>
      <c r="T254" s="34" t="s">
        <v>547</v>
      </c>
      <c r="V254" t="s">
        <v>548</v>
      </c>
      <c r="W254" s="34" t="s">
        <v>1069</v>
      </c>
      <c r="X254" s="34" t="str">
        <f>IFERROR(IF(Tabella4[[#This Row],[Tool]]="lighthouse",Tabella4[[#This Row],[Detail]],MID(Tabella4[[#This Row],[Detail]],1,FIND("&gt;",Tabella4[[#This Row],[Detail]]))),Tabella4[[#This Row],[Detail]])</f>
        <v>&lt;a tabindex="0" class="skip-link sr-only-focusable-abs" href="#accessibility-anchor"&gt;</v>
      </c>
      <c r="Y254" s="34" t="str">
        <f>SUBSTITUTE(IF(Tabella4[[#This Row],[Tool]]="axe-core",MID(Tabella4[[#This Row],[Rejected Element]],3,LEN(Tabella4[[#This Row],[Rejected Element]])-4),Tabella4[[#This Row],[Rejected Element]]),"\","")</f>
        <v>body#page.Nessuno &gt; nav#skiplink:nth-of-type(1) &gt; ul:nth-of-type(1) &gt; li:nth-of-type(1) &gt; a.skip-link.sr-only-focusable-abs:nth-of-type(1)</v>
      </c>
      <c r="Z254" s="34">
        <f>COUNTIFS(Tabella4[Detail univoco],Tabella4[[#This Row],[Detail univoco]],Tabella4[Rejected Element Univoco],Tabella4[[#This Row],[Rejected Element Univoco]],Tabella4[ItemsNodeLabel],Tabella4[[#This Row],[ItemsNodeLabel]])</f>
        <v>0</v>
      </c>
      <c r="AA254" s="34" t="str">
        <f>IF(Tabella4[[#This Row],[Componente]]="Documenti",VLOOKUP(Tabella4[[#This Row],[URL]],Tabella27[[URL]:[Servizio]],4,FALSE),VLOOKUP(Tabella4[[#This Row],[Page ID]],Tabella1[[Page ID]:[Servizio]],4,FALSE))</f>
        <v>S003 Assistenza</v>
      </c>
      <c r="AB254" s="34"/>
      <c r="AC254" s="34" t="str">
        <f>Tabella4[[#This Row],[User Impact]]</f>
        <v>2 - Serious</v>
      </c>
      <c r="AD254" s="34" t="str">
        <f>Copertina!C$2&amp;" - "&amp;Tabella4[[#This Row],[UNI CEI EN 301549]]&amp;" "&amp;VLOOKUP(Tabella4[[#This Row],[Criterio]],Tabella5[[ID]:[Criterio di successo]],2,FALSE)&amp;" - "&amp;Tabella4[[#This Row],[Servizio]]&amp;":"</f>
        <v>Insurance Brocker - 9.1.4.3 Contrasto (minimo) - S003 Assistenza:</v>
      </c>
      <c r="AE25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(#TM0215)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https://posteinsurancebroker.poste.it/sinistri/ - &lt;a tabindex="0" class="skip-link sr-only-focusable-abs" href="#accessibility-anchor"&gt;Passa al contenuto principale&lt;/a&gt; con selettore: 
["body#page.Nessuno &gt; nav#skiplink:nth-of-type(1) &gt; ul:nth-of-type(1) &gt; li:nth-of-type(1)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54">
        <f>_xlfn.XLOOKUP(Tabella4[[#This Row],[ID Silk]],outTable[ID Silk],outTable[Numero ticket  ],,0,1)</f>
        <v>5967</v>
      </c>
    </row>
    <row r="255" spans="1:32">
      <c r="A255" s="34" t="str">
        <f>MID(Tabella4[[#This Row],[Servizio]],1,4)&amp;Tabella4[[#This Row],[UNI CEI EN 301549]]</f>
        <v>S0039.1.4.3</v>
      </c>
      <c r="B255" s="34" t="str">
        <f>Tabella4[[#This Row],[ID Silk]]&amp;"_1"</f>
        <v>S0039.1.4.3_1</v>
      </c>
      <c r="C255" s="34" t="s">
        <v>996</v>
      </c>
      <c r="D255" s="2" t="str">
        <f>"(#"&amp;Tabella4[[#This Row],['#ID]]&amp;")"</f>
        <v>(#TM0216)</v>
      </c>
      <c r="E255" s="34" t="str">
        <f>IF(MID(Tabella4[[#This Row],['#ID]],1,1)="M","Mobile",IF(MID(Tabella4[[#This Row],['#ID]],1,1)="D","Desktop",IF(MID(Tabella4[[#This Row],['#ID]],1,2)="TM","Manuale","Documenti")))</f>
        <v>Manuale</v>
      </c>
      <c r="F255" s="34" t="s">
        <v>1006</v>
      </c>
      <c r="G255" s="34" t="s">
        <v>228</v>
      </c>
      <c r="H255" s="34" t="str">
        <f>IF(Tabella4[[#This Row],[Componente]]="Documenti","10.","9.")&amp;Tabella4[[#This Row],[Criterio]]</f>
        <v>9.1.4.3</v>
      </c>
      <c r="I255" s="34" t="s">
        <v>1023</v>
      </c>
      <c r="J255" s="34" t="s">
        <v>1037</v>
      </c>
      <c r="K255" s="34" t="s">
        <v>549</v>
      </c>
      <c r="L255" s="34" t="s">
        <v>1038</v>
      </c>
      <c r="M255" s="34" t="s">
        <v>1039</v>
      </c>
      <c r="N255" t="s">
        <v>566</v>
      </c>
      <c r="O255" t="s">
        <v>553</v>
      </c>
      <c r="P255" t="s">
        <v>394</v>
      </c>
      <c r="R255" s="34" t="str">
        <f>IF(Tabella4[[#This Row],[Componente]]="Documenti",_xlfn.XLOOKUP(Tabella4[[#This Row],[URL]],Tabella27[URL],Tabella27[PDF ID],,0),_xlfn.XLOOKUP(Tabella4[[#This Row],[URL]],Tabella1[URL],Tabella1[Page ID],,0))</f>
        <v>#15</v>
      </c>
      <c r="S255" s="34" t="s">
        <v>1004</v>
      </c>
      <c r="T255" s="34" t="s">
        <v>547</v>
      </c>
      <c r="V255" t="s">
        <v>548</v>
      </c>
      <c r="W255" s="34" t="s">
        <v>1069</v>
      </c>
      <c r="X255" s="34" t="str">
        <f>IFERROR(IF(Tabella4[[#This Row],[Tool]]="lighthouse",Tabella4[[#This Row],[Detail]],MID(Tabella4[[#This Row],[Detail]],1,FIND("&gt;",Tabella4[[#This Row],[Detail]]))),Tabella4[[#This Row],[Detail]])</f>
        <v>&lt;a class="skip-link sr-only-focusable-abs" href="#footer"&gt;</v>
      </c>
      <c r="Y255" s="34" t="str">
        <f>SUBSTITUTE(IF(Tabella4[[#This Row],[Tool]]="axe-core",MID(Tabella4[[#This Row],[Rejected Element]],3,LEN(Tabella4[[#This Row],[Rejected Element]])-4),Tabella4[[#This Row],[Rejected Element]]),"\","")</f>
        <v>body#page.Nessuno &gt; nav#skiplink:nth-of-type(1) &gt; ul:nth-of-type(1) &gt; li:nth-of-type(3) &gt; a.skip-link.sr-only-focusable-abs:nth-of-type(1)</v>
      </c>
      <c r="Z255" s="34">
        <f>COUNTIFS(Tabella4[Detail univoco],Tabella4[[#This Row],[Detail univoco]],Tabella4[Rejected Element Univoco],Tabella4[[#This Row],[Rejected Element Univoco]],Tabella4[ItemsNodeLabel],Tabella4[[#This Row],[ItemsNodeLabel]])</f>
        <v>0</v>
      </c>
      <c r="AA255" s="34" t="str">
        <f>IF(Tabella4[[#This Row],[Componente]]="Documenti",VLOOKUP(Tabella4[[#This Row],[URL]],Tabella27[[URL]:[Servizio]],4,FALSE),VLOOKUP(Tabella4[[#This Row],[Page ID]],Tabella1[[Page ID]:[Servizio]],4,FALSE))</f>
        <v>S003 Assistenza</v>
      </c>
      <c r="AB255" s="34"/>
      <c r="AC255" s="34" t="str">
        <f>Tabella4[[#This Row],[User Impact]]</f>
        <v>2 - Serious</v>
      </c>
      <c r="AD255" s="34" t="str">
        <f>Copertina!C$2&amp;" - "&amp;Tabella4[[#This Row],[UNI CEI EN 301549]]&amp;" "&amp;VLOOKUP(Tabella4[[#This Row],[Criterio]],Tabella5[[ID]:[Criterio di successo]],2,FALSE)&amp;" - "&amp;Tabella4[[#This Row],[Servizio]]&amp;":"</f>
        <v>Insurance Brocker - 9.1.4.3 Contrasto (minimo) - S003 Assistenza:</v>
      </c>
      <c r="AE25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(#TM0216)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https://posteinsurancebroker.poste.it/sinistri/ - &lt;a class="skip-link sr-only-focusable-abs" href="#footer"&gt;Passa al footer di pagina&lt;/a&gt; con selettore: 
["body#page.Nessuno &gt; nav#skiplink:nth-of-type(1) &gt; ul:nth-of-type(1) &gt; li:nth-of-type(3) &gt; a.skip-link.sr-only-focusable-abs:nth-of-type(1)"]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55">
        <f>_xlfn.XLOOKUP(Tabella4[[#This Row],[ID Silk]],outTable[ID Silk],outTable[Numero ticket  ],,0,1)</f>
        <v>5967</v>
      </c>
    </row>
    <row r="256" spans="1:32">
      <c r="A256" s="34" t="str">
        <f>MID(Tabella4[[#This Row],[Servizio]],1,4)&amp;Tabella4[[#This Row],[UNI CEI EN 301549]]</f>
        <v>S0039.1.4.3</v>
      </c>
      <c r="B256" s="34" t="str">
        <f>Tabella4[[#This Row],[ID Silk]]&amp;"_1"</f>
        <v>S0039.1.4.3_1</v>
      </c>
      <c r="C256" s="34" t="s">
        <v>997</v>
      </c>
      <c r="D256" s="2" t="str">
        <f>"(#"&amp;Tabella4[[#This Row],['#ID]]&amp;")"</f>
        <v>(#TM0217)</v>
      </c>
      <c r="E256" s="34" t="str">
        <f>IF(MID(Tabella4[[#This Row],['#ID]],1,1)="M","Mobile",IF(MID(Tabella4[[#This Row],['#ID]],1,1)="D","Desktop",IF(MID(Tabella4[[#This Row],['#ID]],1,2)="TM","Manuale","Documenti")))</f>
        <v>Manuale</v>
      </c>
      <c r="F256" s="34" t="s">
        <v>1006</v>
      </c>
      <c r="G256" s="34" t="s">
        <v>228</v>
      </c>
      <c r="H256" s="34" t="str">
        <f>IF(Tabella4[[#This Row],[Componente]]="Documenti","10.","9.")&amp;Tabella4[[#This Row],[Criterio]]</f>
        <v>9.1.4.3</v>
      </c>
      <c r="I256" s="34" t="s">
        <v>1023</v>
      </c>
      <c r="J256" s="34" t="s">
        <v>1037</v>
      </c>
      <c r="K256" s="34" t="s">
        <v>549</v>
      </c>
      <c r="L256" s="34" t="s">
        <v>1038</v>
      </c>
      <c r="M256" s="34" t="s">
        <v>1039</v>
      </c>
      <c r="N256" t="s">
        <v>769</v>
      </c>
      <c r="O256" t="s">
        <v>770</v>
      </c>
      <c r="P256" t="s">
        <v>394</v>
      </c>
      <c r="R256" s="34" t="str">
        <f>IF(Tabella4[[#This Row],[Componente]]="Documenti",_xlfn.XLOOKUP(Tabella4[[#This Row],[URL]],Tabella27[URL],Tabella27[PDF ID],,0),_xlfn.XLOOKUP(Tabella4[[#This Row],[URL]],Tabella1[URL],Tabella1[Page ID],,0))</f>
        <v>#15</v>
      </c>
      <c r="S256" s="34" t="s">
        <v>1004</v>
      </c>
      <c r="T256" s="34" t="s">
        <v>547</v>
      </c>
      <c r="V256" t="s">
        <v>548</v>
      </c>
      <c r="W256" s="34" t="s">
        <v>1069</v>
      </c>
      <c r="X256" s="34" t="str">
        <f>IFERROR(IF(Tabella4[[#This Row],[Tool]]="lighthouse",Tabella4[[#This Row],[Detail]],MID(Tabella4[[#This Row],[Detail]],1,FIND("&gt;",Tabella4[[#This Row],[Detail]]))),Tabella4[[#This Row],[Detail]])</f>
        <v>&lt;a title="Chiama il numero 800 888 999" href="tel:800888999" data-activity-linkid="link-800 888 999"&gt;</v>
      </c>
      <c r="Y256" s="34" t="str">
        <f>SUBSTITUTE(IF(Tabella4[[#This Row],[Tool]]="axe-core",MID(Tabella4[[#This Row],[Rejected Element]],3,LEN(Tabella4[[#This Row],[Rejected Element]])-4),Tabella4[[#This Row],[Rejected Element]]),"\","")</f>
        <v>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a:nth-of-type(1)</v>
      </c>
      <c r="Z256" s="34">
        <f>COUNTIFS(Tabella4[Detail univoco],Tabella4[[#This Row],[Detail univoco]],Tabella4[Rejected Element Univoco],Tabella4[[#This Row],[Rejected Element Univoco]],Tabella4[ItemsNodeLabel],Tabella4[[#This Row],[ItemsNodeLabel]])</f>
        <v>0</v>
      </c>
      <c r="AA256" s="34" t="str">
        <f>IF(Tabella4[[#This Row],[Componente]]="Documenti",VLOOKUP(Tabella4[[#This Row],[URL]],Tabella27[[URL]:[Servizio]],4,FALSE),VLOOKUP(Tabella4[[#This Row],[Page ID]],Tabella1[[Page ID]:[Servizio]],4,FALSE))</f>
        <v>S003 Assistenza</v>
      </c>
      <c r="AB256" s="34"/>
      <c r="AC256" s="34" t="str">
        <f>Tabella4[[#This Row],[User Impact]]</f>
        <v>2 - Serious</v>
      </c>
      <c r="AD256" s="34" t="str">
        <f>Copertina!C$2&amp;" - "&amp;Tabella4[[#This Row],[UNI CEI EN 301549]]&amp;" "&amp;VLOOKUP(Tabella4[[#This Row],[Criterio]],Tabella5[[ID]:[Criterio di successo]],2,FALSE)&amp;" - "&amp;Tabella4[[#This Row],[Servizio]]&amp;":"</f>
        <v>Insurance Brocker - 9.1.4.3 Contrasto (minimo) - S003 Assistenza:</v>
      </c>
      <c r="AE25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(#TM0217)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https://posteinsurancebroker.poste.it/sinistri/ - &lt;a title="Chiama il numero 800 888 999" href="tel:800888999" data-activity-linkid="link-800 888 999"&gt;800 888 999&lt;/a&gt; con selettore: 
["body#page.Nessuno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56">
        <f>_xlfn.XLOOKUP(Tabella4[[#This Row],[ID Silk]],outTable[ID Silk],outTable[Numero ticket  ],,0,1)</f>
        <v>5967</v>
      </c>
    </row>
    <row r="257" spans="1:32">
      <c r="A257" s="34" t="str">
        <f>MID(Tabella4[[#This Row],[Servizio]],1,4)&amp;Tabella4[[#This Row],[UNI CEI EN 301549]]</f>
        <v>S0039.1.4.3</v>
      </c>
      <c r="B257" s="34" t="str">
        <f>Tabella4[[#This Row],[ID Silk]]&amp;"_1"</f>
        <v>S0039.1.4.3_1</v>
      </c>
      <c r="C257" s="34" t="s">
        <v>998</v>
      </c>
      <c r="D257" s="2" t="str">
        <f>"(#"&amp;Tabella4[[#This Row],['#ID]]&amp;")"</f>
        <v>(#TM0218)</v>
      </c>
      <c r="E257" s="34" t="str">
        <f>IF(MID(Tabella4[[#This Row],['#ID]],1,1)="M","Mobile",IF(MID(Tabella4[[#This Row],['#ID]],1,1)="D","Desktop",IF(MID(Tabella4[[#This Row],['#ID]],1,2)="TM","Manuale","Documenti")))</f>
        <v>Manuale</v>
      </c>
      <c r="F257" s="34" t="s">
        <v>1006</v>
      </c>
      <c r="G257" s="34" t="s">
        <v>228</v>
      </c>
      <c r="H257" s="34" t="str">
        <f>IF(Tabella4[[#This Row],[Componente]]="Documenti","10.","9.")&amp;Tabella4[[#This Row],[Criterio]]</f>
        <v>9.1.4.3</v>
      </c>
      <c r="I257" s="34" t="s">
        <v>1023</v>
      </c>
      <c r="J257" s="34" t="s">
        <v>1037</v>
      </c>
      <c r="K257" s="34" t="s">
        <v>549</v>
      </c>
      <c r="L257" s="34" t="s">
        <v>1038</v>
      </c>
      <c r="M257" s="34" t="s">
        <v>1039</v>
      </c>
      <c r="N257" t="s">
        <v>771</v>
      </c>
      <c r="O257" t="s">
        <v>772</v>
      </c>
      <c r="P257" t="s">
        <v>394</v>
      </c>
      <c r="R257" s="34" t="str">
        <f>IF(Tabella4[[#This Row],[Componente]]="Documenti",_xlfn.XLOOKUP(Tabella4[[#This Row],[URL]],Tabella27[URL],Tabella27[PDF ID],,0),_xlfn.XLOOKUP(Tabella4[[#This Row],[URL]],Tabella1[URL],Tabella1[Page ID],,0))</f>
        <v>#15</v>
      </c>
      <c r="S257" s="34" t="s">
        <v>1004</v>
      </c>
      <c r="T257" s="34" t="s">
        <v>547</v>
      </c>
      <c r="V257" t="s">
        <v>548</v>
      </c>
      <c r="W257" s="34" t="s">
        <v>1069</v>
      </c>
      <c r="X257" s="34" t="str">
        <f>IFERROR(IF(Tabella4[[#This Row],[Tool]]="lighthouse",Tabella4[[#This Row],[Detail]],MID(Tabella4[[#This Row],[Detail]],1,FIND("&gt;",Tabella4[[#This Row],[Detail]]))),Tabella4[[#This Row],[Detail]])</f>
        <v>&lt;a title="Chiama il numero +39 011 65 23 250" href="tel:+390116523250" data-activity-linkid="link-+39 011 65 23 250"&gt;</v>
      </c>
      <c r="Y257" s="34" t="str">
        <f>SUBSTITUTE(IF(Tabella4[[#This Row],[Tool]]="axe-core",MID(Tabella4[[#This Row],[Rejected Element]],3,LEN(Tabella4[[#This Row],[Rejected Element]])-4),Tabella4[[#This Row],[Rejected Element]]),"\","")</f>
        <v>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a:nth-of-type(2)</v>
      </c>
      <c r="Z257" s="34">
        <f>COUNTIFS(Tabella4[Detail univoco],Tabella4[[#This Row],[Detail univoco]],Tabella4[Rejected Element Univoco],Tabella4[[#This Row],[Rejected Element Univoco]],Tabella4[ItemsNodeLabel],Tabella4[[#This Row],[ItemsNodeLabel]])</f>
        <v>0</v>
      </c>
      <c r="AA257" s="34" t="str">
        <f>IF(Tabella4[[#This Row],[Componente]]="Documenti",VLOOKUP(Tabella4[[#This Row],[URL]],Tabella27[[URL]:[Servizio]],4,FALSE),VLOOKUP(Tabella4[[#This Row],[Page ID]],Tabella1[[Page ID]:[Servizio]],4,FALSE))</f>
        <v>S003 Assistenza</v>
      </c>
      <c r="AB257" s="34"/>
      <c r="AC257" s="34" t="str">
        <f>Tabella4[[#This Row],[User Impact]]</f>
        <v>2 - Serious</v>
      </c>
      <c r="AD257" s="34" t="str">
        <f>Copertina!C$2&amp;" - "&amp;Tabella4[[#This Row],[UNI CEI EN 301549]]&amp;" "&amp;VLOOKUP(Tabella4[[#This Row],[Criterio]],Tabella5[[ID]:[Criterio di successo]],2,FALSE)&amp;" - "&amp;Tabella4[[#This Row],[Servizio]]&amp;":"</f>
        <v>Insurance Brocker - 9.1.4.3 Contrasto (minimo) - S003 Assistenza:</v>
      </c>
      <c r="AE25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(#TM0218)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https://posteinsurancebroker.poste.it/sinistri/ - &lt;a title="Chiama il numero +39 011 65 23 250" href="tel:+390116523250" data-activity-linkid="link-+39 011 65 23 250"&gt;+39 011 65 23 250&lt;/a&gt; con selettore: 
["body#page.Nessuno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a:nth-of-type(2)"]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57">
        <f>_xlfn.XLOOKUP(Tabella4[[#This Row],[ID Silk]],outTable[ID Silk],outTable[Numero ticket  ],,0,1)</f>
        <v>5967</v>
      </c>
    </row>
    <row r="258" spans="1:32">
      <c r="A258" s="34" t="str">
        <f>MID(Tabella4[[#This Row],[Servizio]],1,4)&amp;Tabella4[[#This Row],[UNI CEI EN 301549]]</f>
        <v>S0039.1.4.3</v>
      </c>
      <c r="B258" s="34" t="str">
        <f>Tabella4[[#This Row],[ID Silk]]&amp;"_1"</f>
        <v>S0039.1.4.3_1</v>
      </c>
      <c r="C258" s="34" t="s">
        <v>999</v>
      </c>
      <c r="D258" s="2" t="str">
        <f>"(#"&amp;Tabella4[[#This Row],['#ID]]&amp;")"</f>
        <v>(#TM0219)</v>
      </c>
      <c r="E258" s="34" t="str">
        <f>IF(MID(Tabella4[[#This Row],['#ID]],1,1)="M","Mobile",IF(MID(Tabella4[[#This Row],['#ID]],1,1)="D","Desktop",IF(MID(Tabella4[[#This Row],['#ID]],1,2)="TM","Manuale","Documenti")))</f>
        <v>Manuale</v>
      </c>
      <c r="F258" s="34" t="s">
        <v>1006</v>
      </c>
      <c r="G258" s="34" t="s">
        <v>228</v>
      </c>
      <c r="H258" s="34" t="str">
        <f>IF(Tabella4[[#This Row],[Componente]]="Documenti","10.","9.")&amp;Tabella4[[#This Row],[Criterio]]</f>
        <v>9.1.4.3</v>
      </c>
      <c r="I258" s="34" t="s">
        <v>1023</v>
      </c>
      <c r="J258" s="34" t="s">
        <v>1037</v>
      </c>
      <c r="K258" s="34" t="s">
        <v>549</v>
      </c>
      <c r="L258" s="34" t="s">
        <v>1038</v>
      </c>
      <c r="M258" s="34" t="s">
        <v>1039</v>
      </c>
      <c r="N258" t="s">
        <v>773</v>
      </c>
      <c r="O258" t="s">
        <v>774</v>
      </c>
      <c r="P258" t="s">
        <v>394</v>
      </c>
      <c r="R258" s="34" t="str">
        <f>IF(Tabella4[[#This Row],[Componente]]="Documenti",_xlfn.XLOOKUP(Tabella4[[#This Row],[URL]],Tabella27[URL],Tabella27[PDF ID],,0),_xlfn.XLOOKUP(Tabella4[[#This Row],[URL]],Tabella1[URL],Tabella1[Page ID],,0))</f>
        <v>#15</v>
      </c>
      <c r="S258" s="34" t="s">
        <v>1004</v>
      </c>
      <c r="T258" s="34" t="s">
        <v>547</v>
      </c>
      <c r="V258" t="s">
        <v>548</v>
      </c>
      <c r="W258" s="34" t="s">
        <v>1069</v>
      </c>
      <c r="X258" s="34" t="str">
        <f>IFERROR(IF(Tabella4[[#This Row],[Tool]]="lighthouse",Tabella4[[#This Row],[Detail]],MID(Tabella4[[#This Row],[Detail]],1,FIND("&gt;",Tabella4[[#This Row],[Detail]]))),Tabella4[[#This Row],[Detail]])</f>
        <v>&lt;a title="Scrivi al seguente indirizzo sinistriposte@linear.it " href="mailto:sinistriposte@linear.it" target="_self" data-activity-linkid="link-sinistriposte@linear.it"&gt;</v>
      </c>
      <c r="Y258" s="34" t="str">
        <f>SUBSTITUTE(IF(Tabella4[[#This Row],[Tool]]="axe-core",MID(Tabella4[[#This Row],[Rejected Element]],3,LEN(Tabella4[[#This Row],[Rejected Element]])-4),Tabella4[[#This Row],[Rejected Element]]),"\","")</f>
        <v>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div:nth-of-type(2) &gt; p:nth-of-type(1) &gt; a:nth-of-type(1)</v>
      </c>
      <c r="Z258" s="34">
        <f>COUNTIFS(Tabella4[Detail univoco],Tabella4[[#This Row],[Detail univoco]],Tabella4[Rejected Element Univoco],Tabella4[[#This Row],[Rejected Element Univoco]],Tabella4[ItemsNodeLabel],Tabella4[[#This Row],[ItemsNodeLabel]])</f>
        <v>0</v>
      </c>
      <c r="AA258" s="34" t="str">
        <f>IF(Tabella4[[#This Row],[Componente]]="Documenti",VLOOKUP(Tabella4[[#This Row],[URL]],Tabella27[[URL]:[Servizio]],4,FALSE),VLOOKUP(Tabella4[[#This Row],[Page ID]],Tabella1[[Page ID]:[Servizio]],4,FALSE))</f>
        <v>S003 Assistenza</v>
      </c>
      <c r="AB258" s="34"/>
      <c r="AC258" s="34" t="str">
        <f>Tabella4[[#This Row],[User Impact]]</f>
        <v>2 - Serious</v>
      </c>
      <c r="AD258" s="34" t="str">
        <f>Copertina!C$2&amp;" - "&amp;Tabella4[[#This Row],[UNI CEI EN 301549]]&amp;" "&amp;VLOOKUP(Tabella4[[#This Row],[Criterio]],Tabella5[[ID]:[Criterio di successo]],2,FALSE)&amp;" - "&amp;Tabella4[[#This Row],[Servizio]]&amp;":"</f>
        <v>Insurance Brocker - 9.1.4.3 Contrasto (minimo) - S003 Assistenza:</v>
      </c>
      <c r="AE25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(#TM0219)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https://posteinsurancebroker.poste.it/sinistri/ - &lt;a title="Scrivi al seguente indirizzo sinistriposte@linear.it " href="mailto:sinistriposte@linear.it" target="_self" data-activity-linkid="link-sinistriposte@linear.it"&gt;sinistriposte@linear.it&lt;/a&gt; con selettore: 
["body#page.Nessuno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div:nth-of-type(2) &gt; p:nth-of-type(1)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58">
        <f>_xlfn.XLOOKUP(Tabella4[[#This Row],[ID Silk]],outTable[ID Silk],outTable[Numero ticket  ],,0,1)</f>
        <v>5967</v>
      </c>
    </row>
    <row r="259" spans="1:32">
      <c r="A259" s="34" t="str">
        <f>MID(Tabella4[[#This Row],[Servizio]],1,4)&amp;Tabella4[[#This Row],[UNI CEI EN 301549]]</f>
        <v>S0039.1.4.3</v>
      </c>
      <c r="B259" s="34" t="str">
        <f>Tabella4[[#This Row],[ID Silk]]&amp;"_1"</f>
        <v>S0039.1.4.3_1</v>
      </c>
      <c r="C259" s="34" t="s">
        <v>1000</v>
      </c>
      <c r="D259" s="2" t="str">
        <f>"(#"&amp;Tabella4[[#This Row],['#ID]]&amp;")"</f>
        <v>(#TM0220)</v>
      </c>
      <c r="E259" s="34" t="str">
        <f>IF(MID(Tabella4[[#This Row],['#ID]],1,1)="M","Mobile",IF(MID(Tabella4[[#This Row],['#ID]],1,1)="D","Desktop",IF(MID(Tabella4[[#This Row],['#ID]],1,2)="TM","Manuale","Documenti")))</f>
        <v>Manuale</v>
      </c>
      <c r="F259" s="34" t="s">
        <v>1006</v>
      </c>
      <c r="G259" s="34" t="s">
        <v>228</v>
      </c>
      <c r="H259" s="34" t="str">
        <f>IF(Tabella4[[#This Row],[Componente]]="Documenti","10.","9.")&amp;Tabella4[[#This Row],[Criterio]]</f>
        <v>9.1.4.3</v>
      </c>
      <c r="I259" s="34" t="s">
        <v>1023</v>
      </c>
      <c r="J259" s="34" t="s">
        <v>1037</v>
      </c>
      <c r="K259" s="34" t="s">
        <v>549</v>
      </c>
      <c r="L259" s="34" t="s">
        <v>1038</v>
      </c>
      <c r="M259" s="34" t="s">
        <v>1039</v>
      </c>
      <c r="N259" t="s">
        <v>775</v>
      </c>
      <c r="O259" t="s">
        <v>776</v>
      </c>
      <c r="P259" t="s">
        <v>394</v>
      </c>
      <c r="R259" s="34" t="str">
        <f>IF(Tabella4[[#This Row],[Componente]]="Documenti",_xlfn.XLOOKUP(Tabella4[[#This Row],[URL]],Tabella27[URL],Tabella27[PDF ID],,0),_xlfn.XLOOKUP(Tabella4[[#This Row],[URL]],Tabella1[URL],Tabella1[Page ID],,0))</f>
        <v>#15</v>
      </c>
      <c r="S259" s="34" t="s">
        <v>1004</v>
      </c>
      <c r="T259" s="34" t="s">
        <v>547</v>
      </c>
      <c r="V259" t="s">
        <v>548</v>
      </c>
      <c r="W259" s="34" t="s">
        <v>1069</v>
      </c>
      <c r="X259" s="34" t="str">
        <f>IFERROR(IF(Tabella4[[#This Row],[Tool]]="lighthouse",Tabella4[[#This Row],[Detail]],MID(Tabella4[[#This Row],[Detail]],1,FIND("&gt;",Tabella4[[#This Row],[Detail]]))),Tabella4[[#This Row],[Detail]])</f>
        <v>&lt;a title="Chiama il numero 800 660 055" href="tel:800660055" data-activity-linkid="link-800 660 055"&gt;</v>
      </c>
      <c r="Y259" s="34" t="str">
        <f>SUBSTITUTE(IF(Tabella4[[#This Row],[Tool]]="axe-core",MID(Tabella4[[#This Row],[Rejected Element]],3,LEN(Tabella4[[#This Row],[Rejected Element]])-4),Tabella4[[#This Row],[Rejected Element]]),"\","")</f>
        <v>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a:nth-of-type(1)</v>
      </c>
      <c r="Z259" s="34">
        <f>COUNTIFS(Tabella4[Detail univoco],Tabella4[[#This Row],[Detail univoco]],Tabella4[Rejected Element Univoco],Tabella4[[#This Row],[Rejected Element Univoco]],Tabella4[ItemsNodeLabel],Tabella4[[#This Row],[ItemsNodeLabel]])</f>
        <v>0</v>
      </c>
      <c r="AA259" s="34" t="str">
        <f>IF(Tabella4[[#This Row],[Componente]]="Documenti",VLOOKUP(Tabella4[[#This Row],[URL]],Tabella27[[URL]:[Servizio]],4,FALSE),VLOOKUP(Tabella4[[#This Row],[Page ID]],Tabella1[[Page ID]:[Servizio]],4,FALSE))</f>
        <v>S003 Assistenza</v>
      </c>
      <c r="AB259" s="34"/>
      <c r="AC259" s="34" t="str">
        <f>Tabella4[[#This Row],[User Impact]]</f>
        <v>2 - Serious</v>
      </c>
      <c r="AD259" s="34" t="str">
        <f>Copertina!C$2&amp;" - "&amp;Tabella4[[#This Row],[UNI CEI EN 301549]]&amp;" "&amp;VLOOKUP(Tabella4[[#This Row],[Criterio]],Tabella5[[ID]:[Criterio di successo]],2,FALSE)&amp;" - "&amp;Tabella4[[#This Row],[Servizio]]&amp;":"</f>
        <v>Insurance Brocker - 9.1.4.3 Contrasto (minimo) - S003 Assistenza:</v>
      </c>
      <c r="AE25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(#TM0220)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https://posteinsurancebroker.poste.it/sinistri/ - &lt;a title="Chiama il numero 800 660 055" href="tel:800660055" data-activity-linkid="link-800 660 055"&gt;800 660 055&lt;/a&gt; con selettore: 
["body#page.Nessuno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59">
        <f>_xlfn.XLOOKUP(Tabella4[[#This Row],[ID Silk]],outTable[ID Silk],outTable[Numero ticket  ],,0,1)</f>
        <v>5967</v>
      </c>
    </row>
    <row r="260" spans="1:32">
      <c r="A260" s="34" t="str">
        <f>MID(Tabella4[[#This Row],[Servizio]],1,4)&amp;Tabella4[[#This Row],[UNI CEI EN 301549]]</f>
        <v>S0039.1.4.3</v>
      </c>
      <c r="B260" s="34" t="str">
        <f>Tabella4[[#This Row],[ID Silk]]&amp;"_1"</f>
        <v>S0039.1.4.3_1</v>
      </c>
      <c r="C260" s="34" t="s">
        <v>1001</v>
      </c>
      <c r="D260" s="2" t="str">
        <f>"(#"&amp;Tabella4[[#This Row],['#ID]]&amp;")"</f>
        <v>(#TM0221)</v>
      </c>
      <c r="E260" s="34" t="str">
        <f>IF(MID(Tabella4[[#This Row],['#ID]],1,1)="M","Mobile",IF(MID(Tabella4[[#This Row],['#ID]],1,1)="D","Desktop",IF(MID(Tabella4[[#This Row],['#ID]],1,2)="TM","Manuale","Documenti")))</f>
        <v>Manuale</v>
      </c>
      <c r="F260" s="34" t="s">
        <v>1006</v>
      </c>
      <c r="G260" s="34" t="s">
        <v>228</v>
      </c>
      <c r="H260" s="34" t="str">
        <f>IF(Tabella4[[#This Row],[Componente]]="Documenti","10.","9.")&amp;Tabella4[[#This Row],[Criterio]]</f>
        <v>9.1.4.3</v>
      </c>
      <c r="I260" s="34" t="s">
        <v>1023</v>
      </c>
      <c r="J260" s="34" t="s">
        <v>1037</v>
      </c>
      <c r="K260" s="34" t="s">
        <v>549</v>
      </c>
      <c r="L260" s="34" t="s">
        <v>1038</v>
      </c>
      <c r="M260" s="34" t="s">
        <v>1039</v>
      </c>
      <c r="N260" t="s">
        <v>777</v>
      </c>
      <c r="O260" t="s">
        <v>778</v>
      </c>
      <c r="P260" t="s">
        <v>394</v>
      </c>
      <c r="R260" s="34" t="str">
        <f>IF(Tabella4[[#This Row],[Componente]]="Documenti",_xlfn.XLOOKUP(Tabella4[[#This Row],[URL]],Tabella27[URL],Tabella27[PDF ID],,0),_xlfn.XLOOKUP(Tabella4[[#This Row],[URL]],Tabella1[URL],Tabella1[Page ID],,0))</f>
        <v>#15</v>
      </c>
      <c r="S260" s="34" t="s">
        <v>1004</v>
      </c>
      <c r="T260" s="34" t="s">
        <v>547</v>
      </c>
      <c r="V260" t="s">
        <v>548</v>
      </c>
      <c r="W260" s="34" t="s">
        <v>1069</v>
      </c>
      <c r="X260" s="34" t="str">
        <f>IFERROR(IF(Tabella4[[#This Row],[Tool]]="lighthouse",Tabella4[[#This Row],[Detail]],MID(Tabella4[[#This Row],[Detail]],1,FIND("&gt;",Tabella4[[#This Row],[Detail]]))),Tabella4[[#This Row],[Detail]])</f>
        <v>&lt;a title="Chiama il numero +39 040 67 68 349" href="tel:+390406768349" data-activity-linkid="link-+39 040 67 68 349"&gt;</v>
      </c>
      <c r="Y260" s="34" t="str">
        <f>SUBSTITUTE(IF(Tabella4[[#This Row],[Tool]]="axe-core",MID(Tabella4[[#This Row],[Rejected Element]],3,LEN(Tabella4[[#This Row],[Rejected Element]])-4),Tabella4[[#This Row],[Rejected Element]]),"\","")</f>
        <v>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a:nth-of-type(2)</v>
      </c>
      <c r="Z260" s="34">
        <f>COUNTIFS(Tabella4[Detail univoco],Tabella4[[#This Row],[Detail univoco]],Tabella4[Rejected Element Univoco],Tabella4[[#This Row],[Rejected Element Univoco]],Tabella4[ItemsNodeLabel],Tabella4[[#This Row],[ItemsNodeLabel]])</f>
        <v>0</v>
      </c>
      <c r="AA260" s="34" t="str">
        <f>IF(Tabella4[[#This Row],[Componente]]="Documenti",VLOOKUP(Tabella4[[#This Row],[URL]],Tabella27[[URL]:[Servizio]],4,FALSE),VLOOKUP(Tabella4[[#This Row],[Page ID]],Tabella1[[Page ID]:[Servizio]],4,FALSE))</f>
        <v>S003 Assistenza</v>
      </c>
      <c r="AB260" s="34"/>
      <c r="AC260" s="34" t="str">
        <f>Tabella4[[#This Row],[User Impact]]</f>
        <v>2 - Serious</v>
      </c>
      <c r="AD260" s="34" t="str">
        <f>Copertina!C$2&amp;" - "&amp;Tabella4[[#This Row],[UNI CEI EN 301549]]&amp;" "&amp;VLOOKUP(Tabella4[[#This Row],[Criterio]],Tabella5[[ID]:[Criterio di successo]],2,FALSE)&amp;" - "&amp;Tabella4[[#This Row],[Servizio]]&amp;":"</f>
        <v>Insurance Brocker - 9.1.4.3 Contrasto (minimo) - S003 Assistenza:</v>
      </c>
      <c r="AE26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(#TM0221)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https://posteinsurancebroker.poste.it/sinistri/ - &lt;a title="Chiama il numero +39 040 67 68 349" href="tel:+390406768349" data-activity-linkid="link-+39 040 67 68 349"&gt;+39 040 67 68 349&lt;/a&gt; con selettore: 
["body#page.Nessuno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a:nth-of-type(2)"]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60">
        <f>_xlfn.XLOOKUP(Tabella4[[#This Row],[ID Silk]],outTable[ID Silk],outTable[Numero ticket  ],,0,1)</f>
        <v>5967</v>
      </c>
    </row>
    <row r="261" spans="1:32">
      <c r="A261" s="34" t="str">
        <f>MID(Tabella4[[#This Row],[Servizio]],1,4)&amp;Tabella4[[#This Row],[UNI CEI EN 301549]]</f>
        <v>S0039.1.4.3</v>
      </c>
      <c r="B261" s="34" t="str">
        <f>Tabella4[[#This Row],[ID Silk]]&amp;"_1"</f>
        <v>S0039.1.4.3_1</v>
      </c>
      <c r="C261" s="34" t="s">
        <v>1002</v>
      </c>
      <c r="D261" s="2" t="str">
        <f>"(#"&amp;Tabella4[[#This Row],['#ID]]&amp;")"</f>
        <v>(#TM0222)</v>
      </c>
      <c r="E261" s="34" t="str">
        <f>IF(MID(Tabella4[[#This Row],['#ID]],1,1)="M","Mobile",IF(MID(Tabella4[[#This Row],['#ID]],1,1)="D","Desktop",IF(MID(Tabella4[[#This Row],['#ID]],1,2)="TM","Manuale","Documenti")))</f>
        <v>Manuale</v>
      </c>
      <c r="F261" s="34" t="s">
        <v>1006</v>
      </c>
      <c r="G261" s="34" t="s">
        <v>228</v>
      </c>
      <c r="H261" s="34" t="str">
        <f>IF(Tabella4[[#This Row],[Componente]]="Documenti","10.","9.")&amp;Tabella4[[#This Row],[Criterio]]</f>
        <v>9.1.4.3</v>
      </c>
      <c r="I261" s="34" t="s">
        <v>1023</v>
      </c>
      <c r="J261" s="34" t="s">
        <v>1037</v>
      </c>
      <c r="K261" s="34" t="s">
        <v>549</v>
      </c>
      <c r="L261" s="34" t="s">
        <v>1038</v>
      </c>
      <c r="M261" s="34" t="s">
        <v>1039</v>
      </c>
      <c r="N261" t="s">
        <v>779</v>
      </c>
      <c r="O261" t="s">
        <v>780</v>
      </c>
      <c r="P261" t="s">
        <v>394</v>
      </c>
      <c r="R261" s="34" t="str">
        <f>IF(Tabella4[[#This Row],[Componente]]="Documenti",_xlfn.XLOOKUP(Tabella4[[#This Row],[URL]],Tabella27[URL],Tabella27[PDF ID],,0),_xlfn.XLOOKUP(Tabella4[[#This Row],[URL]],Tabella1[URL],Tabella1[Page ID],,0))</f>
        <v>#15</v>
      </c>
      <c r="S261" s="34" t="s">
        <v>1004</v>
      </c>
      <c r="T261" s="34" t="s">
        <v>547</v>
      </c>
      <c r="V261" t="s">
        <v>548</v>
      </c>
      <c r="W261" s="34" t="s">
        <v>1069</v>
      </c>
      <c r="X261" s="34" t="str">
        <f>IFERROR(IF(Tabella4[[#This Row],[Tool]]="lighthouse",Tabella4[[#This Row],[Detail]],MID(Tabella4[[#This Row],[Detail]],1,FIND("&gt;",Tabella4[[#This Row],[Detail]]))),Tabella4[[#This Row],[Detail]])</f>
        <v>&lt;a title="Scrivi al seguente indirizzo sinistri@genertel.it" href="mailto:sinistri@genertel.it" target="_self" data-activity-linkid="link-sinistri@genertel.it"&gt;</v>
      </c>
      <c r="Y261" s="34" t="str">
        <f>SUBSTITUTE(IF(Tabella4[[#This Row],[Tool]]="axe-core",MID(Tabella4[[#This Row],[Rejected Element]],3,LEN(Tabella4[[#This Row],[Rejected Element]])-4),Tabella4[[#This Row],[Rejected Element]]),"\","")</f>
        <v>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div:nth-of-type(2) &gt; p:nth-of-type(1) &gt; a:nth-of-type(1)</v>
      </c>
      <c r="Z261" s="34">
        <f>COUNTIFS(Tabella4[Detail univoco],Tabella4[[#This Row],[Detail univoco]],Tabella4[Rejected Element Univoco],Tabella4[[#This Row],[Rejected Element Univoco]],Tabella4[ItemsNodeLabel],Tabella4[[#This Row],[ItemsNodeLabel]])</f>
        <v>0</v>
      </c>
      <c r="AA261" s="34" t="str">
        <f>IF(Tabella4[[#This Row],[Componente]]="Documenti",VLOOKUP(Tabella4[[#This Row],[URL]],Tabella27[[URL]:[Servizio]],4,FALSE),VLOOKUP(Tabella4[[#This Row],[Page ID]],Tabella1[[Page ID]:[Servizio]],4,FALSE))</f>
        <v>S003 Assistenza</v>
      </c>
      <c r="AB261" s="34"/>
      <c r="AC261" s="34" t="str">
        <f>Tabella4[[#This Row],[User Impact]]</f>
        <v>2 - Serious</v>
      </c>
      <c r="AD261" s="34" t="str">
        <f>Copertina!C$2&amp;" - "&amp;Tabella4[[#This Row],[UNI CEI EN 301549]]&amp;" "&amp;VLOOKUP(Tabella4[[#This Row],[Criterio]],Tabella5[[ID]:[Criterio di successo]],2,FALSE)&amp;" - "&amp;Tabella4[[#This Row],[Servizio]]&amp;":"</f>
        <v>Insurance Brocker - 9.1.4.3 Contrasto (minimo) - S003 Assistenza:</v>
      </c>
      <c r="AE26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S003 Assistenza: (#TM0222)
S003 Assistenza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https://posteinsurancebroker.poste.it/sinistri/ - &lt;a title="Scrivi al seguente indirizzo sinistri@genertel.it" href="mailto:sinistri@genertel.it" target="_self" data-activity-linkid="link-sinistri@genertel.it"&gt;sinistri@genertel.it&lt;/a&gt; con selettore: 
["body#page.Nessuno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div:nth-of-type(2) &gt; p:nth-of-type(1) &gt; a:nth-of-type(1)"]
Dettaglio + screenshot (accedere con le seguenti credenziali: user, axeposte@gmail.com; password, Poste2024!): 
Possibile metodologia risolutiva:
Modifica i colori del testo e/o dello sfondo dei controlli per garantire un rapporto di contrasto di almeno 4,5:1, inclusi gli stati attivo e hover.
File di log (occorrenze rilevate: 26):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261">
        <f>_xlfn.XLOOKUP(Tabella4[[#This Row],[ID Silk]],outTable[ID Silk],outTable[Numero ticket  ],,0,1)</f>
        <v>5967</v>
      </c>
    </row>
    <row r="262" spans="1:32">
      <c r="A262" s="34" t="str">
        <f>MID(Tabella4[[#This Row],[Servizio]],1,4)&amp;Tabella4[[#This Row],[UNI CEI EN 301549]]</f>
        <v>S0039.1.3.1</v>
      </c>
      <c r="B262" s="34" t="str">
        <f>Tabella4[[#This Row],[ID Silk]]&amp;"_1"</f>
        <v>S0039.1.3.1_1</v>
      </c>
      <c r="C262" s="34" t="s">
        <v>1003</v>
      </c>
      <c r="D262" s="2" t="str">
        <f>"(#"&amp;Tabella4[[#This Row],['#ID]]&amp;")"</f>
        <v>(#TM0223)</v>
      </c>
      <c r="E262" s="34" t="str">
        <f>IF(MID(Tabella4[[#This Row],['#ID]],1,1)="M","Mobile",IF(MID(Tabella4[[#This Row],['#ID]],1,1)="D","Desktop",IF(MID(Tabella4[[#This Row],['#ID]],1,2)="TM","Manuale","Documenti")))</f>
        <v>Manuale</v>
      </c>
      <c r="F262" s="34" t="s">
        <v>1005</v>
      </c>
      <c r="G262" s="34" t="s">
        <v>184</v>
      </c>
      <c r="H262" s="34" t="str">
        <f>IF(Tabella4[[#This Row],[Componente]]="Documenti","10.","9.")&amp;Tabella4[[#This Row],[Criterio]]</f>
        <v>9.1.3.1</v>
      </c>
      <c r="I262" s="34" t="s">
        <v>1036</v>
      </c>
      <c r="J262" s="34" t="s">
        <v>1008</v>
      </c>
      <c r="K262" s="34" t="s">
        <v>558</v>
      </c>
      <c r="L262" s="34" t="s">
        <v>1040</v>
      </c>
      <c r="M262" s="34" t="s">
        <v>1041</v>
      </c>
      <c r="N262" t="s">
        <v>567</v>
      </c>
      <c r="O262" t="s">
        <v>560</v>
      </c>
      <c r="P262" t="s">
        <v>394</v>
      </c>
      <c r="R262" s="34" t="str">
        <f>IF(Tabella4[[#This Row],[Componente]]="Documenti",_xlfn.XLOOKUP(Tabella4[[#This Row],[URL]],Tabella27[URL],Tabella27[PDF ID],,0),_xlfn.XLOOKUP(Tabella4[[#This Row],[URL]],Tabella1[URL],Tabella1[Page ID],,0))</f>
        <v>#15</v>
      </c>
      <c r="S262" s="34" t="s">
        <v>1004</v>
      </c>
      <c r="T262" s="34" t="s">
        <v>556</v>
      </c>
      <c r="V262" t="s">
        <v>557</v>
      </c>
      <c r="W262" s="34" t="s">
        <v>1070</v>
      </c>
      <c r="X262" s="34" t="str">
        <f>IFERROR(IF(Tabella4[[#This Row],[Tool]]="lighthouse",Tabella4[[#This Row],[Detail]],MID(Tabella4[[#This Row],[Detail]],1,FIND("&gt;",Tabella4[[#This Row],[Detail]]))),Tabella4[[#This Row],[Detail]])</f>
        <v>&lt;ul&gt;</v>
      </c>
      <c r="Y262" s="34" t="str">
        <f>SUBSTITUTE(IF(Tabella4[[#This Row],[Tool]]="axe-core",MID(Tabella4[[#This Row],[Rejected Element]],3,LEN(Tabella4[[#This Row],[Rejected Element]])-4),Tabella4[[#This Row],[Rejected Element]]),"\","")</f>
        <v>body#page.Nessuno &gt; nav#skiplink:nth-of-type(1) &gt; ul:nth-of-type(1)</v>
      </c>
      <c r="Z262" s="34">
        <f>COUNTIFS(Tabella4[Detail univoco],Tabella4[[#This Row],[Detail univoco]],Tabella4[Rejected Element Univoco],Tabella4[[#This Row],[Rejected Element Univoco]],Tabella4[ItemsNodeLabel],Tabella4[[#This Row],[ItemsNodeLabel]])</f>
        <v>0</v>
      </c>
      <c r="AA262" s="34" t="str">
        <f>IF(Tabella4[[#This Row],[Componente]]="Documenti",VLOOKUP(Tabella4[[#This Row],[URL]],Tabella27[[URL]:[Servizio]],4,FALSE),VLOOKUP(Tabella4[[#This Row],[Page ID]],Tabella1[[Page ID]:[Servizio]],4,FALSE))</f>
        <v>S003 Assistenza</v>
      </c>
      <c r="AB262" s="34"/>
      <c r="AC262" s="34" t="str">
        <f>Tabella4[[#This Row],[User Impact]]</f>
        <v>3 - Moderate</v>
      </c>
      <c r="AD262" s="34" t="str">
        <f>Copertina!C$2&amp;" - "&amp;Tabella4[[#This Row],[UNI CEI EN 301549]]&amp;" "&amp;VLOOKUP(Tabella4[[#This Row],[Criterio]],Tabella5[[ID]:[Criterio di successo]],2,FALSE)&amp;" - "&amp;Tabella4[[#This Row],[Servizio]]&amp;":"</f>
        <v>Insurance Brocker - 9.1.3.1 Informazioni e correlazioni - S003 Assistenza:</v>
      </c>
      <c r="AE26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S003 Assistenza: (#TM0223)
S003 Assistenza
Requisito: WCAG 1.3.1
Disabilità afflitte: Blind;Deafblind
Impatto Utente: 3 - Moderate
Descrizione: Il contenuto non è una list, ma è contrassegnato come tale - Il contenuto non è una list, ma è contrassegnato come tale. [Ulteriori informazioni] (https://docs.deque.com/issue-help/1.0.0/en/semantic-list-used-for-presentation)
Esempio di violazione individuata sull'oggetto: 
https://posteinsurancebroker.poste.it/sinistri/ - &lt;ul&gt; con selettore: 
["body#page.Nessuno &gt; nav#skiplink:nth-of-type(1) &gt; ul:nth-of-type(1)"]
Dettaglio + screenshot (accedere con le seguenti credenziali: user, axeposte@gmail.com; password, Poste2024!): 
Possibile metodologia risolutiva:
Usa elementi di lista come &lt;ul&gt;, &lt;ol&gt;, e &lt;li&gt; solo per contenuti che devono essere presentati in forma di elenco. Assicurati che le liste siano semanticamente corrette per evitare confusione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262">
        <f>_xlfn.XLOOKUP(Tabella4[[#This Row],[ID Silk]],outTable[ID Silk],outTable[Numero ticket  ],,0,1)</f>
        <v>5966</v>
      </c>
    </row>
    <row r="263" spans="1:32">
      <c r="A263" s="34" t="str">
        <f>MID(Tabella4[[#This Row],[Servizio]],1,4)&amp;Tabella4[[#This Row],[UNI CEI EN 301549]]</f>
        <v>D00110.1.3.1</v>
      </c>
      <c r="B263" s="34" t="str">
        <f>Tabella4[[#This Row],[ID Silk]]&amp;"_1"</f>
        <v>D00110.1.3.1_1</v>
      </c>
      <c r="C263" s="34" t="s">
        <v>1079</v>
      </c>
      <c r="D263" s="2" t="str">
        <f>"(#"&amp;Tabella4[[#This Row],['#ID]]&amp;")"</f>
        <v>(#PDF0001)</v>
      </c>
      <c r="E263" s="34" t="str">
        <f>IF(MID(Tabella4[[#This Row],['#ID]],1,1)="M","Mobile",IF(MID(Tabella4[[#This Row],['#ID]],1,1)="D","Desktop",IF(MID(Tabella4[[#This Row],['#ID]],1,2)="TM","Manuale","Documenti")))</f>
        <v>Documenti</v>
      </c>
      <c r="F263" s="34" t="s">
        <v>1005</v>
      </c>
      <c r="G263" s="34" t="s">
        <v>184</v>
      </c>
      <c r="H263" s="34" t="str">
        <f>IF(Tabella4[[#This Row],[Componente]]="Documenti","10.","9.")&amp;Tabella4[[#This Row],[Criterio]]</f>
        <v>10.1.3.1</v>
      </c>
      <c r="I263" s="34" t="s">
        <v>1007</v>
      </c>
      <c r="J263" t="s">
        <v>1019</v>
      </c>
      <c r="K263" s="19" t="s">
        <v>88</v>
      </c>
      <c r="L263" s="34" t="s">
        <v>1152</v>
      </c>
      <c r="M263" s="34" t="s">
        <v>1153</v>
      </c>
      <c r="N263" s="34"/>
      <c r="O263" s="34"/>
      <c r="P263" s="48" t="s">
        <v>472</v>
      </c>
      <c r="R263" s="34" t="str">
        <f>IF(Tabella4[[#This Row],[Componente]]="Documenti",_xlfn.XLOOKUP(Tabella4[[#This Row],[URL]],Tabella27[URL],Tabella27[PDF ID],,0),_xlfn.XLOOKUP(Tabella4[[#This Row],[URL]],Tabella1[URL],Tabella1[Page ID],,0))</f>
        <v>#P01</v>
      </c>
      <c r="S263" t="s">
        <v>1154</v>
      </c>
      <c r="T263" s="34"/>
      <c r="V263" s="34">
        <v>0</v>
      </c>
      <c r="W263" s="34" t="s">
        <v>1155</v>
      </c>
      <c r="X263" s="34">
        <f>IFERROR(IF(Tabella4[[#This Row],[Tool]]="lighthouse",Tabella4[[#This Row],[Detail]],MID(Tabella4[[#This Row],[Detail]],1,FIND("&gt;",Tabella4[[#This Row],[Detail]]))),Tabella4[[#This Row],[Detail]])</f>
        <v>0</v>
      </c>
      <c r="Y263" s="34" t="str">
        <f>SUBSTITUTE(IF(Tabella4[[#This Row],[Tool]]="axe-core",MID(Tabella4[[#This Row],[Rejected Element]],3,LEN(Tabella4[[#This Row],[Rejected Element]])-4),Tabella4[[#This Row],[Rejected Element]]),"\","")</f>
        <v/>
      </c>
      <c r="Z263" s="34">
        <f>COUNTIFS(Tabella4[Detail univoco],Tabella4[[#This Row],[Detail univoco]],Tabella4[Rejected Element Univoco],Tabella4[[#This Row],[Rejected Element Univoco]],Tabella4[ItemsNodeLabel],Tabella4[[#This Row],[ItemsNodeLabel]])</f>
        <v>0</v>
      </c>
      <c r="AA263" s="34" t="str">
        <f>IF(Tabella4[[#This Row],[Componente]]="Documenti",VLOOKUP(Tabella4[[#This Row],[URL]],Tabella27[[URL]:[Servizio]],4,FALSE),VLOOKUP(Tabella4[[#This Row],[Page ID]],Tabella1[[Page ID]:[Servizio]],4,FALSE))</f>
        <v>D001 Modello CAI - LN (</v>
      </c>
      <c r="AB263" s="34"/>
      <c r="AC263" s="34" t="str">
        <f>Tabella4[[#This Row],[User Impact]]</f>
        <v>1 - Critical</v>
      </c>
      <c r="AD263" s="34" t="str">
        <f>Copertina!C$2&amp;" - "&amp;Tabella4[[#This Row],[UNI CEI EN 301549]]&amp;" "&amp;VLOOKUP(Tabella4[[#This Row],[Criterio]],Tabella5[[ID]:[Criterio di successo]],2,FALSE)&amp;" - "&amp;Tabella4[[#This Row],[Servizio]]&amp;":"</f>
        <v>Insurance Brocker - 10.1.3.1 Informazioni e correlazioni - D001 Modello CAI - LN (:</v>
      </c>
      <c r="AE26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D001 Modello CAI - LN (: (#PDF0001)
D001 Modello CAI - LN (
Requisito: WCAG 1.3.1
Disabilità afflitte: Blind;Deafblind;Mobility
Impatto Utente: 1 - Critical
Descrizione: Utilizza i tag per specificare la struttura logica del PDF  - Utilizza i tag per specificare la struttura logica del PDF (https://www.w3.org/TR/WCAG20-TECHS/pdf#pdf_notes_acc-sup_tagged)
Esempio di violazione individuata sull'oggetto: 
https://www.media.poste.it/1723b746-4914-4076-ba5f-26946e1806ed/web/modello-cai-ln -  con selettore: 
Dettaglio + screenshot (accedere con le seguenti credenziali: user, axeposte@gmail.com; password, Poste2024!): 
Possibile metodologia risolutiva:
Cambiare la struttura del PDF a Tagged PDF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63">
        <f>_xlfn.XLOOKUP(Tabella4[[#This Row],[ID Silk]],outTable[ID Silk],outTable[Numero ticket  ],,0,1)</f>
        <v>5958</v>
      </c>
    </row>
    <row r="264" spans="1:32">
      <c r="A264" s="34" t="str">
        <f>MID(Tabella4[[#This Row],[Servizio]],1,4)&amp;Tabella4[[#This Row],[UNI CEI EN 301549]]</f>
        <v>D00110.1.3.1</v>
      </c>
      <c r="B264" s="34" t="str">
        <f>Tabella4[[#This Row],[ID Silk]]&amp;"_1"</f>
        <v>D00110.1.3.1_1</v>
      </c>
      <c r="C264" s="34" t="s">
        <v>1228</v>
      </c>
      <c r="D264" s="2" t="str">
        <f>"(#"&amp;Tabella4[[#This Row],['#ID]]&amp;")"</f>
        <v>(#PDF0002)</v>
      </c>
      <c r="E264" s="34" t="str">
        <f>IF(MID(Tabella4[[#This Row],['#ID]],1,1)="M","Mobile",IF(MID(Tabella4[[#This Row],['#ID]],1,1)="D","Desktop",IF(MID(Tabella4[[#This Row],['#ID]],1,2)="TM","Manuale","Documenti")))</f>
        <v>Documenti</v>
      </c>
      <c r="F264" s="34" t="s">
        <v>1005</v>
      </c>
      <c r="G264" s="34" t="s">
        <v>184</v>
      </c>
      <c r="H264" s="34" t="str">
        <f>IF(Tabella4[[#This Row],[Componente]]="Documenti","10.","9.")&amp;Tabella4[[#This Row],[Criterio]]</f>
        <v>10.1.3.1</v>
      </c>
      <c r="I264" s="34" t="s">
        <v>1023</v>
      </c>
      <c r="J264" t="s">
        <v>1008</v>
      </c>
      <c r="K264" s="19" t="s">
        <v>90</v>
      </c>
      <c r="L264" s="34" t="s">
        <v>1157</v>
      </c>
      <c r="M264" s="34" t="s">
        <v>1158</v>
      </c>
      <c r="N264" s="34"/>
      <c r="O264" s="34"/>
      <c r="P264" s="48" t="s">
        <v>472</v>
      </c>
      <c r="R264" s="34" t="str">
        <f>IF(Tabella4[[#This Row],[Componente]]="Documenti",_xlfn.XLOOKUP(Tabella4[[#This Row],[URL]],Tabella27[URL],Tabella27[PDF ID],,0),_xlfn.XLOOKUP(Tabella4[[#This Row],[URL]],Tabella1[URL],Tabella1[Page ID],,0))</f>
        <v>#P01</v>
      </c>
      <c r="S264" t="s">
        <v>1154</v>
      </c>
      <c r="T264" s="34"/>
      <c r="V264" s="34">
        <v>0</v>
      </c>
      <c r="W264" s="34" t="s">
        <v>1159</v>
      </c>
      <c r="X264" s="34">
        <f>IFERROR(IF(Tabella4[[#This Row],[Tool]]="lighthouse",Tabella4[[#This Row],[Detail]],MID(Tabella4[[#This Row],[Detail]],1,FIND("&gt;",Tabella4[[#This Row],[Detail]]))),Tabella4[[#This Row],[Detail]])</f>
        <v>0</v>
      </c>
      <c r="Y264" s="34" t="str">
        <f>SUBSTITUTE(IF(Tabella4[[#This Row],[Tool]]="axe-core",MID(Tabella4[[#This Row],[Rejected Element]],3,LEN(Tabella4[[#This Row],[Rejected Element]])-4),Tabella4[[#This Row],[Rejected Element]]),"\","")</f>
        <v/>
      </c>
      <c r="Z264" s="34">
        <f>COUNTIFS(Tabella4[Detail univoco],Tabella4[[#This Row],[Detail univoco]],Tabella4[Rejected Element Univoco],Tabella4[[#This Row],[Rejected Element Univoco]],Tabella4[ItemsNodeLabel],Tabella4[[#This Row],[ItemsNodeLabel]])</f>
        <v>0</v>
      </c>
      <c r="AA264" s="34" t="str">
        <f>IF(Tabella4[[#This Row],[Componente]]="Documenti",VLOOKUP(Tabella4[[#This Row],[URL]],Tabella27[[URL]:[Servizio]],4,FALSE),VLOOKUP(Tabella4[[#This Row],[Page ID]],Tabella1[[Page ID]:[Servizio]],4,FALSE))</f>
        <v>D001 Modello CAI - LN (</v>
      </c>
      <c r="AB264" s="34"/>
      <c r="AC264" s="34" t="str">
        <f>Tabella4[[#This Row],[User Impact]]</f>
        <v>2 - Serious</v>
      </c>
      <c r="AD264" s="34" t="str">
        <f>Copertina!C$2&amp;" - "&amp;Tabella4[[#This Row],[UNI CEI EN 301549]]&amp;" "&amp;VLOOKUP(Tabella4[[#This Row],[Criterio]],Tabella5[[ID]:[Criterio di successo]],2,FALSE)&amp;" - "&amp;Tabella4[[#This Row],[Servizio]]&amp;":"</f>
        <v>Insurance Brocker - 10.1.3.1 Informazioni e correlazioni - D001 Modello CAI - LN (:</v>
      </c>
      <c r="AE26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D001 Modello CAI - LN (: (#PDF0002)
D001 Modello CAI - LN (
Requisito: WCAG 1.3.1
Disabilità afflitte: Blind;Deafblind
Impatto Utente: 2 - Serious
Descrizione: Fornire intestazioni contrassegnando il contenuto con tag di intestazione nei documenti PDF  - Fornire intestazioni contrassegnando il contenuto con tag di intestazione nei documenti PDF (https://www.w3.org/WAI/WCAG22/Techniques/pdf/PDF9)
Esempio di violazione individuata sull'oggetto: 
https://www.media.poste.it/1723b746-4914-4076-ba5f-26946e1806ed/web/modello-cai-ln -  con selettore: 
Dettaglio + screenshot (accedere con le seguenti credenziali: user, axeposte@gmail.com; password, Poste2024!): 
Possibile metodologia risolutiva:
I documenti pdf devono avere gli heading correttamente marcati:
- Aggiungendo o modificando i tag heading su prodotti di modifica PDF
- Creando documenti in programmi Word usando lo styling corretto per la conversione in PDF
- Marcando gli heading usando elementi /Hn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64">
        <f>_xlfn.XLOOKUP(Tabella4[[#This Row],[ID Silk]],outTable[ID Silk],outTable[Numero ticket  ],,0,1)</f>
        <v>5958</v>
      </c>
    </row>
    <row r="265" spans="1:32">
      <c r="A265" s="34" t="str">
        <f>MID(Tabella4[[#This Row],[Servizio]],1,4)&amp;Tabella4[[#This Row],[UNI CEI EN 301549]]</f>
        <v>D00110.1.3.2</v>
      </c>
      <c r="B265" s="34" t="str">
        <f>Tabella4[[#This Row],[ID Silk]]&amp;"_1"</f>
        <v>D00110.1.3.2_1</v>
      </c>
      <c r="C265" s="34" t="s">
        <v>1229</v>
      </c>
      <c r="D265" s="2" t="str">
        <f>"(#"&amp;Tabella4[[#This Row],['#ID]]&amp;")"</f>
        <v>(#PDF0003)</v>
      </c>
      <c r="E265" s="34" t="str">
        <f>IF(MID(Tabella4[[#This Row],['#ID]],1,1)="M","Mobile",IF(MID(Tabella4[[#This Row],['#ID]],1,1)="D","Desktop",IF(MID(Tabella4[[#This Row],['#ID]],1,2)="TM","Manuale","Documenti")))</f>
        <v>Documenti</v>
      </c>
      <c r="F265" s="34" t="s">
        <v>1005</v>
      </c>
      <c r="G265" s="34" t="s">
        <v>191</v>
      </c>
      <c r="H265" s="34" t="str">
        <f>IF(Tabella4[[#This Row],[Componente]]="Documenti","10.","9.")&amp;Tabella4[[#This Row],[Criterio]]</f>
        <v>10.1.3.2</v>
      </c>
      <c r="I265" s="34" t="s">
        <v>1007</v>
      </c>
      <c r="J265" t="s">
        <v>1019</v>
      </c>
      <c r="K265" s="19" t="s">
        <v>1080</v>
      </c>
      <c r="L265" s="34" t="s">
        <v>1161</v>
      </c>
      <c r="M265" s="34" t="s">
        <v>1162</v>
      </c>
      <c r="N265" s="34"/>
      <c r="O265" s="34"/>
      <c r="P265" s="48" t="s">
        <v>472</v>
      </c>
      <c r="R265" s="34" t="str">
        <f>IF(Tabella4[[#This Row],[Componente]]="Documenti",_xlfn.XLOOKUP(Tabella4[[#This Row],[URL]],Tabella27[URL],Tabella27[PDF ID],,0),_xlfn.XLOOKUP(Tabella4[[#This Row],[URL]],Tabella1[URL],Tabella1[Page ID],,0))</f>
        <v>#P01</v>
      </c>
      <c r="S265" t="s">
        <v>1154</v>
      </c>
      <c r="T265" s="34"/>
      <c r="V265" s="34" t="s">
        <v>1163</v>
      </c>
      <c r="W265" s="34" t="s">
        <v>1163</v>
      </c>
      <c r="X265" s="34">
        <f>IFERROR(IF(Tabella4[[#This Row],[Tool]]="lighthouse",Tabella4[[#This Row],[Detail]],MID(Tabella4[[#This Row],[Detail]],1,FIND("&gt;",Tabella4[[#This Row],[Detail]]))),Tabella4[[#This Row],[Detail]])</f>
        <v>0</v>
      </c>
      <c r="Y265" s="34" t="str">
        <f>SUBSTITUTE(IF(Tabella4[[#This Row],[Tool]]="axe-core",MID(Tabella4[[#This Row],[Rejected Element]],3,LEN(Tabella4[[#This Row],[Rejected Element]])-4),Tabella4[[#This Row],[Rejected Element]]),"\","")</f>
        <v/>
      </c>
      <c r="Z265" s="34">
        <f>COUNTIFS(Tabella4[Detail univoco],Tabella4[[#This Row],[Detail univoco]],Tabella4[Rejected Element Univoco],Tabella4[[#This Row],[Rejected Element Univoco]],Tabella4[ItemsNodeLabel],Tabella4[[#This Row],[ItemsNodeLabel]])</f>
        <v>0</v>
      </c>
      <c r="AA265" s="34" t="str">
        <f>IF(Tabella4[[#This Row],[Componente]]="Documenti",VLOOKUP(Tabella4[[#This Row],[URL]],Tabella27[[URL]:[Servizio]],4,FALSE),VLOOKUP(Tabella4[[#This Row],[Page ID]],Tabella1[[Page ID]:[Servizio]],4,FALSE))</f>
        <v>D001 Modello CAI - LN (</v>
      </c>
      <c r="AB265" s="34"/>
      <c r="AC265" s="34" t="str">
        <f>Tabella4[[#This Row],[User Impact]]</f>
        <v>1 - Critical</v>
      </c>
      <c r="AD265" s="34" t="str">
        <f>Copertina!C$2&amp;" - "&amp;Tabella4[[#This Row],[UNI CEI EN 301549]]&amp;" "&amp;VLOOKUP(Tabella4[[#This Row],[Criterio]],Tabella5[[ID]:[Criterio di successo]],2,FALSE)&amp;" - "&amp;Tabella4[[#This Row],[Servizio]]&amp;":"</f>
        <v>Insurance Brocker - 10.1.3.2 Sequenza significativa - D001 Modello CAI - LN (:</v>
      </c>
      <c r="AE26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- 10.1.3.2 Sequenza significativa - D001 Modello CAI - LN (: (#PDF0003)
D001 Modello CAI - LN (
Requisito: WCAG 1.3.2
Disabilità afflitte: Blind;Deafblind;Mobility
Impatto Utente: 1 - Critical
Descrizione: Garantire il corretto ordine di tabulazione e di lettura nei documenti PDF  - Garantire il corretto ordine di tabulazione e di lettura nei documenti PDF (https://www.w3.org/WAI/WCAG22/Techniques/pdf/PDF3)
Esempio di violazione individuata sull'oggetto: 
https://www.media.poste.it/1723b746-4914-4076-ba5f-26946e1806ed/web/modello-cai-ln -  con selettore: 
Dettaglio + screenshot (accedere con le seguenti credenziali: user, axeposte@gmail.com; password, Poste2024!): 
Possibile metodologia risolutiva:
Imposta l'ordine di scorrimento degli elementi su una pagina utilizzando l'opzione "Struttura documento"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https://posteitaliane.sharepoint.com/:w:/r/teams/ACCESSIBILITRISULTATIVERIFICHETECNICHE/Shared%20Documents/Generale/SCHEDE_REQUISITI/10.1.3.2%20Sequenza%20significativa.docx?d=wc358fe04604c46dcad4900207034af1e&amp;csf=1&amp;web=1&amp;e=Egn3Lg</v>
      </c>
      <c r="AF265">
        <f>_xlfn.XLOOKUP(Tabella4[[#This Row],[ID Silk]],outTable[ID Silk],outTable[Numero ticket  ],,0,1)</f>
        <v>5959</v>
      </c>
    </row>
    <row r="266" spans="1:32">
      <c r="A266" s="34" t="str">
        <f>MID(Tabella4[[#This Row],[Servizio]],1,4)&amp;Tabella4[[#This Row],[UNI CEI EN 301549]]</f>
        <v>D00110.2.4.2</v>
      </c>
      <c r="B266" s="34" t="str">
        <f>Tabella4[[#This Row],[ID Silk]]&amp;"_1"</f>
        <v>D00110.2.4.2_1</v>
      </c>
      <c r="C266" s="34" t="s">
        <v>1230</v>
      </c>
      <c r="D266" s="2" t="str">
        <f>"(#"&amp;Tabella4[[#This Row],['#ID]]&amp;")"</f>
        <v>(#PDF0004)</v>
      </c>
      <c r="E266" s="34" t="str">
        <f>IF(MID(Tabella4[[#This Row],['#ID]],1,1)="M","Mobile",IF(MID(Tabella4[[#This Row],['#ID]],1,1)="D","Desktop",IF(MID(Tabella4[[#This Row],['#ID]],1,2)="TM","Manuale","Documenti")))</f>
        <v>Documenti</v>
      </c>
      <c r="F266" s="34" t="s">
        <v>1005</v>
      </c>
      <c r="G266" s="34" t="s">
        <v>302</v>
      </c>
      <c r="H266" s="34" t="str">
        <f>IF(Tabella4[[#This Row],[Componente]]="Documenti","10.","9.")&amp;Tabella4[[#This Row],[Criterio]]</f>
        <v>10.2.4.2</v>
      </c>
      <c r="I266" s="34" t="s">
        <v>1023</v>
      </c>
      <c r="J266" t="s">
        <v>1008</v>
      </c>
      <c r="K266" s="19" t="s">
        <v>1081</v>
      </c>
      <c r="L266" s="34" t="s">
        <v>1165</v>
      </c>
      <c r="M266" s="34" t="s">
        <v>1166</v>
      </c>
      <c r="N266" s="34"/>
      <c r="O266" s="34"/>
      <c r="P266" s="48" t="s">
        <v>472</v>
      </c>
      <c r="R266" s="34" t="str">
        <f>IF(Tabella4[[#This Row],[Componente]]="Documenti",_xlfn.XLOOKUP(Tabella4[[#This Row],[URL]],Tabella27[URL],Tabella27[PDF ID],,0),_xlfn.XLOOKUP(Tabella4[[#This Row],[URL]],Tabella1[URL],Tabella1[Page ID],,0))</f>
        <v>#P01</v>
      </c>
      <c r="S266" t="s">
        <v>1154</v>
      </c>
      <c r="T266" s="34"/>
      <c r="V266" s="34" t="s">
        <v>1167</v>
      </c>
      <c r="W266" s="34" t="s">
        <v>1167</v>
      </c>
      <c r="X266" s="34">
        <f>IFERROR(IF(Tabella4[[#This Row],[Tool]]="lighthouse",Tabella4[[#This Row],[Detail]],MID(Tabella4[[#This Row],[Detail]],1,FIND("&gt;",Tabella4[[#This Row],[Detail]]))),Tabella4[[#This Row],[Detail]])</f>
        <v>0</v>
      </c>
      <c r="Y266" s="34" t="str">
        <f>SUBSTITUTE(IF(Tabella4[[#This Row],[Tool]]="axe-core",MID(Tabella4[[#This Row],[Rejected Element]],3,LEN(Tabella4[[#This Row],[Rejected Element]])-4),Tabella4[[#This Row],[Rejected Element]]),"\","")</f>
        <v/>
      </c>
      <c r="Z266" s="34">
        <f>COUNTIFS(Tabella4[Detail univoco],Tabella4[[#This Row],[Detail univoco]],Tabella4[Rejected Element Univoco],Tabella4[[#This Row],[Rejected Element Univoco]],Tabella4[ItemsNodeLabel],Tabella4[[#This Row],[ItemsNodeLabel]])</f>
        <v>0</v>
      </c>
      <c r="AA266" s="34" t="str">
        <f>IF(Tabella4[[#This Row],[Componente]]="Documenti",VLOOKUP(Tabella4[[#This Row],[URL]],Tabella27[[URL]:[Servizio]],4,FALSE),VLOOKUP(Tabella4[[#This Row],[Page ID]],Tabella1[[Page ID]:[Servizio]],4,FALSE))</f>
        <v>D001 Modello CAI - LN (</v>
      </c>
      <c r="AB266" s="34"/>
      <c r="AC266" s="34" t="str">
        <f>Tabella4[[#This Row],[User Impact]]</f>
        <v>2 - Serious</v>
      </c>
      <c r="AD266" s="34" t="str">
        <f>Copertina!C$2&amp;" - "&amp;Tabella4[[#This Row],[UNI CEI EN 301549]]&amp;" "&amp;VLOOKUP(Tabella4[[#This Row],[Criterio]],Tabella5[[ID]:[Criterio di successo]],2,FALSE)&amp;" - "&amp;Tabella4[[#This Row],[Servizio]]&amp;":"</f>
        <v>Insurance Brocker - 10.2.4.2 Titolazione della pagina - D001 Modello CAI - LN (:</v>
      </c>
      <c r="AE26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D001 Modello CAI - LN (: (#PDF0004)
D001 Modello CAI - LN (
Requisito: WCAG 2.4.2
Disabilità afflitte: Blind;Deafblind
Impatto Utente: 2 - Serious
Descrizione: Specificare il titolo del documento utilizzando la voce Titolo nel dizionario delle informazioni di un documento PDF  - Specificare il titolo del documento utilizzando la voce Titolo nel dizionario delle informazioni di un documento PDF (https://www.w3.org/WAI/WCAG22/Techniques/pdf/PDF18)
Esempio di violazione individuata sull'oggetto: 
https://www.media.poste.it/1723b746-4914-4076-ba5f-26946e1806ed/web/modello-cai-ln -  con selettore: 
Dettaglio + screenshot (accedere con le seguenti credenziali: user, axeposte@gmail.com; password, Poste2024!): 
Possibile metodologia risolutiva:
Imposta il nuovo titolo PDF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266">
        <f>_xlfn.XLOOKUP(Tabella4[[#This Row],[ID Silk]],outTable[ID Silk],outTable[Numero ticket  ],,0,1)</f>
        <v>5961</v>
      </c>
    </row>
    <row r="267" spans="1:32">
      <c r="A267" s="34" t="str">
        <f>MID(Tabella4[[#This Row],[Servizio]],1,4)&amp;Tabella4[[#This Row],[UNI CEI EN 301549]]</f>
        <v>D00110.3.1.1</v>
      </c>
      <c r="B267" s="34" t="str">
        <f>Tabella4[[#This Row],[ID Silk]]&amp;"_1"</f>
        <v>D00110.3.1.1_1</v>
      </c>
      <c r="C267" s="34" t="s">
        <v>1231</v>
      </c>
      <c r="D267" s="2" t="str">
        <f>"(#"&amp;Tabella4[[#This Row],['#ID]]&amp;")"</f>
        <v>(#PDF0005)</v>
      </c>
      <c r="E267" s="34" t="str">
        <f>IF(MID(Tabella4[[#This Row],['#ID]],1,1)="M","Mobile",IF(MID(Tabella4[[#This Row],['#ID]],1,1)="D","Desktop",IF(MID(Tabella4[[#This Row],['#ID]],1,2)="TM","Manuale","Documenti")))</f>
        <v>Documenti</v>
      </c>
      <c r="F267" s="34" t="s">
        <v>1005</v>
      </c>
      <c r="G267" s="34" t="s">
        <v>332</v>
      </c>
      <c r="H267" s="34" t="str">
        <f>IF(Tabella4[[#This Row],[Componente]]="Documenti","10.","9.")&amp;Tabella4[[#This Row],[Criterio]]</f>
        <v>10.3.1.1</v>
      </c>
      <c r="I267" s="34" t="s">
        <v>1023</v>
      </c>
      <c r="J267" t="s">
        <v>1169</v>
      </c>
      <c r="K267" s="19" t="s">
        <v>1082</v>
      </c>
      <c r="L267" s="34" t="s">
        <v>1170</v>
      </c>
      <c r="M267" s="34" t="s">
        <v>1171</v>
      </c>
      <c r="N267" s="34"/>
      <c r="O267" s="34"/>
      <c r="P267" s="48" t="s">
        <v>472</v>
      </c>
      <c r="R267" s="34" t="str">
        <f>IF(Tabella4[[#This Row],[Componente]]="Documenti",_xlfn.XLOOKUP(Tabella4[[#This Row],[URL]],Tabella27[URL],Tabella27[PDF ID],,0),_xlfn.XLOOKUP(Tabella4[[#This Row],[URL]],Tabella1[URL],Tabella1[Page ID],,0))</f>
        <v>#P01</v>
      </c>
      <c r="S267" t="s">
        <v>1154</v>
      </c>
      <c r="T267" s="34"/>
      <c r="V267" s="34" t="s">
        <v>1172</v>
      </c>
      <c r="W267" s="34" t="s">
        <v>1172</v>
      </c>
      <c r="X267" s="34">
        <f>IFERROR(IF(Tabella4[[#This Row],[Tool]]="lighthouse",Tabella4[[#This Row],[Detail]],MID(Tabella4[[#This Row],[Detail]],1,FIND("&gt;",Tabella4[[#This Row],[Detail]]))),Tabella4[[#This Row],[Detail]])</f>
        <v>0</v>
      </c>
      <c r="Y267" s="34" t="str">
        <f>SUBSTITUTE(IF(Tabella4[[#This Row],[Tool]]="axe-core",MID(Tabella4[[#This Row],[Rejected Element]],3,LEN(Tabella4[[#This Row],[Rejected Element]])-4),Tabella4[[#This Row],[Rejected Element]]),"\","")</f>
        <v/>
      </c>
      <c r="Z267" s="34">
        <f>COUNTIFS(Tabella4[Detail univoco],Tabella4[[#This Row],[Detail univoco]],Tabella4[Rejected Element Univoco],Tabella4[[#This Row],[Rejected Element Univoco]],Tabella4[ItemsNodeLabel],Tabella4[[#This Row],[ItemsNodeLabel]])</f>
        <v>0</v>
      </c>
      <c r="AA267" s="34" t="str">
        <f>IF(Tabella4[[#This Row],[Componente]]="Documenti",VLOOKUP(Tabella4[[#This Row],[URL]],Tabella27[[URL]:[Servizio]],4,FALSE),VLOOKUP(Tabella4[[#This Row],[Page ID]],Tabella1[[Page ID]:[Servizio]],4,FALSE))</f>
        <v>D001 Modello CAI - LN (</v>
      </c>
      <c r="AB267" s="34"/>
      <c r="AC267" s="34" t="str">
        <f>Tabella4[[#This Row],[User Impact]]</f>
        <v>2 - Serious</v>
      </c>
      <c r="AD267" s="34" t="str">
        <f>Copertina!C$2&amp;" - "&amp;Tabella4[[#This Row],[UNI CEI EN 301549]]&amp;" "&amp;VLOOKUP(Tabella4[[#This Row],[Criterio]],Tabella5[[ID]:[Criterio di successo]],2,FALSE)&amp;" - "&amp;Tabella4[[#This Row],[Servizio]]&amp;":"</f>
        <v>Insurance Brocker - 10.3.1.1 Lingua della pagina - D001 Modello CAI - LN (:</v>
      </c>
      <c r="AE26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- 10.3.1.1 Lingua della pagina - D001 Modello CAI - LN (: (#PDF0005)
D001 Modello CAI - LN (
Requisito: WCAG 3.1.1
Disabilità afflitte: Blind;Cognitive;Deafblind
Impatto Utente: 2 - Serious
Descrizione: Impostazione della lingua predefinita utilizzando la voce /Lang nel catalogo documenti di un documento PDF - Impostazione della lingua predefinita utilizzando la voce /Lang nel catalogo documenti di un documento PDF (https://www.w3.org/WAI/WCAG22/Techniques/pdf/PDF16)
Esempio di violazione individuata sull'oggetto: 
https://www.media.poste.it/1723b746-4914-4076-ba5f-26946e1806ed/web/modello-cai-ln -  con selettore: 
Dettaglio + screenshot (accedere con le seguenti credenziali: user, axeposte@gmail.com; password, Poste2024!): 
Possibile metodologia risolutiva:
Seleziona la lingua principale del PDF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267">
        <f>_xlfn.XLOOKUP(Tabella4[[#This Row],[ID Silk]],outTable[ID Silk],outTable[Numero ticket  ],,0,1)</f>
        <v>5962</v>
      </c>
    </row>
    <row r="268" spans="1:32">
      <c r="A268" s="34" t="str">
        <f>MID(Tabella4[[#This Row],[Servizio]],1,4)&amp;Tabella4[[#This Row],[UNI CEI EN 301549]]</f>
        <v>D00110.1.3.1</v>
      </c>
      <c r="B268" s="34" t="str">
        <f>Tabella4[[#This Row],[ID Silk]]&amp;"_1"</f>
        <v>D00110.1.3.1_1</v>
      </c>
      <c r="C268" s="34" t="s">
        <v>1232</v>
      </c>
      <c r="D268" s="2" t="str">
        <f>"(#"&amp;Tabella4[[#This Row],['#ID]]&amp;")"</f>
        <v>(#PDF0006)</v>
      </c>
      <c r="E268" s="34" t="str">
        <f>IF(MID(Tabella4[[#This Row],['#ID]],1,1)="M","Mobile",IF(MID(Tabella4[[#This Row],['#ID]],1,1)="D","Desktop",IF(MID(Tabella4[[#This Row],['#ID]],1,2)="TM","Manuale","Documenti")))</f>
        <v>Documenti</v>
      </c>
      <c r="F268" s="34" t="s">
        <v>1005</v>
      </c>
      <c r="G268" s="34" t="s">
        <v>184</v>
      </c>
      <c r="H268" s="34" t="str">
        <f>IF(Tabella4[[#This Row],[Componente]]="Documenti","10.","9.")&amp;Tabella4[[#This Row],[Criterio]]</f>
        <v>10.1.3.1</v>
      </c>
      <c r="I268" s="34" t="s">
        <v>1007</v>
      </c>
      <c r="J268" t="s">
        <v>1008</v>
      </c>
      <c r="K268" s="19" t="s">
        <v>91</v>
      </c>
      <c r="L268" s="34" t="s">
        <v>1174</v>
      </c>
      <c r="M268" s="34" t="s">
        <v>1175</v>
      </c>
      <c r="N268" s="34"/>
      <c r="O268" s="34"/>
      <c r="P268" s="48" t="s">
        <v>472</v>
      </c>
      <c r="R268" s="34" t="str">
        <f>IF(Tabella4[[#This Row],[Componente]]="Documenti",_xlfn.XLOOKUP(Tabella4[[#This Row],[URL]],Tabella27[URL],Tabella27[PDF ID],,0),_xlfn.XLOOKUP(Tabella4[[#This Row],[URL]],Tabella1[URL],Tabella1[Page ID],,0))</f>
        <v>#P01</v>
      </c>
      <c r="S268" t="s">
        <v>93</v>
      </c>
      <c r="T268" s="34"/>
      <c r="V268" s="34">
        <v>0</v>
      </c>
      <c r="W268" s="34" t="s">
        <v>1176</v>
      </c>
      <c r="X268" s="34">
        <f>IFERROR(IF(Tabella4[[#This Row],[Tool]]="lighthouse",Tabella4[[#This Row],[Detail]],MID(Tabella4[[#This Row],[Detail]],1,FIND("&gt;",Tabella4[[#This Row],[Detail]]))),Tabella4[[#This Row],[Detail]])</f>
        <v>0</v>
      </c>
      <c r="Y268" s="34" t="str">
        <f>SUBSTITUTE(IF(Tabella4[[#This Row],[Tool]]="axe-core",MID(Tabella4[[#This Row],[Rejected Element]],3,LEN(Tabella4[[#This Row],[Rejected Element]])-4),Tabella4[[#This Row],[Rejected Element]]),"\","")</f>
        <v/>
      </c>
      <c r="Z268" s="34">
        <f>COUNTIFS(Tabella4[Detail univoco],Tabella4[[#This Row],[Detail univoco]],Tabella4[Rejected Element Univoco],Tabella4[[#This Row],[Rejected Element Univoco]],Tabella4[ItemsNodeLabel],Tabella4[[#This Row],[ItemsNodeLabel]])</f>
        <v>0</v>
      </c>
      <c r="AA268" s="34" t="str">
        <f>IF(Tabella4[[#This Row],[Componente]]="Documenti",VLOOKUP(Tabella4[[#This Row],[URL]],Tabella27[[URL]:[Servizio]],4,FALSE),VLOOKUP(Tabella4[[#This Row],[Page ID]],Tabella1[[Page ID]:[Servizio]],4,FALSE))</f>
        <v>D001 Modello CAI - LN (</v>
      </c>
      <c r="AB268" s="34"/>
      <c r="AC268" s="34" t="str">
        <f>Tabella4[[#This Row],[User Impact]]</f>
        <v>1 - Critical</v>
      </c>
      <c r="AD268" s="34" t="str">
        <f>Copertina!C$2&amp;" - "&amp;Tabella4[[#This Row],[UNI CEI EN 301549]]&amp;" "&amp;VLOOKUP(Tabella4[[#This Row],[Criterio]],Tabella5[[ID]:[Criterio di successo]],2,FALSE)&amp;" - "&amp;Tabella4[[#This Row],[Servizio]]&amp;":"</f>
        <v>Insurance Brocker - 10.1.3.1 Informazioni e correlazioni - D001 Modello CAI - LN (:</v>
      </c>
      <c r="AE26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D001 Modello CAI - LN (: (#PDF0006)
D001 Modello CAI - LN (
Requisito: WCAG 1.3.1
Disabilità afflitte: Blind;Deafblind
Impatto Utente: 1 - Critical
Descrizione: Documento non contrassegnato come taggato - Documento non contrassegnato come taggato (https://www.w3.org/WAI/WCAG21/Techniques/pdf/PDF1)
Esempio di violazione individuata sull'oggetto: 
https://www.media.poste.it/1723b746-4914-4076-ba5f-26946e1806ed/web/modello-cai-ln -  con selettore: 
Dettaglio + screenshot (accedere con le seguenti credenziali: user, axeposte@gmail.com; password, Poste2024!): 
Possibile metodologia risolutiva:
Contrassegnare tutto il documento come taggato per consentire l'accesso agli screen reader. In Adobe Acrobat, selezionare Aggiungi tag al documento.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68">
        <f>_xlfn.XLOOKUP(Tabella4[[#This Row],[ID Silk]],outTable[ID Silk],outTable[Numero ticket  ],,0,1)</f>
        <v>5958</v>
      </c>
    </row>
    <row r="269" spans="1:32">
      <c r="A269" s="34" t="str">
        <f>MID(Tabella4[[#This Row],[Servizio]],1,4)&amp;Tabella4[[#This Row],[UNI CEI EN 301549]]</f>
        <v>D00110.1.3.1</v>
      </c>
      <c r="B269" s="34" t="str">
        <f>Tabella4[[#This Row],[ID Silk]]&amp;"_1"</f>
        <v>D00110.1.3.1_1</v>
      </c>
      <c r="C269" s="34" t="s">
        <v>1233</v>
      </c>
      <c r="D269" s="2" t="str">
        <f>"(#"&amp;Tabella4[[#This Row],['#ID]]&amp;")"</f>
        <v>(#PDF0007)</v>
      </c>
      <c r="E269" s="34" t="str">
        <f>IF(MID(Tabella4[[#This Row],['#ID]],1,1)="M","Mobile",IF(MID(Tabella4[[#This Row],['#ID]],1,1)="D","Desktop",IF(MID(Tabella4[[#This Row],['#ID]],1,2)="TM","Manuale","Documenti")))</f>
        <v>Documenti</v>
      </c>
      <c r="F269" s="34" t="s">
        <v>1005</v>
      </c>
      <c r="G269" s="34" t="s">
        <v>184</v>
      </c>
      <c r="H269" s="34" t="str">
        <f>IF(Tabella4[[#This Row],[Componente]]="Documenti","10.","9.")&amp;Tabella4[[#This Row],[Criterio]]</f>
        <v>10.1.3.1</v>
      </c>
      <c r="I269" s="34" t="s">
        <v>1023</v>
      </c>
      <c r="J269" t="s">
        <v>1008</v>
      </c>
      <c r="K269" s="19" t="s">
        <v>1083</v>
      </c>
      <c r="L269" s="34" t="s">
        <v>1177</v>
      </c>
      <c r="M269" s="34" t="s">
        <v>1178</v>
      </c>
      <c r="N269" s="34"/>
      <c r="O269" s="34"/>
      <c r="P269" s="48" t="s">
        <v>472</v>
      </c>
      <c r="R269" s="34" t="str">
        <f>IF(Tabella4[[#This Row],[Componente]]="Documenti",_xlfn.XLOOKUP(Tabella4[[#This Row],[URL]],Tabella27[URL],Tabella27[PDF ID],,0),_xlfn.XLOOKUP(Tabella4[[#This Row],[URL]],Tabella1[URL],Tabella1[Page ID],,0))</f>
        <v>#P01</v>
      </c>
      <c r="S269" t="s">
        <v>93</v>
      </c>
      <c r="T269" s="34"/>
      <c r="V269" s="34">
        <v>0</v>
      </c>
      <c r="W269" s="34" t="s">
        <v>1179</v>
      </c>
      <c r="X269" s="34">
        <f>IFERROR(IF(Tabella4[[#This Row],[Tool]]="lighthouse",Tabella4[[#This Row],[Detail]],MID(Tabella4[[#This Row],[Detail]],1,FIND("&gt;",Tabella4[[#This Row],[Detail]]))),Tabella4[[#This Row],[Detail]])</f>
        <v>0</v>
      </c>
      <c r="Y269" s="34" t="str">
        <f>SUBSTITUTE(IF(Tabella4[[#This Row],[Tool]]="axe-core",MID(Tabella4[[#This Row],[Rejected Element]],3,LEN(Tabella4[[#This Row],[Rejected Element]])-4),Tabella4[[#This Row],[Rejected Element]]),"\","")</f>
        <v/>
      </c>
      <c r="Z269" s="34">
        <f>COUNTIFS(Tabella4[Detail univoco],Tabella4[[#This Row],[Detail univoco]],Tabella4[Rejected Element Univoco],Tabella4[[#This Row],[Rejected Element Univoco]],Tabella4[ItemsNodeLabel],Tabella4[[#This Row],[ItemsNodeLabel]])</f>
        <v>0</v>
      </c>
      <c r="AA269" s="34" t="str">
        <f>IF(Tabella4[[#This Row],[Componente]]="Documenti",VLOOKUP(Tabella4[[#This Row],[URL]],Tabella27[[URL]:[Servizio]],4,FALSE),VLOOKUP(Tabella4[[#This Row],[Page ID]],Tabella1[[Page ID]:[Servizio]],4,FALSE))</f>
        <v>D001 Modello CAI - LN (</v>
      </c>
      <c r="AB269" s="34"/>
      <c r="AC269" s="34" t="str">
        <f>Tabella4[[#This Row],[User Impact]]</f>
        <v>2 - Serious</v>
      </c>
      <c r="AD269" s="34" t="str">
        <f>Copertina!C$2&amp;" - "&amp;Tabella4[[#This Row],[UNI CEI EN 301549]]&amp;" "&amp;VLOOKUP(Tabella4[[#This Row],[Criterio]],Tabella5[[ID]:[Criterio di successo]],2,FALSE)&amp;" - "&amp;Tabella4[[#This Row],[Servizio]]&amp;":"</f>
        <v>Insurance Brocker - 10.1.3.1 Informazioni e correlazioni - D001 Modello CAI - LN (:</v>
      </c>
      <c r="AE26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D001 Modello CAI - LN (: (#PDF0007)
D001 Modello CAI - LN (
Requisito: WCAG 1.3.1
Disabilità afflitte: Blind;Deafblind
Impatto Utente: 2 - Serious
Descrizione: Oggetto di percorso non taggato - Oggetto di percorso non taggato (https://www.w3.org/WAI/WCAG21/Techniques/pdf/PDF1)
Esempio di violazione individuata sull'oggetto: 
https://www.media.poste.it/1723b746-4914-4076-ba5f-26946e1806ed/web/modello-cai-ln -  con selettore: 
Dettaglio + screenshot (accedere con le seguenti credenziali: user, axeposte@gmail.com; password, Poste2024!): 
Possibile metodologia risolutiva:
Assicurarsi che tutti gli oggetti grafici di tipo percorso siano taggati. In Adobe Acrobat, selezionare l'oggetto e aggiungere un tag appropriato nella struttura dei tag.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69">
        <f>_xlfn.XLOOKUP(Tabella4[[#This Row],[ID Silk]],outTable[ID Silk],outTable[Numero ticket  ],,0,1)</f>
        <v>5958</v>
      </c>
    </row>
    <row r="270" spans="1:32">
      <c r="A270" s="34" t="str">
        <f>MID(Tabella4[[#This Row],[Servizio]],1,4)&amp;Tabella4[[#This Row],[UNI CEI EN 301549]]</f>
        <v>D00110.1.3.1</v>
      </c>
      <c r="B270" s="34" t="str">
        <f>Tabella4[[#This Row],[ID Silk]]&amp;"_1"</f>
        <v>D00110.1.3.1_1</v>
      </c>
      <c r="C270" s="34" t="s">
        <v>1234</v>
      </c>
      <c r="D270" s="2" t="str">
        <f>"(#"&amp;Tabella4[[#This Row],['#ID]]&amp;")"</f>
        <v>(#PDF0008)</v>
      </c>
      <c r="E270" s="34" t="str">
        <f>IF(MID(Tabella4[[#This Row],['#ID]],1,1)="M","Mobile",IF(MID(Tabella4[[#This Row],['#ID]],1,1)="D","Desktop",IF(MID(Tabella4[[#This Row],['#ID]],1,2)="TM","Manuale","Documenti")))</f>
        <v>Documenti</v>
      </c>
      <c r="F270" s="34" t="s">
        <v>1005</v>
      </c>
      <c r="G270" s="34" t="s">
        <v>184</v>
      </c>
      <c r="H270" s="34" t="str">
        <f>IF(Tabella4[[#This Row],[Componente]]="Documenti","10.","9.")&amp;Tabella4[[#This Row],[Criterio]]</f>
        <v>10.1.3.1</v>
      </c>
      <c r="I270" s="34" t="s">
        <v>1023</v>
      </c>
      <c r="J270" t="s">
        <v>1008</v>
      </c>
      <c r="K270" s="19" t="s">
        <v>1084</v>
      </c>
      <c r="L270" s="34" t="s">
        <v>1180</v>
      </c>
      <c r="M270" s="34" t="s">
        <v>1181</v>
      </c>
      <c r="N270" s="34"/>
      <c r="O270" s="34"/>
      <c r="P270" s="48" t="s">
        <v>472</v>
      </c>
      <c r="R270" s="34" t="str">
        <f>IF(Tabella4[[#This Row],[Componente]]="Documenti",_xlfn.XLOOKUP(Tabella4[[#This Row],[URL]],Tabella27[URL],Tabella27[PDF ID],,0),_xlfn.XLOOKUP(Tabella4[[#This Row],[URL]],Tabella1[URL],Tabella1[Page ID],,0))</f>
        <v>#P01</v>
      </c>
      <c r="S270" t="s">
        <v>93</v>
      </c>
      <c r="T270" s="34"/>
      <c r="V270" s="34">
        <v>0</v>
      </c>
      <c r="W270" s="34" t="s">
        <v>1182</v>
      </c>
      <c r="X270" s="34">
        <f>IFERROR(IF(Tabella4[[#This Row],[Tool]]="lighthouse",Tabella4[[#This Row],[Detail]],MID(Tabella4[[#This Row],[Detail]],1,FIND("&gt;",Tabella4[[#This Row],[Detail]]))),Tabella4[[#This Row],[Detail]])</f>
        <v>0</v>
      </c>
      <c r="Y270" s="34" t="str">
        <f>SUBSTITUTE(IF(Tabella4[[#This Row],[Tool]]="axe-core",MID(Tabella4[[#This Row],[Rejected Element]],3,LEN(Tabella4[[#This Row],[Rejected Element]])-4),Tabella4[[#This Row],[Rejected Element]]),"\","")</f>
        <v/>
      </c>
      <c r="Z270" s="34">
        <f>COUNTIFS(Tabella4[Detail univoco],Tabella4[[#This Row],[Detail univoco]],Tabella4[Rejected Element Univoco],Tabella4[[#This Row],[Rejected Element Univoco]],Tabella4[ItemsNodeLabel],Tabella4[[#This Row],[ItemsNodeLabel]])</f>
        <v>0</v>
      </c>
      <c r="AA270" s="34" t="str">
        <f>IF(Tabella4[[#This Row],[Componente]]="Documenti",VLOOKUP(Tabella4[[#This Row],[URL]],Tabella27[[URL]:[Servizio]],4,FALSE),VLOOKUP(Tabella4[[#This Row],[Page ID]],Tabella1[[Page ID]:[Servizio]],4,FALSE))</f>
        <v>D001 Modello CAI - LN (</v>
      </c>
      <c r="AB270" s="34"/>
      <c r="AC270" s="34" t="str">
        <f>Tabella4[[#This Row],[User Impact]]</f>
        <v>2 - Serious</v>
      </c>
      <c r="AD270" s="34" t="str">
        <f>Copertina!C$2&amp;" - "&amp;Tabella4[[#This Row],[UNI CEI EN 301549]]&amp;" "&amp;VLOOKUP(Tabella4[[#This Row],[Criterio]],Tabella5[[ID]:[Criterio di successo]],2,FALSE)&amp;" - "&amp;Tabella4[[#This Row],[Servizio]]&amp;":"</f>
        <v>Insurance Brocker - 10.1.3.1 Informazioni e correlazioni - D001 Modello CAI - LN (:</v>
      </c>
      <c r="AE27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D001 Modello CAI - LN (: (#PDF0008)
D001 Modello CAI - LN (
Requisito: WCAG 1.3.1
Disabilità afflitte: Blind;Deafblind
Impatto Utente: 2 - Serious
Descrizione: Oggetto immagine non taggato - Oggetto immagine non taggato (https://www.w3.org/WAI/WCAG21/Techniques/pdf/PDF1)
Esempio di violazione individuata sull'oggetto: 
https://www.media.poste.it/1723b746-4914-4076-ba5f-26946e1806ed/web/modello-cai-ln -  con selettore: 
Dettaglio + screenshot (accedere con le seguenti credenziali: user, axeposte@gmail.com; password, Poste2024!): 
Possibile metodologia risolutiva:
Taggare ogni immagine e fornire una descrizione significativa per l'accesso tramite lettori di schermo. Usare Strumenti &gt; Accessibilità &gt; Aggiungi tag all'immagine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70">
        <f>_xlfn.XLOOKUP(Tabella4[[#This Row],[ID Silk]],outTable[ID Silk],outTable[Numero ticket  ],,0,1)</f>
        <v>5958</v>
      </c>
    </row>
    <row r="271" spans="1:32">
      <c r="A271" s="34" t="str">
        <f>MID(Tabella4[[#This Row],[Servizio]],1,4)&amp;Tabella4[[#This Row],[UNI CEI EN 301549]]</f>
        <v>D00110.1.3.1</v>
      </c>
      <c r="B271" s="34" t="str">
        <f>Tabella4[[#This Row],[ID Silk]]&amp;"_1"</f>
        <v>D00110.1.3.1_1</v>
      </c>
      <c r="C271" s="34" t="s">
        <v>1235</v>
      </c>
      <c r="D271" s="2" t="str">
        <f>"(#"&amp;Tabella4[[#This Row],['#ID]]&amp;")"</f>
        <v>(#PDF0009)</v>
      </c>
      <c r="E271" s="34" t="str">
        <f>IF(MID(Tabella4[[#This Row],['#ID]],1,1)="M","Mobile",IF(MID(Tabella4[[#This Row],['#ID]],1,1)="D","Desktop",IF(MID(Tabella4[[#This Row],['#ID]],1,2)="TM","Manuale","Documenti")))</f>
        <v>Documenti</v>
      </c>
      <c r="F271" s="34" t="s">
        <v>1005</v>
      </c>
      <c r="G271" s="34" t="s">
        <v>184</v>
      </c>
      <c r="H271" s="34" t="str">
        <f>IF(Tabella4[[#This Row],[Componente]]="Documenti","10.","9.")&amp;Tabella4[[#This Row],[Criterio]]</f>
        <v>10.1.3.1</v>
      </c>
      <c r="I271" s="34" t="s">
        <v>1007</v>
      </c>
      <c r="J271" t="s">
        <v>1008</v>
      </c>
      <c r="K271" s="19" t="s">
        <v>1085</v>
      </c>
      <c r="L271" s="34" t="s">
        <v>1183</v>
      </c>
      <c r="M271" s="34" t="s">
        <v>1184</v>
      </c>
      <c r="N271" s="34"/>
      <c r="O271" s="34"/>
      <c r="P271" s="48" t="s">
        <v>472</v>
      </c>
      <c r="R271" s="34" t="str">
        <f>IF(Tabella4[[#This Row],[Componente]]="Documenti",_xlfn.XLOOKUP(Tabella4[[#This Row],[URL]],Tabella27[URL],Tabella27[PDF ID],,0),_xlfn.XLOOKUP(Tabella4[[#This Row],[URL]],Tabella1[URL],Tabella1[Page ID],,0))</f>
        <v>#P01</v>
      </c>
      <c r="S271" t="s">
        <v>93</v>
      </c>
      <c r="T271" s="34"/>
      <c r="V271" s="34">
        <v>0</v>
      </c>
      <c r="W271" s="34" t="s">
        <v>1185</v>
      </c>
      <c r="X271" s="34">
        <f>IFERROR(IF(Tabella4[[#This Row],[Tool]]="lighthouse",Tabella4[[#This Row],[Detail]],MID(Tabella4[[#This Row],[Detail]],1,FIND("&gt;",Tabella4[[#This Row],[Detail]]))),Tabella4[[#This Row],[Detail]])</f>
        <v>0</v>
      </c>
      <c r="Y271" s="34" t="str">
        <f>SUBSTITUTE(IF(Tabella4[[#This Row],[Tool]]="axe-core",MID(Tabella4[[#This Row],[Rejected Element]],3,LEN(Tabella4[[#This Row],[Rejected Element]])-4),Tabella4[[#This Row],[Rejected Element]]),"\","")</f>
        <v/>
      </c>
      <c r="Z271" s="34">
        <f>COUNTIFS(Tabella4[Detail univoco],Tabella4[[#This Row],[Detail univoco]],Tabella4[Rejected Element Univoco],Tabella4[[#This Row],[Rejected Element Univoco]],Tabella4[ItemsNodeLabel],Tabella4[[#This Row],[ItemsNodeLabel]])</f>
        <v>0</v>
      </c>
      <c r="AA271" s="34" t="str">
        <f>IF(Tabella4[[#This Row],[Componente]]="Documenti",VLOOKUP(Tabella4[[#This Row],[URL]],Tabella27[[URL]:[Servizio]],4,FALSE),VLOOKUP(Tabella4[[#This Row],[Page ID]],Tabella1[[Page ID]:[Servizio]],4,FALSE))</f>
        <v>D001 Modello CAI - LN (</v>
      </c>
      <c r="AB271" s="34"/>
      <c r="AC271" s="34" t="str">
        <f>Tabella4[[#This Row],[User Impact]]</f>
        <v>1 - Critical</v>
      </c>
      <c r="AD271" s="34" t="str">
        <f>Copertina!C$2&amp;" - "&amp;Tabella4[[#This Row],[UNI CEI EN 301549]]&amp;" "&amp;VLOOKUP(Tabella4[[#This Row],[Criterio]],Tabella5[[ID]:[Criterio di successo]],2,FALSE)&amp;" - "&amp;Tabella4[[#This Row],[Servizio]]&amp;":"</f>
        <v>Insurance Brocker - 10.1.3.1 Informazioni e correlazioni - D001 Modello CAI - LN (:</v>
      </c>
      <c r="AE27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D001 Modello CAI - LN (: (#PDF0009)
D001 Modello CAI - LN (
Requisito: WCAG 1.3.1
Disabilità afflitte: Blind;Deafblind
Impatto Utente: 1 - Critical
Descrizione: Oggetto testo non taggato - Oggetto testo non taggato (https://www.w3.org/WAI/WCAG21/Techniques/pdf/PDF1)
Esempio di violazione individuata sull'oggetto: 
https://www.media.poste.it/1723b746-4914-4076-ba5f-26946e1806ed/web/modello-cai-ln -  con selettore: 
Dettaglio + screenshot (accedere con le seguenti credenziali: user, axeposte@gmail.com; password, Poste2024!): 
Possibile metodologia risolutiva:
Assicurarsi che tutti i blocchi di testo siano taggati correttamente nella struttura PDF per l’accesso con screen reader. In Adobe Acrobat, usare l'opzione Aggiungi tag al documento.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71">
        <f>_xlfn.XLOOKUP(Tabella4[[#This Row],[ID Silk]],outTable[ID Silk],outTable[Numero ticket  ],,0,1)</f>
        <v>5958</v>
      </c>
    </row>
    <row r="272" spans="1:32">
      <c r="A272" s="34" t="str">
        <f>MID(Tabella4[[#This Row],[Servizio]],1,4)&amp;Tabella4[[#This Row],[UNI CEI EN 301549]]</f>
        <v>D00110.1.4.3</v>
      </c>
      <c r="B272" s="34" t="str">
        <f>Tabella4[[#This Row],[ID Silk]]&amp;"_1"</f>
        <v>D00110.1.4.3_1</v>
      </c>
      <c r="C272" s="34" t="s">
        <v>1236</v>
      </c>
      <c r="D272" s="2" t="str">
        <f>"(#"&amp;Tabella4[[#This Row],['#ID]]&amp;")"</f>
        <v>(#PDF0010)</v>
      </c>
      <c r="E272" s="34" t="str">
        <f>IF(MID(Tabella4[[#This Row],['#ID]],1,1)="M","Mobile",IF(MID(Tabella4[[#This Row],['#ID]],1,1)="D","Desktop",IF(MID(Tabella4[[#This Row],['#ID]],1,2)="TM","Manuale","Documenti")))</f>
        <v>Documenti</v>
      </c>
      <c r="F272" s="34" t="s">
        <v>1006</v>
      </c>
      <c r="G272" s="34" t="s">
        <v>228</v>
      </c>
      <c r="H272" s="34" t="str">
        <f>IF(Tabella4[[#This Row],[Componente]]="Documenti","10.","9.")&amp;Tabella4[[#This Row],[Criterio]]</f>
        <v>10.1.4.3</v>
      </c>
      <c r="I272" s="34" t="s">
        <v>1023</v>
      </c>
      <c r="J272" t="s">
        <v>1169</v>
      </c>
      <c r="K272" s="19" t="s">
        <v>1086</v>
      </c>
      <c r="L272" s="34" t="s">
        <v>1187</v>
      </c>
      <c r="M272" s="34" t="s">
        <v>1188</v>
      </c>
      <c r="N272" s="34"/>
      <c r="O272" s="34"/>
      <c r="P272" s="48" t="s">
        <v>472</v>
      </c>
      <c r="R272" s="34" t="str">
        <f>IF(Tabella4[[#This Row],[Componente]]="Documenti",_xlfn.XLOOKUP(Tabella4[[#This Row],[URL]],Tabella27[URL],Tabella27[PDF ID],,0),_xlfn.XLOOKUP(Tabella4[[#This Row],[URL]],Tabella1[URL],Tabella1[Page ID],,0))</f>
        <v>#P01</v>
      </c>
      <c r="S272" t="s">
        <v>93</v>
      </c>
      <c r="T272" s="34"/>
      <c r="V272" s="34">
        <v>0</v>
      </c>
      <c r="W272" s="34" t="s">
        <v>1189</v>
      </c>
      <c r="X272" s="34">
        <f>IFERROR(IF(Tabella4[[#This Row],[Tool]]="lighthouse",Tabella4[[#This Row],[Detail]],MID(Tabella4[[#This Row],[Detail]],1,FIND("&gt;",Tabella4[[#This Row],[Detail]]))),Tabella4[[#This Row],[Detail]])</f>
        <v>0</v>
      </c>
      <c r="Y272" s="34" t="str">
        <f>SUBSTITUTE(IF(Tabella4[[#This Row],[Tool]]="axe-core",MID(Tabella4[[#This Row],[Rejected Element]],3,LEN(Tabella4[[#This Row],[Rejected Element]])-4),Tabella4[[#This Row],[Rejected Element]]),"\","")</f>
        <v/>
      </c>
      <c r="Z272" s="34">
        <f>COUNTIFS(Tabella4[Detail univoco],Tabella4[[#This Row],[Detail univoco]],Tabella4[Rejected Element Univoco],Tabella4[[#This Row],[Rejected Element Univoco]],Tabella4[ItemsNodeLabel],Tabella4[[#This Row],[ItemsNodeLabel]])</f>
        <v>0</v>
      </c>
      <c r="AA272" s="34" t="str">
        <f>IF(Tabella4[[#This Row],[Componente]]="Documenti",VLOOKUP(Tabella4[[#This Row],[URL]],Tabella27[[URL]:[Servizio]],4,FALSE),VLOOKUP(Tabella4[[#This Row],[Page ID]],Tabella1[[Page ID]:[Servizio]],4,FALSE))</f>
        <v>D001 Modello CAI - LN (</v>
      </c>
      <c r="AB272" s="34"/>
      <c r="AC272" s="34" t="str">
        <f>Tabella4[[#This Row],[User Impact]]</f>
        <v>2 - Serious</v>
      </c>
      <c r="AD272" s="34" t="str">
        <f>Copertina!C$2&amp;" - "&amp;Tabella4[[#This Row],[UNI CEI EN 301549]]&amp;" "&amp;VLOOKUP(Tabella4[[#This Row],[Criterio]],Tabella5[[ID]:[Criterio di successo]],2,FALSE)&amp;" - "&amp;Tabella4[[#This Row],[Servizio]]&amp;":"</f>
        <v>Insurance Brocker - 10.1.4.3 Contrasto (minimo) - D001 Modello CAI - LN (:</v>
      </c>
      <c r="AE27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- 10.1.4.3 Contrasto (minimo) - D001 Modello CAI - LN (: (#PDF0010)
D001 Modello CAI - LN (
Requisito: WCAG 1.4.3
Disabilità afflitte: Blind;Cognitive;Deafblind
Impatto Utente: 2 - Serious
Descrizione: Testo con contrasto insufficiente - Testo con contrasto insufficiente (https://www.w3.org/WAI/WCAG21/Techniques/general/G18)
Esempio di violazione individuata sull'oggetto: 
https://www.media.poste.it/1723b746-4914-4076-ba5f-26946e1806ed/web/modello-cai-ln -  con selettore: 
Dettaglio + screenshot (accedere con le seguenti credenziali: user, axeposte@gmail.com; password, Poste2024!): 
Possibile metodologia risolutiva:
Regolare il contrasto tra testo e sfondo, assicurandosi che rispetti il rapporto minimo di contrasto di 4.5:1. Modificare il colore del testo o dello sfondo nel software di editing.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https://posteitaliane.sharepoint.com/:w:/r/teams/ACCESSIBILITRISULTATIVERIFICHETECNICHE/Shared%20Documents/Generale/SCHEDE_REQUISITI/10.1.4.3%20Contrasto%20(minimo).docx?d=wb5da035a086249bca8fc7050a31c158c&amp;csf=1&amp;web=1&amp;e=SVKGXy</v>
      </c>
      <c r="AF272">
        <f>_xlfn.XLOOKUP(Tabella4[[#This Row],[ID Silk]],outTable[ID Silk],outTable[Numero ticket  ],,0,1)</f>
        <v>5960</v>
      </c>
    </row>
    <row r="273" spans="1:32">
      <c r="A273" s="34" t="str">
        <f>MID(Tabella4[[#This Row],[Servizio]],1,4)&amp;Tabella4[[#This Row],[UNI CEI EN 301549]]</f>
        <v>D00110.2.4.2</v>
      </c>
      <c r="B273" s="34" t="str">
        <f>Tabella4[[#This Row],[ID Silk]]&amp;"_1"</f>
        <v>D00110.2.4.2_1</v>
      </c>
      <c r="C273" s="34" t="s">
        <v>1237</v>
      </c>
      <c r="D273" s="2" t="str">
        <f>"(#"&amp;Tabella4[[#This Row],['#ID]]&amp;")"</f>
        <v>(#PDF0011)</v>
      </c>
      <c r="E273" s="34" t="str">
        <f>IF(MID(Tabella4[[#This Row],['#ID]],1,1)="M","Mobile",IF(MID(Tabella4[[#This Row],['#ID]],1,1)="D","Desktop",IF(MID(Tabella4[[#This Row],['#ID]],1,2)="TM","Manuale","Documenti")))</f>
        <v>Documenti</v>
      </c>
      <c r="F273" s="34" t="s">
        <v>1005</v>
      </c>
      <c r="G273" s="34" t="s">
        <v>302</v>
      </c>
      <c r="H273" s="34" t="str">
        <f>IF(Tabella4[[#This Row],[Componente]]="Documenti","10.","9.")&amp;Tabella4[[#This Row],[Criterio]]</f>
        <v>10.2.4.2</v>
      </c>
      <c r="I273" s="34" t="s">
        <v>1036</v>
      </c>
      <c r="J273" t="s">
        <v>1191</v>
      </c>
      <c r="K273" s="19" t="s">
        <v>1087</v>
      </c>
      <c r="L273" s="34" t="s">
        <v>1192</v>
      </c>
      <c r="M273" s="34" t="s">
        <v>1193</v>
      </c>
      <c r="N273" s="34"/>
      <c r="O273" s="34"/>
      <c r="P273" s="48" t="s">
        <v>472</v>
      </c>
      <c r="R273" s="34" t="str">
        <f>IF(Tabella4[[#This Row],[Componente]]="Documenti",_xlfn.XLOOKUP(Tabella4[[#This Row],[URL]],Tabella27[URL],Tabella27[PDF ID],,0),_xlfn.XLOOKUP(Tabella4[[#This Row],[URL]],Tabella1[URL],Tabella1[Page ID],,0))</f>
        <v>#P01</v>
      </c>
      <c r="S273" t="s">
        <v>93</v>
      </c>
      <c r="T273" s="34"/>
      <c r="V273" s="34">
        <v>0</v>
      </c>
      <c r="W273" s="34" t="s">
        <v>1194</v>
      </c>
      <c r="X273" s="34">
        <f>IFERROR(IF(Tabella4[[#This Row],[Tool]]="lighthouse",Tabella4[[#This Row],[Detail]],MID(Tabella4[[#This Row],[Detail]],1,FIND("&gt;",Tabella4[[#This Row],[Detail]]))),Tabella4[[#This Row],[Detail]])</f>
        <v>0</v>
      </c>
      <c r="Y273" s="34" t="str">
        <f>SUBSTITUTE(IF(Tabella4[[#This Row],[Tool]]="axe-core",MID(Tabella4[[#This Row],[Rejected Element]],3,LEN(Tabella4[[#This Row],[Rejected Element]])-4),Tabella4[[#This Row],[Rejected Element]]),"\","")</f>
        <v/>
      </c>
      <c r="Z273" s="34">
        <f>COUNTIFS(Tabella4[Detail univoco],Tabella4[[#This Row],[Detail univoco]],Tabella4[Rejected Element Univoco],Tabella4[[#This Row],[Rejected Element Univoco]],Tabella4[ItemsNodeLabel],Tabella4[[#This Row],[ItemsNodeLabel]])</f>
        <v>0</v>
      </c>
      <c r="AA273" s="34" t="str">
        <f>IF(Tabella4[[#This Row],[Componente]]="Documenti",VLOOKUP(Tabella4[[#This Row],[URL]],Tabella27[[URL]:[Servizio]],4,FALSE),VLOOKUP(Tabella4[[#This Row],[Page ID]],Tabella1[[Page ID]:[Servizio]],4,FALSE))</f>
        <v>D001 Modello CAI - LN (</v>
      </c>
      <c r="AB273" s="34"/>
      <c r="AC273" s="34" t="str">
        <f>Tabella4[[#This Row],[User Impact]]</f>
        <v>3 - Moderate</v>
      </c>
      <c r="AD273" s="34" t="str">
        <f>Copertina!C$2&amp;" - "&amp;Tabella4[[#This Row],[UNI CEI EN 301549]]&amp;" "&amp;VLOOKUP(Tabella4[[#This Row],[Criterio]],Tabella5[[ID]:[Criterio di successo]],2,FALSE)&amp;" - "&amp;Tabella4[[#This Row],[Servizio]]&amp;":"</f>
        <v>Insurance Brocker - 10.2.4.2 Titolazione della pagina - D001 Modello CAI - LN (:</v>
      </c>
      <c r="AE27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D001 Modello CAI - LN (: (#PDF0011)
D001 Modello CAI - LN (
Requisito: WCAG 2.4.2
Disabilità afflitte: Cognitive;Mobility;Sighted Keyboard Users
Impatto Utente: 3 - Moderate
Descrizione: Titolo mancante nei metadati XMP del documento - Titolo mancante nei metadati XMP del documento (https://www.w3.org/WAI/WCAG21/Techniques/general/G88)
Esempio di violazione individuata sull'oggetto: 
https://www.media.poste.it/1723b746-4914-4076-ba5f-26946e1806ed/web/modello-cai-ln -  con selettore: 
Dettaglio + screenshot (accedere con le seguenti credenziali: user, axeposte@gmail.com; password, Poste2024!): 
Possibile metodologia risolutiva:
Aggiungere un titolo descrittivo nei metadati del documento (XMP), che aiuti gli utenti a identificare facilmente il contenuto. In Adobe Acrobat, andare su File &gt; Proprietà &gt; Descrizione e inserire un titolo.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273">
        <f>_xlfn.XLOOKUP(Tabella4[[#This Row],[ID Silk]],outTable[ID Silk],outTable[Numero ticket  ],,0,1)</f>
        <v>5961</v>
      </c>
    </row>
    <row r="274" spans="1:32">
      <c r="A274" s="34" t="str">
        <f>MID(Tabella4[[#This Row],[Servizio]],1,4)&amp;Tabella4[[#This Row],[UNI CEI EN 301549]]</f>
        <v>D00110.2.4.2</v>
      </c>
      <c r="B274" s="34" t="str">
        <f>Tabella4[[#This Row],[ID Silk]]&amp;"_1"</f>
        <v>D00110.2.4.2_1</v>
      </c>
      <c r="C274" s="34" t="s">
        <v>1238</v>
      </c>
      <c r="D274" s="2" t="str">
        <f>"(#"&amp;Tabella4[[#This Row],['#ID]]&amp;")"</f>
        <v>(#PDF0012)</v>
      </c>
      <c r="E274" s="34" t="str">
        <f>IF(MID(Tabella4[[#This Row],['#ID]],1,1)="M","Mobile",IF(MID(Tabella4[[#This Row],['#ID]],1,1)="D","Desktop",IF(MID(Tabella4[[#This Row],['#ID]],1,2)="TM","Manuale","Documenti")))</f>
        <v>Documenti</v>
      </c>
      <c r="F274" s="34" t="s">
        <v>1005</v>
      </c>
      <c r="G274" s="34" t="s">
        <v>302</v>
      </c>
      <c r="H274" s="34" t="str">
        <f>IF(Tabella4[[#This Row],[Componente]]="Documenti","10.","9.")&amp;Tabella4[[#This Row],[Criterio]]</f>
        <v>10.2.4.2</v>
      </c>
      <c r="I274" s="34" t="s">
        <v>1195</v>
      </c>
      <c r="J274" t="s">
        <v>1196</v>
      </c>
      <c r="K274" s="19" t="s">
        <v>1088</v>
      </c>
      <c r="L274" s="34" t="s">
        <v>1197</v>
      </c>
      <c r="M274" s="34" t="s">
        <v>1198</v>
      </c>
      <c r="N274" s="34"/>
      <c r="O274" s="34"/>
      <c r="P274" s="48" t="s">
        <v>472</v>
      </c>
      <c r="R274" s="34" t="str">
        <f>IF(Tabella4[[#This Row],[Componente]]="Documenti",_xlfn.XLOOKUP(Tabella4[[#This Row],[URL]],Tabella27[URL],Tabella27[PDF ID],,0),_xlfn.XLOOKUP(Tabella4[[#This Row],[URL]],Tabella1[URL],Tabella1[Page ID],,0))</f>
        <v>#P01</v>
      </c>
      <c r="S274" t="s">
        <v>93</v>
      </c>
      <c r="T274" s="34"/>
      <c r="V274" s="34">
        <v>0</v>
      </c>
      <c r="W274" s="34" t="s">
        <v>1199</v>
      </c>
      <c r="X274" s="34">
        <f>IFERROR(IF(Tabella4[[#This Row],[Tool]]="lighthouse",Tabella4[[#This Row],[Detail]],MID(Tabella4[[#This Row],[Detail]],1,FIND("&gt;",Tabella4[[#This Row],[Detail]]))),Tabella4[[#This Row],[Detail]])</f>
        <v>0</v>
      </c>
      <c r="Y274" s="34" t="str">
        <f>SUBSTITUTE(IF(Tabella4[[#This Row],[Tool]]="axe-core",MID(Tabella4[[#This Row],[Rejected Element]],3,LEN(Tabella4[[#This Row],[Rejected Element]])-4),Tabella4[[#This Row],[Rejected Element]]),"\","")</f>
        <v/>
      </c>
      <c r="Z274" s="34">
        <f>COUNTIFS(Tabella4[Detail univoco],Tabella4[[#This Row],[Detail univoco]],Tabella4[Rejected Element Univoco],Tabella4[[#This Row],[Rejected Element Univoco]],Tabella4[ItemsNodeLabel],Tabella4[[#This Row],[ItemsNodeLabel]])</f>
        <v>0</v>
      </c>
      <c r="AA274" s="34" t="str">
        <f>IF(Tabella4[[#This Row],[Componente]]="Documenti",VLOOKUP(Tabella4[[#This Row],[URL]],Tabella27[[URL]:[Servizio]],4,FALSE),VLOOKUP(Tabella4[[#This Row],[Page ID]],Tabella1[[Page ID]:[Servizio]],4,FALSE))</f>
        <v>D001 Modello CAI - LN (</v>
      </c>
      <c r="AB274" s="34"/>
      <c r="AC274" s="34" t="str">
        <f>Tabella4[[#This Row],[User Impact]]</f>
        <v>4 - Minor</v>
      </c>
      <c r="AD274" s="34" t="str">
        <f>Copertina!C$2&amp;" - "&amp;Tabella4[[#This Row],[UNI CEI EN 301549]]&amp;" "&amp;VLOOKUP(Tabella4[[#This Row],[Criterio]],Tabella5[[ID]:[Criterio di successo]],2,FALSE)&amp;" - "&amp;Tabella4[[#This Row],[Servizio]]&amp;":"</f>
        <v>Insurance Brocker - 10.2.4.2 Titolazione della pagina - D001 Modello CAI - LN (:</v>
      </c>
      <c r="AE27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D001 Modello CAI - LN (: (#PDF0012)
D001 Modello CAI - LN (
Requisito: WCAG 2.4.2
Disabilità afflitte: Cognitive
Impatto Utente: 4 - Minor
Descrizione: "DisplayDocTitle" non impostato - "DisplayDocTitle" non impostato (https://www.w3.org/WAI/WCAG21/Techniques/general/G88)
Esempio di violazione individuata sull'oggetto: 
https://www.media.poste.it/1723b746-4914-4076-ba5f-26946e1806ed/web/modello-cai-ln -  con selettore: 
Dettaglio + screenshot (accedere con le seguenti credenziali: user, axeposte@gmail.com; password, Poste2024!): 
Possibile metodologia risolutiva:
Impostare l’opzione "DisplayDocTitle" per mostrare il titolo del documento anziché il nome file. In Acrobat, andare su File &gt; Proprietà &gt; Visualizzazione iniziale e selezionare “Mostra titolo documento”.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274">
        <f>_xlfn.XLOOKUP(Tabella4[[#This Row],[ID Silk]],outTable[ID Silk],outTable[Numero ticket  ],,0,1)</f>
        <v>5961</v>
      </c>
    </row>
    <row r="275" spans="1:32">
      <c r="A275" s="34" t="str">
        <f>MID(Tabella4[[#This Row],[Servizio]],1,4)&amp;Tabella4[[#This Row],[UNI CEI EN 301549]]</f>
        <v>D00110.3.1.1</v>
      </c>
      <c r="B275" s="34" t="str">
        <f>Tabella4[[#This Row],[ID Silk]]&amp;"_1"</f>
        <v>D00110.3.1.1_1</v>
      </c>
      <c r="C275" s="34" t="s">
        <v>1239</v>
      </c>
      <c r="D275" s="2" t="str">
        <f>"(#"&amp;Tabella4[[#This Row],['#ID]]&amp;")"</f>
        <v>(#PDF0013)</v>
      </c>
      <c r="E275" s="34" t="str">
        <f>IF(MID(Tabella4[[#This Row],['#ID]],1,1)="M","Mobile",IF(MID(Tabella4[[#This Row],['#ID]],1,1)="D","Desktop",IF(MID(Tabella4[[#This Row],['#ID]],1,2)="TM","Manuale","Documenti")))</f>
        <v>Documenti</v>
      </c>
      <c r="F275" s="34" t="s">
        <v>1005</v>
      </c>
      <c r="G275" s="34" t="s">
        <v>332</v>
      </c>
      <c r="H275" s="34" t="str">
        <f>IF(Tabella4[[#This Row],[Componente]]="Documenti","10.","9.")&amp;Tabella4[[#This Row],[Criterio]]</f>
        <v>10.3.1.1</v>
      </c>
      <c r="I275" s="34" t="s">
        <v>1036</v>
      </c>
      <c r="J275" t="s">
        <v>1169</v>
      </c>
      <c r="K275" s="19" t="s">
        <v>1089</v>
      </c>
      <c r="L275" s="34" t="s">
        <v>1201</v>
      </c>
      <c r="M275" s="34" t="s">
        <v>1202</v>
      </c>
      <c r="N275" s="34"/>
      <c r="O275" s="34"/>
      <c r="P275" s="48" t="s">
        <v>472</v>
      </c>
      <c r="R275" s="34" t="str">
        <f>IF(Tabella4[[#This Row],[Componente]]="Documenti",_xlfn.XLOOKUP(Tabella4[[#This Row],[URL]],Tabella27[URL],Tabella27[PDF ID],,0),_xlfn.XLOOKUP(Tabella4[[#This Row],[URL]],Tabella1[URL],Tabella1[Page ID],,0))</f>
        <v>#P01</v>
      </c>
      <c r="S275" t="s">
        <v>93</v>
      </c>
      <c r="T275" s="34"/>
      <c r="V275" s="34">
        <v>0</v>
      </c>
      <c r="W275" s="34" t="s">
        <v>1203</v>
      </c>
      <c r="X275" s="34">
        <f>IFERROR(IF(Tabella4[[#This Row],[Tool]]="lighthouse",Tabella4[[#This Row],[Detail]],MID(Tabella4[[#This Row],[Detail]],1,FIND("&gt;",Tabella4[[#This Row],[Detail]]))),Tabella4[[#This Row],[Detail]])</f>
        <v>0</v>
      </c>
      <c r="Y275" s="34" t="str">
        <f>SUBSTITUTE(IF(Tabella4[[#This Row],[Tool]]="axe-core",MID(Tabella4[[#This Row],[Rejected Element]],3,LEN(Tabella4[[#This Row],[Rejected Element]])-4),Tabella4[[#This Row],[Rejected Element]]),"\","")</f>
        <v/>
      </c>
      <c r="Z275" s="34">
        <f>COUNTIFS(Tabella4[Detail univoco],Tabella4[[#This Row],[Detail univoco]],Tabella4[Rejected Element Univoco],Tabella4[[#This Row],[Rejected Element Univoco]],Tabella4[ItemsNodeLabel],Tabella4[[#This Row],[ItemsNodeLabel]])</f>
        <v>0</v>
      </c>
      <c r="AA275" s="34" t="str">
        <f>IF(Tabella4[[#This Row],[Componente]]="Documenti",VLOOKUP(Tabella4[[#This Row],[URL]],Tabella27[[URL]:[Servizio]],4,FALSE),VLOOKUP(Tabella4[[#This Row],[Page ID]],Tabella1[[Page ID]:[Servizio]],4,FALSE))</f>
        <v>D001 Modello CAI - LN (</v>
      </c>
      <c r="AB275" s="34"/>
      <c r="AC275" s="34" t="str">
        <f>Tabella4[[#This Row],[User Impact]]</f>
        <v>3 - Moderate</v>
      </c>
      <c r="AD275" s="34" t="str">
        <f>Copertina!C$2&amp;" - "&amp;Tabella4[[#This Row],[UNI CEI EN 301549]]&amp;" "&amp;VLOOKUP(Tabella4[[#This Row],[Criterio]],Tabella5[[ID]:[Criterio di successo]],2,FALSE)&amp;" - "&amp;Tabella4[[#This Row],[Servizio]]&amp;":"</f>
        <v>Insurance Brocker - 10.3.1.1 Lingua della pagina - D001 Modello CAI - LN (:</v>
      </c>
      <c r="AE27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- 10.3.1.1 Lingua della pagina - D001 Modello CAI - LN (: (#PDF0013)
D001 Modello CAI - LN (
Requisito: WCAG 3.1.1
Disabilità afflitte: Blind;Cognitive;Deafblind
Impatto Utente: 3 - Moderate
Descrizione: I metadati della lingua del documento contengono un errore di sintassi - I metadati della lingua del documento contengono un errore di sintassi (https://www.w3.org/WAI/WCAG21/Techniques/html/H57)
Esempio di violazione individuata sull'oggetto: 
https://www.media.poste.it/1723b746-4914-4076-ba5f-26946e1806ed/web/modello-cai-ln -  con selettore: 
Dettaglio + screenshot (accedere con le seguenti credenziali: user, axeposte@gmail.com; password, Poste2024!): 
Possibile metodologia risolutiva:
Correggere l'errore di sintassi nei metadati della lingua per consentire ai lettori di schermo di riconoscere correttamente la lingua.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275">
        <f>_xlfn.XLOOKUP(Tabella4[[#This Row],[ID Silk]],outTable[ID Silk],outTable[Numero ticket  ],,0,1)</f>
        <v>5962</v>
      </c>
    </row>
    <row r="276" spans="1:32">
      <c r="A276" s="34" t="str">
        <f>MID(Tabella4[[#This Row],[Servizio]],1,4)&amp;Tabella4[[#This Row],[UNI CEI EN 301549]]</f>
        <v>D00110.3.1.2</v>
      </c>
      <c r="B276" s="34" t="str">
        <f>Tabella4[[#This Row],[ID Silk]]&amp;"_1"</f>
        <v>D00110.3.1.2_1</v>
      </c>
      <c r="C276" s="34" t="s">
        <v>1240</v>
      </c>
      <c r="D276" s="2" t="str">
        <f>"(#"&amp;Tabella4[[#This Row],['#ID]]&amp;")"</f>
        <v>(#PDF0014)</v>
      </c>
      <c r="E276" s="34" t="str">
        <f>IF(MID(Tabella4[[#This Row],['#ID]],1,1)="M","Mobile",IF(MID(Tabella4[[#This Row],['#ID]],1,1)="D","Desktop",IF(MID(Tabella4[[#This Row],['#ID]],1,2)="TM","Manuale","Documenti")))</f>
        <v>Documenti</v>
      </c>
      <c r="F276" s="34" t="s">
        <v>1006</v>
      </c>
      <c r="G276" s="34" t="s">
        <v>334</v>
      </c>
      <c r="H276" s="34" t="str">
        <f>IF(Tabella4[[#This Row],[Componente]]="Documenti","10.","9.")&amp;Tabella4[[#This Row],[Criterio]]</f>
        <v>10.3.1.2</v>
      </c>
      <c r="I276" s="34" t="s">
        <v>1023</v>
      </c>
      <c r="J276" t="s">
        <v>1169</v>
      </c>
      <c r="K276" s="19" t="s">
        <v>1090</v>
      </c>
      <c r="L276" s="34" t="s">
        <v>1205</v>
      </c>
      <c r="M276" s="34" t="s">
        <v>1206</v>
      </c>
      <c r="N276" s="34"/>
      <c r="O276" s="34"/>
      <c r="P276" s="48" t="s">
        <v>472</v>
      </c>
      <c r="R276" s="34" t="str">
        <f>IF(Tabella4[[#This Row],[Componente]]="Documenti",_xlfn.XLOOKUP(Tabella4[[#This Row],[URL]],Tabella27[URL],Tabella27[PDF ID],,0),_xlfn.XLOOKUP(Tabella4[[#This Row],[URL]],Tabella1[URL],Tabella1[Page ID],,0))</f>
        <v>#P01</v>
      </c>
      <c r="S276" t="s">
        <v>93</v>
      </c>
      <c r="T276" s="34"/>
      <c r="V276" s="34">
        <v>0</v>
      </c>
      <c r="W276" s="34" t="s">
        <v>1207</v>
      </c>
      <c r="X276" s="34">
        <f>IFERROR(IF(Tabella4[[#This Row],[Tool]]="lighthouse",Tabella4[[#This Row],[Detail]],MID(Tabella4[[#This Row],[Detail]],1,FIND("&gt;",Tabella4[[#This Row],[Detail]]))),Tabella4[[#This Row],[Detail]])</f>
        <v>0</v>
      </c>
      <c r="Y276" s="34" t="str">
        <f>SUBSTITUTE(IF(Tabella4[[#This Row],[Tool]]="axe-core",MID(Tabella4[[#This Row],[Rejected Element]],3,LEN(Tabella4[[#This Row],[Rejected Element]])-4),Tabella4[[#This Row],[Rejected Element]]),"\","")</f>
        <v/>
      </c>
      <c r="Z276" s="34">
        <f>COUNTIFS(Tabella4[Detail univoco],Tabella4[[#This Row],[Detail univoco]],Tabella4[Rejected Element Univoco],Tabella4[[#This Row],[Rejected Element Univoco]],Tabella4[ItemsNodeLabel],Tabella4[[#This Row],[ItemsNodeLabel]])</f>
        <v>0</v>
      </c>
      <c r="AA276" s="34" t="str">
        <f>IF(Tabella4[[#This Row],[Componente]]="Documenti",VLOOKUP(Tabella4[[#This Row],[URL]],Tabella27[[URL]:[Servizio]],4,FALSE),VLOOKUP(Tabella4[[#This Row],[Page ID]],Tabella1[[Page ID]:[Servizio]],4,FALSE))</f>
        <v>D001 Modello CAI - LN (</v>
      </c>
      <c r="AB276" s="34"/>
      <c r="AC276" s="34" t="str">
        <f>Tabella4[[#This Row],[User Impact]]</f>
        <v>2 - Serious</v>
      </c>
      <c r="AD276" s="34" t="str">
        <f>Copertina!C$2&amp;" - "&amp;Tabella4[[#This Row],[UNI CEI EN 301549]]&amp;" "&amp;VLOOKUP(Tabella4[[#This Row],[Criterio]],Tabella5[[ID]:[Criterio di successo]],2,FALSE)&amp;" - "&amp;Tabella4[[#This Row],[Servizio]]&amp;":"</f>
        <v>Insurance Brocker - 10.3.1.2 Parti in lingua - D001 Modello CAI - LN (:</v>
      </c>
      <c r="AE27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- 10.3.1.2 Parti in lingua - D001 Modello CAI - LN (: (#PDF0014)
D001 Modello CAI - LN (
Requisito: WCAG 3.1.2
Disabilità afflitte: Blind;Cognitive;Deafblind
Impatto Utente: 2 - Serious
Descrizione: La lingua naturale per un oggetto di testo non può essere determinata. - La lingua naturale per un oggetto di testo non può essere determinata. (https://www.w3.org/TR/WCAG20-TECHS/PDF19.html)
Esempio di violazione individuata sull'oggetto: 
https://www.media.poste.it/1723b746-4914-4076-ba5f-26946e1806ed/web/modello-cai-ln -  con selettore: 
Dettaglio + screenshot (accedere con le seguenti credenziali: user, axeposte@gmail.com; password, Poste2024!): 
Possibile metodologia risolutiva:
In Adobe Acrobat Pro, vai su File &gt; Proprietà &gt; Avanzate e imposta la lingua predefinita del documento. Usa strumenti di verifica per controllare che tutti gli oggetti di testo ereditino correttamente questa impostazione.
File di log (occorrenze rilevate: 1): https://posteitaliane.sharepoint.com/:x:/r/teams/ACCESSIBILITRISULTATIVERIFICHETECNICHE-PORTALEIMMIGRAZIONE/Shared%20Documents/PORTALE%20IMMIGRAZIONE/LOG/Log_2411.xlsx?d=wce770a595441461abc11f2c139111c73&amp;csf=1&amp;web=1&amp;e=tpdJfo
Link al dettaglio requisito WCAG: </v>
      </c>
      <c r="AF276">
        <f>_xlfn.XLOOKUP(Tabella4[[#This Row],[ID Silk]],outTable[ID Silk],outTable[Numero ticket  ],,0,1)</f>
        <v>5963</v>
      </c>
    </row>
    <row r="277" spans="1:32">
      <c r="A277" s="34" t="str">
        <f>MID(Tabella4[[#This Row],[Servizio]],1,4)&amp;Tabella4[[#This Row],[UNI CEI EN 301549]]</f>
        <v>D00210.1.3.1</v>
      </c>
      <c r="B277" s="34" t="str">
        <f>Tabella4[[#This Row],[ID Silk]]&amp;"_1"</f>
        <v>D00210.1.3.1_1</v>
      </c>
      <c r="C277" s="34" t="s">
        <v>1241</v>
      </c>
      <c r="D277" s="2" t="str">
        <f>"(#"&amp;Tabella4[[#This Row],['#ID]]&amp;")"</f>
        <v>(#PDF0015)</v>
      </c>
      <c r="E277" s="34" t="str">
        <f>IF(MID(Tabella4[[#This Row],['#ID]],1,1)="M","Mobile",IF(MID(Tabella4[[#This Row],['#ID]],1,1)="D","Desktop",IF(MID(Tabella4[[#This Row],['#ID]],1,2)="TM","Manuale","Documenti")))</f>
        <v>Documenti</v>
      </c>
      <c r="F277" s="34" t="s">
        <v>1005</v>
      </c>
      <c r="G277" s="34" t="s">
        <v>184</v>
      </c>
      <c r="H277" s="34" t="str">
        <f>IF(Tabella4[[#This Row],[Componente]]="Documenti","10.","9.")&amp;Tabella4[[#This Row],[Criterio]]</f>
        <v>10.1.3.1</v>
      </c>
      <c r="I277" s="34" t="s">
        <v>1007</v>
      </c>
      <c r="J277" t="s">
        <v>1019</v>
      </c>
      <c r="K277" s="19" t="s">
        <v>88</v>
      </c>
      <c r="L277" s="34" t="s">
        <v>1152</v>
      </c>
      <c r="M277" s="34" t="s">
        <v>1153</v>
      </c>
      <c r="N277" s="34"/>
      <c r="O277" s="34"/>
      <c r="P277" s="55" t="s">
        <v>473</v>
      </c>
      <c r="R277" s="34" t="str">
        <f>IF(Tabella4[[#This Row],[Componente]]="Documenti",_xlfn.XLOOKUP(Tabella4[[#This Row],[URL]],Tabella27[URL],Tabella27[PDF ID],,0),_xlfn.XLOOKUP(Tabella4[[#This Row],[URL]],Tabella1[URL],Tabella1[Page ID],,0))</f>
        <v>#P02</v>
      </c>
      <c r="S277" t="s">
        <v>1154</v>
      </c>
      <c r="T277" s="34"/>
      <c r="V277" s="34">
        <v>0</v>
      </c>
      <c r="W277" s="34" t="s">
        <v>1155</v>
      </c>
      <c r="X277" s="34">
        <f>IFERROR(IF(Tabella4[[#This Row],[Tool]]="lighthouse",Tabella4[[#This Row],[Detail]],MID(Tabella4[[#This Row],[Detail]],1,FIND("&gt;",Tabella4[[#This Row],[Detail]]))),Tabella4[[#This Row],[Detail]])</f>
        <v>0</v>
      </c>
      <c r="Y277" s="34" t="str">
        <f>SUBSTITUTE(IF(Tabella4[[#This Row],[Tool]]="axe-core",MID(Tabella4[[#This Row],[Rejected Element]],3,LEN(Tabella4[[#This Row],[Rejected Element]])-4),Tabella4[[#This Row],[Rejected Element]]),"\","")</f>
        <v/>
      </c>
      <c r="Z277" s="34">
        <f>COUNTIFS(Tabella4[Detail univoco],Tabella4[[#This Row],[Detail univoco]],Tabella4[Rejected Element Univoco],Tabella4[[#This Row],[Rejected Element Univoco]],Tabella4[ItemsNodeLabel],Tabella4[[#This Row],[ItemsNodeLabel]])</f>
        <v>0</v>
      </c>
      <c r="AA277" s="34" t="str">
        <f>IF(Tabella4[[#This Row],[Componente]]="Documenti",VLOOKUP(Tabella4[[#This Row],[URL]],Tabella27[[URL]:[Servizio]],4,FALSE),VLOOKUP(Tabella4[[#This Row],[Page ID]],Tabella1[[Page ID]:[Servizio]],4,FALSE))</f>
        <v>D002 Modello CAI - GN</v>
      </c>
      <c r="AB277" s="34"/>
      <c r="AC277" s="34" t="str">
        <f>Tabella4[[#This Row],[User Impact]]</f>
        <v>1 - Critical</v>
      </c>
      <c r="AD277" s="34" t="str">
        <f>Copertina!C$2&amp;" - "&amp;Tabella4[[#This Row],[UNI CEI EN 301549]]&amp;" "&amp;VLOOKUP(Tabella4[[#This Row],[Criterio]],Tabella5[[ID]:[Criterio di successo]],2,FALSE)&amp;" - "&amp;Tabella4[[#This Row],[Servizio]]&amp;":"</f>
        <v>Insurance Brocker - 10.1.3.1 Informazioni e correlazioni - D002 Modello CAI - GN:</v>
      </c>
      <c r="AE27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D002 Modello CAI - GN: (#PDF0015)
D002 Modello CAI - GN
Requisito: WCAG 1.3.1
Disabilità afflitte: Blind;Deafblind;Mobility
Impatto Utente: 1 - Critical
Descrizione: Utilizza i tag per specificare la struttura logica del PDF  - Utilizza i tag per specificare la struttura logica del PDF (https://www.w3.org/TR/WCAG20-TECHS/pdf#pdf_notes_acc-sup_tagged)
Esempio di violazione individuata sull'oggetto: 
https://www.media.poste.it/6a7ffb23-48ca-4da0-8809-5d99d243adb4/web/modello-cai-gtel -  con selettore: 
Dettaglio + screenshot (accedere con le seguenti credenziali: user, axeposte@gmail.com; password, Poste2024!): 
Possibile metodologia risolutiva:
Cambiare la struttura del PDF a Tagged PDF
File di log (occorrenze rilevate: 7):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77">
        <f>_xlfn.XLOOKUP(Tabella4[[#This Row],[ID Silk]],outTable[ID Silk],outTable[Numero ticket  ],,0,1)</f>
        <v>5964</v>
      </c>
    </row>
    <row r="278" spans="1:32">
      <c r="A278" s="34" t="str">
        <f>MID(Tabella4[[#This Row],[Servizio]],1,4)&amp;Tabella4[[#This Row],[UNI CEI EN 301549]]</f>
        <v>D00210.1.3.1</v>
      </c>
      <c r="B278" s="34" t="str">
        <f>Tabella4[[#This Row],[ID Silk]]&amp;"_1"</f>
        <v>D00210.1.3.1_1</v>
      </c>
      <c r="C278" s="34" t="s">
        <v>1242</v>
      </c>
      <c r="D278" s="2" t="str">
        <f>"(#"&amp;Tabella4[[#This Row],['#ID]]&amp;")"</f>
        <v>(#PDF0016)</v>
      </c>
      <c r="E278" s="34" t="str">
        <f>IF(MID(Tabella4[[#This Row],['#ID]],1,1)="M","Mobile",IF(MID(Tabella4[[#This Row],['#ID]],1,1)="D","Desktop",IF(MID(Tabella4[[#This Row],['#ID]],1,2)="TM","Manuale","Documenti")))</f>
        <v>Documenti</v>
      </c>
      <c r="F278" s="34" t="s">
        <v>1005</v>
      </c>
      <c r="G278" s="34" t="s">
        <v>184</v>
      </c>
      <c r="H278" s="34" t="str">
        <f>IF(Tabella4[[#This Row],[Componente]]="Documenti","10.","9.")&amp;Tabella4[[#This Row],[Criterio]]</f>
        <v>10.1.3.1</v>
      </c>
      <c r="I278" s="34" t="s">
        <v>1023</v>
      </c>
      <c r="J278" t="s">
        <v>1008</v>
      </c>
      <c r="K278" s="19" t="s">
        <v>90</v>
      </c>
      <c r="L278" s="34" t="s">
        <v>1157</v>
      </c>
      <c r="M278" s="34" t="s">
        <v>1158</v>
      </c>
      <c r="N278" s="34"/>
      <c r="O278" s="34"/>
      <c r="P278" s="55" t="s">
        <v>473</v>
      </c>
      <c r="R278" s="34" t="str">
        <f>IF(Tabella4[[#This Row],[Componente]]="Documenti",_xlfn.XLOOKUP(Tabella4[[#This Row],[URL]],Tabella27[URL],Tabella27[PDF ID],,0),_xlfn.XLOOKUP(Tabella4[[#This Row],[URL]],Tabella1[URL],Tabella1[Page ID],,0))</f>
        <v>#P02</v>
      </c>
      <c r="S278" t="s">
        <v>1154</v>
      </c>
      <c r="T278" s="34"/>
      <c r="V278" s="34">
        <v>0</v>
      </c>
      <c r="W278" s="34" t="s">
        <v>1159</v>
      </c>
      <c r="X278" s="34">
        <f>IFERROR(IF(Tabella4[[#This Row],[Tool]]="lighthouse",Tabella4[[#This Row],[Detail]],MID(Tabella4[[#This Row],[Detail]],1,FIND("&gt;",Tabella4[[#This Row],[Detail]]))),Tabella4[[#This Row],[Detail]])</f>
        <v>0</v>
      </c>
      <c r="Y278" s="34" t="str">
        <f>SUBSTITUTE(IF(Tabella4[[#This Row],[Tool]]="axe-core",MID(Tabella4[[#This Row],[Rejected Element]],3,LEN(Tabella4[[#This Row],[Rejected Element]])-4),Tabella4[[#This Row],[Rejected Element]]),"\","")</f>
        <v/>
      </c>
      <c r="Z278" s="34">
        <f>COUNTIFS(Tabella4[Detail univoco],Tabella4[[#This Row],[Detail univoco]],Tabella4[Rejected Element Univoco],Tabella4[[#This Row],[Rejected Element Univoco]],Tabella4[ItemsNodeLabel],Tabella4[[#This Row],[ItemsNodeLabel]])</f>
        <v>0</v>
      </c>
      <c r="AA278" s="34" t="str">
        <f>IF(Tabella4[[#This Row],[Componente]]="Documenti",VLOOKUP(Tabella4[[#This Row],[URL]],Tabella27[[URL]:[Servizio]],4,FALSE),VLOOKUP(Tabella4[[#This Row],[Page ID]],Tabella1[[Page ID]:[Servizio]],4,FALSE))</f>
        <v>D002 Modello CAI - GN</v>
      </c>
      <c r="AB278" s="34"/>
      <c r="AC278" s="34" t="str">
        <f>Tabella4[[#This Row],[User Impact]]</f>
        <v>2 - Serious</v>
      </c>
      <c r="AD278" s="34" t="str">
        <f>Copertina!C$2&amp;" - "&amp;Tabella4[[#This Row],[UNI CEI EN 301549]]&amp;" "&amp;VLOOKUP(Tabella4[[#This Row],[Criterio]],Tabella5[[ID]:[Criterio di successo]],2,FALSE)&amp;" - "&amp;Tabella4[[#This Row],[Servizio]]&amp;":"</f>
        <v>Insurance Brocker - 10.1.3.1 Informazioni e correlazioni - D002 Modello CAI - GN:</v>
      </c>
      <c r="AE27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D002 Modello CAI - GN: (#PDF0016)
D002 Modello CAI - GN
Requisito: WCAG 1.3.1
Disabilità afflitte: Blind;Deafblind
Impatto Utente: 2 - Serious
Descrizione: Fornire intestazioni contrassegnando il contenuto con tag di intestazione nei documenti PDF  - Fornire intestazioni contrassegnando il contenuto con tag di intestazione nei documenti PDF (https://www.w3.org/WAI/WCAG22/Techniques/pdf/PDF9)
Esempio di violazione individuata sull'oggetto: 
https://www.media.poste.it/6a7ffb23-48ca-4da0-8809-5d99d243adb4/web/modello-cai-gtel -  con selettore: 
Dettaglio + screenshot (accedere con le seguenti credenziali: user, axeposte@gmail.com; password, Poste2024!): 
Possibile metodologia risolutiva:
I documenti pdf devono avere gli heading correttamente marcati:
- Aggiungendo o modificando i tag heading su prodotti di modifica PDF
- Creando documenti in programmi Word usando lo styling corretto per la conversione in PDF
- Marcando gli heading usando elementi /Hn
File di log (occorrenze rilevate: 7):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78">
        <f>_xlfn.XLOOKUP(Tabella4[[#This Row],[ID Silk]],outTable[ID Silk],outTable[Numero ticket  ],,0,1)</f>
        <v>5964</v>
      </c>
    </row>
    <row r="279" spans="1:32">
      <c r="A279" s="34" t="str">
        <f>MID(Tabella4[[#This Row],[Servizio]],1,4)&amp;Tabella4[[#This Row],[UNI CEI EN 301549]]</f>
        <v>D00210.1.3.2</v>
      </c>
      <c r="B279" s="34" t="str">
        <f>Tabella4[[#This Row],[ID Silk]]&amp;"_1"</f>
        <v>D00210.1.3.2_1</v>
      </c>
      <c r="C279" s="34" t="s">
        <v>1243</v>
      </c>
      <c r="D279" s="2" t="str">
        <f>"(#"&amp;Tabella4[[#This Row],['#ID]]&amp;")"</f>
        <v>(#PDF0017)</v>
      </c>
      <c r="E279" s="34" t="str">
        <f>IF(MID(Tabella4[[#This Row],['#ID]],1,1)="M","Mobile",IF(MID(Tabella4[[#This Row],['#ID]],1,1)="D","Desktop",IF(MID(Tabella4[[#This Row],['#ID]],1,2)="TM","Manuale","Documenti")))</f>
        <v>Documenti</v>
      </c>
      <c r="F279" s="34" t="s">
        <v>1005</v>
      </c>
      <c r="G279" s="34" t="s">
        <v>191</v>
      </c>
      <c r="H279" s="34" t="str">
        <f>IF(Tabella4[[#This Row],[Componente]]="Documenti","10.","9.")&amp;Tabella4[[#This Row],[Criterio]]</f>
        <v>10.1.3.2</v>
      </c>
      <c r="I279" s="34" t="s">
        <v>1007</v>
      </c>
      <c r="J279" t="s">
        <v>1019</v>
      </c>
      <c r="K279" s="19" t="s">
        <v>1080</v>
      </c>
      <c r="L279" s="34" t="s">
        <v>1161</v>
      </c>
      <c r="M279" s="34" t="s">
        <v>1162</v>
      </c>
      <c r="N279" s="34"/>
      <c r="O279" s="34"/>
      <c r="P279" s="55" t="s">
        <v>473</v>
      </c>
      <c r="R279" s="34" t="str">
        <f>IF(Tabella4[[#This Row],[Componente]]="Documenti",_xlfn.XLOOKUP(Tabella4[[#This Row],[URL]],Tabella27[URL],Tabella27[PDF ID],,0),_xlfn.XLOOKUP(Tabella4[[#This Row],[URL]],Tabella1[URL],Tabella1[Page ID],,0))</f>
        <v>#P02</v>
      </c>
      <c r="S279" t="s">
        <v>1154</v>
      </c>
      <c r="T279" s="34"/>
      <c r="V279" s="34" t="s">
        <v>1163</v>
      </c>
      <c r="W279" s="34" t="s">
        <v>1163</v>
      </c>
      <c r="X279" s="34">
        <f>IFERROR(IF(Tabella4[[#This Row],[Tool]]="lighthouse",Tabella4[[#This Row],[Detail]],MID(Tabella4[[#This Row],[Detail]],1,FIND("&gt;",Tabella4[[#This Row],[Detail]]))),Tabella4[[#This Row],[Detail]])</f>
        <v>0</v>
      </c>
      <c r="Y279" s="34" t="str">
        <f>SUBSTITUTE(IF(Tabella4[[#This Row],[Tool]]="axe-core",MID(Tabella4[[#This Row],[Rejected Element]],3,LEN(Tabella4[[#This Row],[Rejected Element]])-4),Tabella4[[#This Row],[Rejected Element]]),"\","")</f>
        <v/>
      </c>
      <c r="Z279" s="34">
        <f>COUNTIFS(Tabella4[Detail univoco],Tabella4[[#This Row],[Detail univoco]],Tabella4[Rejected Element Univoco],Tabella4[[#This Row],[Rejected Element Univoco]],Tabella4[ItemsNodeLabel],Tabella4[[#This Row],[ItemsNodeLabel]])</f>
        <v>0</v>
      </c>
      <c r="AA279" s="34" t="str">
        <f>IF(Tabella4[[#This Row],[Componente]]="Documenti",VLOOKUP(Tabella4[[#This Row],[URL]],Tabella27[[URL]:[Servizio]],4,FALSE),VLOOKUP(Tabella4[[#This Row],[Page ID]],Tabella1[[Page ID]:[Servizio]],4,FALSE))</f>
        <v>D002 Modello CAI - GN</v>
      </c>
      <c r="AB279" s="34"/>
      <c r="AC279" s="34" t="str">
        <f>Tabella4[[#This Row],[User Impact]]</f>
        <v>1 - Critical</v>
      </c>
      <c r="AD279" s="34" t="str">
        <f>Copertina!C$2&amp;" - "&amp;Tabella4[[#This Row],[UNI CEI EN 301549]]&amp;" "&amp;VLOOKUP(Tabella4[[#This Row],[Criterio]],Tabella5[[ID]:[Criterio di successo]],2,FALSE)&amp;" - "&amp;Tabella4[[#This Row],[Servizio]]&amp;":"</f>
        <v>Insurance Brocker - 10.1.3.2 Sequenza significativa - D002 Modello CAI - GN:</v>
      </c>
      <c r="AE27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- 10.1.3.2 Sequenza significativa - D002 Modello CAI - GN: (#PDF0017)
D002 Modello CAI - GN
Requisito: WCAG 1.3.2
Disabilità afflitte: Blind;Deafblind;Mobility
Impatto Utente: 1 - Critical
Descrizione: Garantire il corretto ordine di tabulazione e di lettura nei documenti PDF  - Garantire il corretto ordine di tabulazione e di lettura nei documenti PDF (https://www.w3.org/WAI/WCAG22/Techniques/pdf/PDF3)
Esempio di violazione individuata sull'oggetto: 
https://www.media.poste.it/6a7ffb23-48ca-4da0-8809-5d99d243adb4/web/modello-cai-gtel -  con selettore: 
Dettaglio + screenshot (accedere con le seguenti credenziali: user, axeposte@gmail.com; password, Poste2024!): 
Possibile metodologia risolutiva:
Imposta l'ordine di scorrimento degli elementi su una pagina utilizzando l'opzione "Struttura documento"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https://posteitaliane.sharepoint.com/:w:/r/teams/ACCESSIBILITRISULTATIVERIFICHETECNICHE/Shared%20Documents/Generale/SCHEDE_REQUISITI/10.1.3.2%20Sequenza%20significativa.docx?d=wc358fe04604c46dcad4900207034af1e&amp;csf=1&amp;web=1&amp;e=Egn3Lg</v>
      </c>
      <c r="AF279">
        <f>_xlfn.XLOOKUP(Tabella4[[#This Row],[ID Silk]],outTable[ID Silk],outTable[Numero ticket  ],,0,1)</f>
        <v>5965</v>
      </c>
    </row>
    <row r="280" spans="1:32">
      <c r="A280" s="34" t="str">
        <f>MID(Tabella4[[#This Row],[Servizio]],1,4)&amp;Tabella4[[#This Row],[UNI CEI EN 301549]]</f>
        <v>D00210.2.4.2</v>
      </c>
      <c r="B280" s="34" t="str">
        <f>Tabella4[[#This Row],[ID Silk]]&amp;"_1"</f>
        <v>D00210.2.4.2_1</v>
      </c>
      <c r="C280" s="34" t="s">
        <v>1244</v>
      </c>
      <c r="D280" s="2" t="str">
        <f>"(#"&amp;Tabella4[[#This Row],['#ID]]&amp;")"</f>
        <v>(#PDF0018)</v>
      </c>
      <c r="E280" s="34" t="str">
        <f>IF(MID(Tabella4[[#This Row],['#ID]],1,1)="M","Mobile",IF(MID(Tabella4[[#This Row],['#ID]],1,1)="D","Desktop",IF(MID(Tabella4[[#This Row],['#ID]],1,2)="TM","Manuale","Documenti")))</f>
        <v>Documenti</v>
      </c>
      <c r="F280" s="34" t="s">
        <v>1005</v>
      </c>
      <c r="G280" s="34" t="s">
        <v>302</v>
      </c>
      <c r="H280" s="34" t="str">
        <f>IF(Tabella4[[#This Row],[Componente]]="Documenti","10.","9.")&amp;Tabella4[[#This Row],[Criterio]]</f>
        <v>10.2.4.2</v>
      </c>
      <c r="I280" s="34" t="s">
        <v>1023</v>
      </c>
      <c r="J280" t="s">
        <v>1008</v>
      </c>
      <c r="K280" s="19" t="s">
        <v>1081</v>
      </c>
      <c r="L280" s="34" t="s">
        <v>1165</v>
      </c>
      <c r="M280" s="34" t="s">
        <v>1166</v>
      </c>
      <c r="N280" s="34"/>
      <c r="O280" s="34"/>
      <c r="P280" s="55" t="s">
        <v>473</v>
      </c>
      <c r="R280" s="34" t="str">
        <f>IF(Tabella4[[#This Row],[Componente]]="Documenti",_xlfn.XLOOKUP(Tabella4[[#This Row],[URL]],Tabella27[URL],Tabella27[PDF ID],,0),_xlfn.XLOOKUP(Tabella4[[#This Row],[URL]],Tabella1[URL],Tabella1[Page ID],,0))</f>
        <v>#P02</v>
      </c>
      <c r="S280" t="s">
        <v>1154</v>
      </c>
      <c r="T280" s="34"/>
      <c r="V280" s="34" t="s">
        <v>1167</v>
      </c>
      <c r="W280" s="34" t="s">
        <v>1167</v>
      </c>
      <c r="X280" s="34">
        <f>IFERROR(IF(Tabella4[[#This Row],[Tool]]="lighthouse",Tabella4[[#This Row],[Detail]],MID(Tabella4[[#This Row],[Detail]],1,FIND("&gt;",Tabella4[[#This Row],[Detail]]))),Tabella4[[#This Row],[Detail]])</f>
        <v>0</v>
      </c>
      <c r="Y280" s="34" t="str">
        <f>SUBSTITUTE(IF(Tabella4[[#This Row],[Tool]]="axe-core",MID(Tabella4[[#This Row],[Rejected Element]],3,LEN(Tabella4[[#This Row],[Rejected Element]])-4),Tabella4[[#This Row],[Rejected Element]]),"\","")</f>
        <v/>
      </c>
      <c r="Z280" s="34">
        <f>COUNTIFS(Tabella4[Detail univoco],Tabella4[[#This Row],[Detail univoco]],Tabella4[Rejected Element Univoco],Tabella4[[#This Row],[Rejected Element Univoco]],Tabella4[ItemsNodeLabel],Tabella4[[#This Row],[ItemsNodeLabel]])</f>
        <v>0</v>
      </c>
      <c r="AA280" s="34" t="str">
        <f>IF(Tabella4[[#This Row],[Componente]]="Documenti",VLOOKUP(Tabella4[[#This Row],[URL]],Tabella27[[URL]:[Servizio]],4,FALSE),VLOOKUP(Tabella4[[#This Row],[Page ID]],Tabella1[[Page ID]:[Servizio]],4,FALSE))</f>
        <v>D002 Modello CAI - GN</v>
      </c>
      <c r="AB280" s="34"/>
      <c r="AC280" s="34" t="str">
        <f>Tabella4[[#This Row],[User Impact]]</f>
        <v>2 - Serious</v>
      </c>
      <c r="AD280" s="34" t="str">
        <f>Copertina!C$2&amp;" - "&amp;Tabella4[[#This Row],[UNI CEI EN 301549]]&amp;" "&amp;VLOOKUP(Tabella4[[#This Row],[Criterio]],Tabella5[[ID]:[Criterio di successo]],2,FALSE)&amp;" - "&amp;Tabella4[[#This Row],[Servizio]]&amp;":"</f>
        <v>Insurance Brocker - 10.2.4.2 Titolazione della pagina - D002 Modello CAI - GN:</v>
      </c>
      <c r="AE28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D002 Modello CAI - GN: (#PDF0018)
D002 Modello CAI - GN
Requisito: WCAG 2.4.2
Disabilità afflitte: Blind;Deafblind
Impatto Utente: 2 - Serious
Descrizione: Specificare il titolo del documento utilizzando la voce Titolo nel dizionario delle informazioni di un documento PDF  - Specificare il titolo del documento utilizzando la voce Titolo nel dizionario delle informazioni di un documento PDF (https://www.w3.org/WAI/WCAG22/Techniques/pdf/PDF18)
Esempio di violazione individuata sull'oggetto: 
https://www.media.poste.it/6a7ffb23-48ca-4da0-8809-5d99d243adb4/web/modello-cai-gtel -  con selettore: 
Dettaglio + screenshot (accedere con le seguenti credenziali: user, axeposte@gmail.com; password, Poste2024!): 
Possibile metodologia risolutiva:
Imposta il nuovo titolo PDF
File di log (occorrenze rilevate: 2):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280">
        <f>_xlfn.XLOOKUP(Tabella4[[#This Row],[ID Silk]],outTable[ID Silk],outTable[Numero ticket  ],,0,1)</f>
        <v>5969</v>
      </c>
    </row>
    <row r="281" spans="1:32">
      <c r="A281" s="34" t="str">
        <f>MID(Tabella4[[#This Row],[Servizio]],1,4)&amp;Tabella4[[#This Row],[UNI CEI EN 301549]]</f>
        <v>D00210.3.1.1</v>
      </c>
      <c r="B281" s="34" t="str">
        <f>Tabella4[[#This Row],[ID Silk]]&amp;"_1"</f>
        <v>D00210.3.1.1_1</v>
      </c>
      <c r="C281" s="34" t="s">
        <v>1245</v>
      </c>
      <c r="D281" s="2" t="str">
        <f>"(#"&amp;Tabella4[[#This Row],['#ID]]&amp;")"</f>
        <v>(#PDF0019)</v>
      </c>
      <c r="E281" s="34" t="str">
        <f>IF(MID(Tabella4[[#This Row],['#ID]],1,1)="M","Mobile",IF(MID(Tabella4[[#This Row],['#ID]],1,1)="D","Desktop",IF(MID(Tabella4[[#This Row],['#ID]],1,2)="TM","Manuale","Documenti")))</f>
        <v>Documenti</v>
      </c>
      <c r="F281" s="34" t="s">
        <v>1005</v>
      </c>
      <c r="G281" s="34" t="s">
        <v>332</v>
      </c>
      <c r="H281" s="34" t="str">
        <f>IF(Tabella4[[#This Row],[Componente]]="Documenti","10.","9.")&amp;Tabella4[[#This Row],[Criterio]]</f>
        <v>10.3.1.1</v>
      </c>
      <c r="I281" s="34" t="s">
        <v>1023</v>
      </c>
      <c r="J281" t="s">
        <v>1169</v>
      </c>
      <c r="K281" s="19" t="s">
        <v>1082</v>
      </c>
      <c r="L281" s="34" t="s">
        <v>1170</v>
      </c>
      <c r="M281" s="34" t="s">
        <v>1171</v>
      </c>
      <c r="N281" s="34"/>
      <c r="O281" s="34"/>
      <c r="P281" s="55" t="s">
        <v>473</v>
      </c>
      <c r="R281" s="34" t="str">
        <f>IF(Tabella4[[#This Row],[Componente]]="Documenti",_xlfn.XLOOKUP(Tabella4[[#This Row],[URL]],Tabella27[URL],Tabella27[PDF ID],,0),_xlfn.XLOOKUP(Tabella4[[#This Row],[URL]],Tabella1[URL],Tabella1[Page ID],,0))</f>
        <v>#P02</v>
      </c>
      <c r="S281" t="s">
        <v>1154</v>
      </c>
      <c r="T281" s="34"/>
      <c r="V281" s="34" t="s">
        <v>1172</v>
      </c>
      <c r="W281" s="34" t="s">
        <v>1172</v>
      </c>
      <c r="X281" s="34">
        <f>IFERROR(IF(Tabella4[[#This Row],[Tool]]="lighthouse",Tabella4[[#This Row],[Detail]],MID(Tabella4[[#This Row],[Detail]],1,FIND("&gt;",Tabella4[[#This Row],[Detail]]))),Tabella4[[#This Row],[Detail]])</f>
        <v>0</v>
      </c>
      <c r="Y281" s="34" t="str">
        <f>SUBSTITUTE(IF(Tabella4[[#This Row],[Tool]]="axe-core",MID(Tabella4[[#This Row],[Rejected Element]],3,LEN(Tabella4[[#This Row],[Rejected Element]])-4),Tabella4[[#This Row],[Rejected Element]]),"\","")</f>
        <v/>
      </c>
      <c r="Z281" s="34">
        <f>COUNTIFS(Tabella4[Detail univoco],Tabella4[[#This Row],[Detail univoco]],Tabella4[Rejected Element Univoco],Tabella4[[#This Row],[Rejected Element Univoco]],Tabella4[ItemsNodeLabel],Tabella4[[#This Row],[ItemsNodeLabel]])</f>
        <v>0</v>
      </c>
      <c r="AA281" s="34" t="str">
        <f>IF(Tabella4[[#This Row],[Componente]]="Documenti",VLOOKUP(Tabella4[[#This Row],[URL]],Tabella27[[URL]:[Servizio]],4,FALSE),VLOOKUP(Tabella4[[#This Row],[Page ID]],Tabella1[[Page ID]:[Servizio]],4,FALSE))</f>
        <v>D002 Modello CAI - GN</v>
      </c>
      <c r="AB281" s="34"/>
      <c r="AC281" s="34" t="str">
        <f>Tabella4[[#This Row],[User Impact]]</f>
        <v>2 - Serious</v>
      </c>
      <c r="AD281" s="34" t="str">
        <f>Copertina!C$2&amp;" - "&amp;Tabella4[[#This Row],[UNI CEI EN 301549]]&amp;" "&amp;VLOOKUP(Tabella4[[#This Row],[Criterio]],Tabella5[[ID]:[Criterio di successo]],2,FALSE)&amp;" - "&amp;Tabella4[[#This Row],[Servizio]]&amp;":"</f>
        <v>Insurance Brocker - 10.3.1.1 Lingua della pagina - D002 Modello CAI - GN:</v>
      </c>
      <c r="AE28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- 10.3.1.1 Lingua della pagina - D002 Modello CAI - GN: (#PDF0019)
D002 Modello CAI - GN
Requisito: WCAG 3.1.1
Disabilità afflitte: Blind;Cognitive;Deafblind
Impatto Utente: 2 - Serious
Descrizione: Impostazione della lingua predefinita utilizzando la voce /Lang nel catalogo documenti di un documento PDF - Impostazione della lingua predefinita utilizzando la voce /Lang nel catalogo documenti di un documento PDF (https://www.w3.org/WAI/WCAG22/Techniques/pdf/PDF16)
Esempio di violazione individuata sull'oggetto: 
https://www.media.poste.it/6a7ffb23-48ca-4da0-8809-5d99d243adb4/web/modello-cai-gtel -  con selettore: 
Dettaglio + screenshot (accedere con le seguenti credenziali: user, axeposte@gmail.com; password, Poste2024!): 
Possibile metodologia risolutiva:
Seleziona la lingua principale del PDF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281">
        <f>_xlfn.XLOOKUP(Tabella4[[#This Row],[ID Silk]],outTable[ID Silk],outTable[Numero ticket  ],,0,1)</f>
        <v>5971</v>
      </c>
    </row>
    <row r="282" spans="1:32">
      <c r="A282" s="34" t="str">
        <f>MID(Tabella4[[#This Row],[Servizio]],1,4)&amp;Tabella4[[#This Row],[UNI CEI EN 301549]]</f>
        <v>D00210.1.3.1</v>
      </c>
      <c r="B282" s="34" t="str">
        <f>Tabella4[[#This Row],[ID Silk]]&amp;"_1"</f>
        <v>D00210.1.3.1_1</v>
      </c>
      <c r="C282" s="34" t="s">
        <v>1246</v>
      </c>
      <c r="D282" s="2" t="str">
        <f>"(#"&amp;Tabella4[[#This Row],['#ID]]&amp;")"</f>
        <v>(#PDF0020)</v>
      </c>
      <c r="E282" s="34" t="str">
        <f>IF(MID(Tabella4[[#This Row],['#ID]],1,1)="M","Mobile",IF(MID(Tabella4[[#This Row],['#ID]],1,1)="D","Desktop",IF(MID(Tabella4[[#This Row],['#ID]],1,2)="TM","Manuale","Documenti")))</f>
        <v>Documenti</v>
      </c>
      <c r="F282" s="34" t="s">
        <v>1005</v>
      </c>
      <c r="G282" s="34" t="s">
        <v>184</v>
      </c>
      <c r="H282" s="34" t="str">
        <f>IF(Tabella4[[#This Row],[Componente]]="Documenti","10.","9.")&amp;Tabella4[[#This Row],[Criterio]]</f>
        <v>10.1.3.1</v>
      </c>
      <c r="I282" s="34" t="s">
        <v>1007</v>
      </c>
      <c r="J282" t="s">
        <v>1008</v>
      </c>
      <c r="K282" s="19" t="s">
        <v>91</v>
      </c>
      <c r="L282" s="34" t="s">
        <v>1174</v>
      </c>
      <c r="M282" s="34" t="s">
        <v>1175</v>
      </c>
      <c r="N282" s="34"/>
      <c r="O282" s="34"/>
      <c r="P282" s="55" t="s">
        <v>473</v>
      </c>
      <c r="R282" s="34" t="str">
        <f>IF(Tabella4[[#This Row],[Componente]]="Documenti",_xlfn.XLOOKUP(Tabella4[[#This Row],[URL]],Tabella27[URL],Tabella27[PDF ID],,0),_xlfn.XLOOKUP(Tabella4[[#This Row],[URL]],Tabella1[URL],Tabella1[Page ID],,0))</f>
        <v>#P02</v>
      </c>
      <c r="S282" t="s">
        <v>93</v>
      </c>
      <c r="T282" s="34"/>
      <c r="V282" s="34">
        <v>0</v>
      </c>
      <c r="W282" s="34" t="s">
        <v>1176</v>
      </c>
      <c r="X282" s="34">
        <f>IFERROR(IF(Tabella4[[#This Row],[Tool]]="lighthouse",Tabella4[[#This Row],[Detail]],MID(Tabella4[[#This Row],[Detail]],1,FIND("&gt;",Tabella4[[#This Row],[Detail]]))),Tabella4[[#This Row],[Detail]])</f>
        <v>0</v>
      </c>
      <c r="Y282" s="34" t="str">
        <f>SUBSTITUTE(IF(Tabella4[[#This Row],[Tool]]="axe-core",MID(Tabella4[[#This Row],[Rejected Element]],3,LEN(Tabella4[[#This Row],[Rejected Element]])-4),Tabella4[[#This Row],[Rejected Element]]),"\","")</f>
        <v/>
      </c>
      <c r="Z282" s="34">
        <f>COUNTIFS(Tabella4[Detail univoco],Tabella4[[#This Row],[Detail univoco]],Tabella4[Rejected Element Univoco],Tabella4[[#This Row],[Rejected Element Univoco]],Tabella4[ItemsNodeLabel],Tabella4[[#This Row],[ItemsNodeLabel]])</f>
        <v>0</v>
      </c>
      <c r="AA282" s="34" t="str">
        <f>IF(Tabella4[[#This Row],[Componente]]="Documenti",VLOOKUP(Tabella4[[#This Row],[URL]],Tabella27[[URL]:[Servizio]],4,FALSE),VLOOKUP(Tabella4[[#This Row],[Page ID]],Tabella1[[Page ID]:[Servizio]],4,FALSE))</f>
        <v>D002 Modello CAI - GN</v>
      </c>
      <c r="AB282" s="34"/>
      <c r="AC282" s="34" t="str">
        <f>Tabella4[[#This Row],[User Impact]]</f>
        <v>1 - Critical</v>
      </c>
      <c r="AD282" s="34" t="str">
        <f>Copertina!C$2&amp;" - "&amp;Tabella4[[#This Row],[UNI CEI EN 301549]]&amp;" "&amp;VLOOKUP(Tabella4[[#This Row],[Criterio]],Tabella5[[ID]:[Criterio di successo]],2,FALSE)&amp;" - "&amp;Tabella4[[#This Row],[Servizio]]&amp;":"</f>
        <v>Insurance Brocker - 10.1.3.1 Informazioni e correlazioni - D002 Modello CAI - GN:</v>
      </c>
      <c r="AE28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D002 Modello CAI - GN: (#PDF0020)
D002 Modello CAI - GN
Requisito: WCAG 1.3.1
Disabilità afflitte: Blind;Deafblind
Impatto Utente: 1 - Critical
Descrizione: Documento non contrassegnato come taggato - Documento non contrassegnato come taggato (https://www.w3.org/WAI/WCAG21/Techniques/pdf/PDF1)
Esempio di violazione individuata sull'oggetto: 
https://www.media.poste.it/6a7ffb23-48ca-4da0-8809-5d99d243adb4/web/modello-cai-gtel -  con selettore: 
Dettaglio + screenshot (accedere con le seguenti credenziali: user, axeposte@gmail.com; password, Poste2024!): 
Possibile metodologia risolutiva:
Contrassegnare tutto il documento come taggato per consentire l'accesso agli screen reader. In Adobe Acrobat, selezionare Aggiungi tag al documento.
File di log (occorrenze rilevate: 7):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82">
        <f>_xlfn.XLOOKUP(Tabella4[[#This Row],[ID Silk]],outTable[ID Silk],outTable[Numero ticket  ],,0,1)</f>
        <v>5964</v>
      </c>
    </row>
    <row r="283" spans="1:32">
      <c r="A283" s="34" t="str">
        <f>MID(Tabella4[[#This Row],[Servizio]],1,4)&amp;Tabella4[[#This Row],[UNI CEI EN 301549]]</f>
        <v>D00210.1.3.1</v>
      </c>
      <c r="B283" s="34" t="str">
        <f>Tabella4[[#This Row],[ID Silk]]&amp;"_1"</f>
        <v>D00210.1.3.1_1</v>
      </c>
      <c r="C283" s="34" t="s">
        <v>1247</v>
      </c>
      <c r="D283" s="2" t="str">
        <f>"(#"&amp;Tabella4[[#This Row],['#ID]]&amp;")"</f>
        <v>(#PDF0021)</v>
      </c>
      <c r="E283" s="34" t="str">
        <f>IF(MID(Tabella4[[#This Row],['#ID]],1,1)="M","Mobile",IF(MID(Tabella4[[#This Row],['#ID]],1,1)="D","Desktop",IF(MID(Tabella4[[#This Row],['#ID]],1,2)="TM","Manuale","Documenti")))</f>
        <v>Documenti</v>
      </c>
      <c r="F283" s="34" t="s">
        <v>1005</v>
      </c>
      <c r="G283" s="34" t="s">
        <v>184</v>
      </c>
      <c r="H283" s="34" t="str">
        <f>IF(Tabella4[[#This Row],[Componente]]="Documenti","10.","9.")&amp;Tabella4[[#This Row],[Criterio]]</f>
        <v>10.1.3.1</v>
      </c>
      <c r="I283" s="34" t="s">
        <v>1023</v>
      </c>
      <c r="J283" t="s">
        <v>1008</v>
      </c>
      <c r="K283" s="19" t="s">
        <v>1083</v>
      </c>
      <c r="L283" s="34" t="s">
        <v>1177</v>
      </c>
      <c r="M283" s="34" t="s">
        <v>1178</v>
      </c>
      <c r="N283" s="34"/>
      <c r="O283" s="34"/>
      <c r="P283" s="55" t="s">
        <v>473</v>
      </c>
      <c r="R283" s="34" t="str">
        <f>IF(Tabella4[[#This Row],[Componente]]="Documenti",_xlfn.XLOOKUP(Tabella4[[#This Row],[URL]],Tabella27[URL],Tabella27[PDF ID],,0),_xlfn.XLOOKUP(Tabella4[[#This Row],[URL]],Tabella1[URL],Tabella1[Page ID],,0))</f>
        <v>#P02</v>
      </c>
      <c r="S283" t="s">
        <v>93</v>
      </c>
      <c r="T283" s="34"/>
      <c r="V283" s="34">
        <v>0</v>
      </c>
      <c r="W283" s="34" t="s">
        <v>1179</v>
      </c>
      <c r="X283" s="34">
        <f>IFERROR(IF(Tabella4[[#This Row],[Tool]]="lighthouse",Tabella4[[#This Row],[Detail]],MID(Tabella4[[#This Row],[Detail]],1,FIND("&gt;",Tabella4[[#This Row],[Detail]]))),Tabella4[[#This Row],[Detail]])</f>
        <v>0</v>
      </c>
      <c r="Y283" s="34" t="str">
        <f>SUBSTITUTE(IF(Tabella4[[#This Row],[Tool]]="axe-core",MID(Tabella4[[#This Row],[Rejected Element]],3,LEN(Tabella4[[#This Row],[Rejected Element]])-4),Tabella4[[#This Row],[Rejected Element]]),"\","")</f>
        <v/>
      </c>
      <c r="Z283" s="34">
        <f>COUNTIFS(Tabella4[Detail univoco],Tabella4[[#This Row],[Detail univoco]],Tabella4[Rejected Element Univoco],Tabella4[[#This Row],[Rejected Element Univoco]],Tabella4[ItemsNodeLabel],Tabella4[[#This Row],[ItemsNodeLabel]])</f>
        <v>0</v>
      </c>
      <c r="AA283" s="34" t="str">
        <f>IF(Tabella4[[#This Row],[Componente]]="Documenti",VLOOKUP(Tabella4[[#This Row],[URL]],Tabella27[[URL]:[Servizio]],4,FALSE),VLOOKUP(Tabella4[[#This Row],[Page ID]],Tabella1[[Page ID]:[Servizio]],4,FALSE))</f>
        <v>D002 Modello CAI - GN</v>
      </c>
      <c r="AB283" s="34"/>
      <c r="AC283" s="34" t="str">
        <f>Tabella4[[#This Row],[User Impact]]</f>
        <v>2 - Serious</v>
      </c>
      <c r="AD283" s="34" t="str">
        <f>Copertina!C$2&amp;" - "&amp;Tabella4[[#This Row],[UNI CEI EN 301549]]&amp;" "&amp;VLOOKUP(Tabella4[[#This Row],[Criterio]],Tabella5[[ID]:[Criterio di successo]],2,FALSE)&amp;" - "&amp;Tabella4[[#This Row],[Servizio]]&amp;":"</f>
        <v>Insurance Brocker - 10.1.3.1 Informazioni e correlazioni - D002 Modello CAI - GN:</v>
      </c>
      <c r="AE28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D002 Modello CAI - GN: (#PDF0021)
D002 Modello CAI - GN
Requisito: WCAG 1.3.1
Disabilità afflitte: Blind;Deafblind
Impatto Utente: 2 - Serious
Descrizione: Oggetto di percorso non taggato - Oggetto di percorso non taggato (https://www.w3.org/WAI/WCAG21/Techniques/pdf/PDF1)
Esempio di violazione individuata sull'oggetto: 
https://www.media.poste.it/6a7ffb23-48ca-4da0-8809-5d99d243adb4/web/modello-cai-gtel -  con selettore: 
Dettaglio + screenshot (accedere con le seguenti credenziali: user, axeposte@gmail.com; password, Poste2024!): 
Possibile metodologia risolutiva:
Assicurarsi che tutti gli oggetti grafici di tipo percorso siano taggati. In Adobe Acrobat, selezionare l'oggetto e aggiungere un tag appropriato nella struttura dei tag.
File di log (occorrenze rilevate: 7):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83">
        <f>_xlfn.XLOOKUP(Tabella4[[#This Row],[ID Silk]],outTable[ID Silk],outTable[Numero ticket  ],,0,1)</f>
        <v>5964</v>
      </c>
    </row>
    <row r="284" spans="1:32">
      <c r="A284" s="34" t="str">
        <f>MID(Tabella4[[#This Row],[Servizio]],1,4)&amp;Tabella4[[#This Row],[UNI CEI EN 301549]]</f>
        <v>D00210.1.3.1</v>
      </c>
      <c r="B284" s="34" t="str">
        <f>Tabella4[[#This Row],[ID Silk]]&amp;"_1"</f>
        <v>D00210.1.3.1_1</v>
      </c>
      <c r="C284" s="34" t="s">
        <v>1248</v>
      </c>
      <c r="D284" s="2" t="str">
        <f>"(#"&amp;Tabella4[[#This Row],['#ID]]&amp;")"</f>
        <v>(#PDF0022)</v>
      </c>
      <c r="E284" s="34" t="str">
        <f>IF(MID(Tabella4[[#This Row],['#ID]],1,1)="M","Mobile",IF(MID(Tabella4[[#This Row],['#ID]],1,1)="D","Desktop",IF(MID(Tabella4[[#This Row],['#ID]],1,2)="TM","Manuale","Documenti")))</f>
        <v>Documenti</v>
      </c>
      <c r="F284" s="34" t="s">
        <v>1005</v>
      </c>
      <c r="G284" s="34" t="s">
        <v>184</v>
      </c>
      <c r="H284" s="34" t="str">
        <f>IF(Tabella4[[#This Row],[Componente]]="Documenti","10.","9.")&amp;Tabella4[[#This Row],[Criterio]]</f>
        <v>10.1.3.1</v>
      </c>
      <c r="I284" s="34" t="s">
        <v>1023</v>
      </c>
      <c r="J284" t="s">
        <v>1008</v>
      </c>
      <c r="K284" s="19" t="s">
        <v>1084</v>
      </c>
      <c r="L284" s="34" t="s">
        <v>1180</v>
      </c>
      <c r="M284" s="34" t="s">
        <v>1181</v>
      </c>
      <c r="N284" s="34"/>
      <c r="O284" s="34"/>
      <c r="P284" s="55" t="s">
        <v>473</v>
      </c>
      <c r="R284" s="34" t="str">
        <f>IF(Tabella4[[#This Row],[Componente]]="Documenti",_xlfn.XLOOKUP(Tabella4[[#This Row],[URL]],Tabella27[URL],Tabella27[PDF ID],,0),_xlfn.XLOOKUP(Tabella4[[#This Row],[URL]],Tabella1[URL],Tabella1[Page ID],,0))</f>
        <v>#P02</v>
      </c>
      <c r="S284" t="s">
        <v>93</v>
      </c>
      <c r="T284" s="34"/>
      <c r="V284" s="34">
        <v>0</v>
      </c>
      <c r="W284" s="34" t="s">
        <v>1182</v>
      </c>
      <c r="X284" s="34">
        <f>IFERROR(IF(Tabella4[[#This Row],[Tool]]="lighthouse",Tabella4[[#This Row],[Detail]],MID(Tabella4[[#This Row],[Detail]],1,FIND("&gt;",Tabella4[[#This Row],[Detail]]))),Tabella4[[#This Row],[Detail]])</f>
        <v>0</v>
      </c>
      <c r="Y284" s="34" t="str">
        <f>SUBSTITUTE(IF(Tabella4[[#This Row],[Tool]]="axe-core",MID(Tabella4[[#This Row],[Rejected Element]],3,LEN(Tabella4[[#This Row],[Rejected Element]])-4),Tabella4[[#This Row],[Rejected Element]]),"\","")</f>
        <v/>
      </c>
      <c r="Z284" s="34">
        <f>COUNTIFS(Tabella4[Detail univoco],Tabella4[[#This Row],[Detail univoco]],Tabella4[Rejected Element Univoco],Tabella4[[#This Row],[Rejected Element Univoco]],Tabella4[ItemsNodeLabel],Tabella4[[#This Row],[ItemsNodeLabel]])</f>
        <v>0</v>
      </c>
      <c r="AA284" s="34" t="str">
        <f>IF(Tabella4[[#This Row],[Componente]]="Documenti",VLOOKUP(Tabella4[[#This Row],[URL]],Tabella27[[URL]:[Servizio]],4,FALSE),VLOOKUP(Tabella4[[#This Row],[Page ID]],Tabella1[[Page ID]:[Servizio]],4,FALSE))</f>
        <v>D002 Modello CAI - GN</v>
      </c>
      <c r="AB284" s="34"/>
      <c r="AC284" s="34" t="str">
        <f>Tabella4[[#This Row],[User Impact]]</f>
        <v>2 - Serious</v>
      </c>
      <c r="AD284" s="34" t="str">
        <f>Copertina!C$2&amp;" - "&amp;Tabella4[[#This Row],[UNI CEI EN 301549]]&amp;" "&amp;VLOOKUP(Tabella4[[#This Row],[Criterio]],Tabella5[[ID]:[Criterio di successo]],2,FALSE)&amp;" - "&amp;Tabella4[[#This Row],[Servizio]]&amp;":"</f>
        <v>Insurance Brocker - 10.1.3.1 Informazioni e correlazioni - D002 Modello CAI - GN:</v>
      </c>
      <c r="AE28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D002 Modello CAI - GN: (#PDF0022)
D002 Modello CAI - GN
Requisito: WCAG 1.3.1
Disabilità afflitte: Blind;Deafblind
Impatto Utente: 2 - Serious
Descrizione: Oggetto immagine non taggato - Oggetto immagine non taggato (https://www.w3.org/WAI/WCAG21/Techniques/pdf/PDF1)
Esempio di violazione individuata sull'oggetto: 
https://www.media.poste.it/6a7ffb23-48ca-4da0-8809-5d99d243adb4/web/modello-cai-gtel -  con selettore: 
Dettaglio + screenshot (accedere con le seguenti credenziali: user, axeposte@gmail.com; password, Poste2024!): 
Possibile metodologia risolutiva:
Taggare ogni immagine e fornire una descrizione significativa per l'accesso tramite lettori di schermo. Usare Strumenti &gt; Accessibilità &gt; Aggiungi tag all'immagine
File di log (occorrenze rilevate: 7):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84">
        <f>_xlfn.XLOOKUP(Tabella4[[#This Row],[ID Silk]],outTable[ID Silk],outTable[Numero ticket  ],,0,1)</f>
        <v>5964</v>
      </c>
    </row>
    <row r="285" spans="1:32">
      <c r="A285" s="34" t="str">
        <f>MID(Tabella4[[#This Row],[Servizio]],1,4)&amp;Tabella4[[#This Row],[UNI CEI EN 301549]]</f>
        <v>D00210.1.3.1</v>
      </c>
      <c r="B285" s="34" t="str">
        <f>Tabella4[[#This Row],[ID Silk]]&amp;"_1"</f>
        <v>D00210.1.3.1_1</v>
      </c>
      <c r="C285" s="34" t="s">
        <v>1249</v>
      </c>
      <c r="D285" s="2" t="str">
        <f>"(#"&amp;Tabella4[[#This Row],['#ID]]&amp;")"</f>
        <v>(#PDF0023)</v>
      </c>
      <c r="E285" s="34" t="str">
        <f>IF(MID(Tabella4[[#This Row],['#ID]],1,1)="M","Mobile",IF(MID(Tabella4[[#This Row],['#ID]],1,1)="D","Desktop",IF(MID(Tabella4[[#This Row],['#ID]],1,2)="TM","Manuale","Documenti")))</f>
        <v>Documenti</v>
      </c>
      <c r="F285" s="34" t="s">
        <v>1005</v>
      </c>
      <c r="G285" s="34" t="s">
        <v>184</v>
      </c>
      <c r="H285" s="34" t="str">
        <f>IF(Tabella4[[#This Row],[Componente]]="Documenti","10.","9.")&amp;Tabella4[[#This Row],[Criterio]]</f>
        <v>10.1.3.1</v>
      </c>
      <c r="I285" s="34" t="s">
        <v>1007</v>
      </c>
      <c r="J285" t="s">
        <v>1008</v>
      </c>
      <c r="K285" s="19" t="s">
        <v>1085</v>
      </c>
      <c r="L285" s="34" t="s">
        <v>1183</v>
      </c>
      <c r="M285" s="34" t="s">
        <v>1184</v>
      </c>
      <c r="N285" s="34"/>
      <c r="O285" s="34"/>
      <c r="P285" s="55" t="s">
        <v>473</v>
      </c>
      <c r="R285" s="34" t="str">
        <f>IF(Tabella4[[#This Row],[Componente]]="Documenti",_xlfn.XLOOKUP(Tabella4[[#This Row],[URL]],Tabella27[URL],Tabella27[PDF ID],,0),_xlfn.XLOOKUP(Tabella4[[#This Row],[URL]],Tabella1[URL],Tabella1[Page ID],,0))</f>
        <v>#P02</v>
      </c>
      <c r="S285" t="s">
        <v>93</v>
      </c>
      <c r="T285" s="34"/>
      <c r="V285" s="34">
        <v>0</v>
      </c>
      <c r="W285" s="34" t="s">
        <v>1185</v>
      </c>
      <c r="X285" s="34">
        <f>IFERROR(IF(Tabella4[[#This Row],[Tool]]="lighthouse",Tabella4[[#This Row],[Detail]],MID(Tabella4[[#This Row],[Detail]],1,FIND("&gt;",Tabella4[[#This Row],[Detail]]))),Tabella4[[#This Row],[Detail]])</f>
        <v>0</v>
      </c>
      <c r="Y285" s="34" t="str">
        <f>SUBSTITUTE(IF(Tabella4[[#This Row],[Tool]]="axe-core",MID(Tabella4[[#This Row],[Rejected Element]],3,LEN(Tabella4[[#This Row],[Rejected Element]])-4),Tabella4[[#This Row],[Rejected Element]]),"\","")</f>
        <v/>
      </c>
      <c r="Z285" s="34">
        <f>COUNTIFS(Tabella4[Detail univoco],Tabella4[[#This Row],[Detail univoco]],Tabella4[Rejected Element Univoco],Tabella4[[#This Row],[Rejected Element Univoco]],Tabella4[ItemsNodeLabel],Tabella4[[#This Row],[ItemsNodeLabel]])</f>
        <v>0</v>
      </c>
      <c r="AA285" s="34" t="str">
        <f>IF(Tabella4[[#This Row],[Componente]]="Documenti",VLOOKUP(Tabella4[[#This Row],[URL]],Tabella27[[URL]:[Servizio]],4,FALSE),VLOOKUP(Tabella4[[#This Row],[Page ID]],Tabella1[[Page ID]:[Servizio]],4,FALSE))</f>
        <v>D002 Modello CAI - GN</v>
      </c>
      <c r="AB285" s="34"/>
      <c r="AC285" s="34" t="str">
        <f>Tabella4[[#This Row],[User Impact]]</f>
        <v>1 - Critical</v>
      </c>
      <c r="AD285" s="34" t="str">
        <f>Copertina!C$2&amp;" - "&amp;Tabella4[[#This Row],[UNI CEI EN 301549]]&amp;" "&amp;VLOOKUP(Tabella4[[#This Row],[Criterio]],Tabella5[[ID]:[Criterio di successo]],2,FALSE)&amp;" - "&amp;Tabella4[[#This Row],[Servizio]]&amp;":"</f>
        <v>Insurance Brocker - 10.1.3.1 Informazioni e correlazioni - D002 Modello CAI - GN:</v>
      </c>
      <c r="AE28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D002 Modello CAI - GN: (#PDF0023)
D002 Modello CAI - GN
Requisito: WCAG 1.3.1
Disabilità afflitte: Blind;Deafblind
Impatto Utente: 1 - Critical
Descrizione: Oggetto testo non taggato - Oggetto testo non taggato (https://www.w3.org/WAI/WCAG21/Techniques/pdf/PDF1)
Esempio di violazione individuata sull'oggetto: 
https://www.media.poste.it/6a7ffb23-48ca-4da0-8809-5d99d243adb4/web/modello-cai-gtel -  con selettore: 
Dettaglio + screenshot (accedere con le seguenti credenziali: user, axeposte@gmail.com; password, Poste2024!): 
Possibile metodologia risolutiva:
Assicurarsi che tutti i blocchi di testo siano taggati correttamente nella struttura PDF per l’accesso con screen reader. In Adobe Acrobat, usare l'opzione Aggiungi tag al documento.
File di log (occorrenze rilevate: 7):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85">
        <f>_xlfn.XLOOKUP(Tabella4[[#This Row],[ID Silk]],outTable[ID Silk],outTable[Numero ticket  ],,0,1)</f>
        <v>5964</v>
      </c>
    </row>
    <row r="286" spans="1:32">
      <c r="A286" s="34" t="str">
        <f>MID(Tabella4[[#This Row],[Servizio]],1,4)&amp;Tabella4[[#This Row],[UNI CEI EN 301549]]</f>
        <v>D00210.1.3.1</v>
      </c>
      <c r="B286" s="34" t="str">
        <f>Tabella4[[#This Row],[ID Silk]]&amp;"_1"</f>
        <v>D00210.1.3.1_1</v>
      </c>
      <c r="C286" s="34" t="s">
        <v>1250</v>
      </c>
      <c r="D286" s="2" t="str">
        <f>"(#"&amp;Tabella4[[#This Row],['#ID]]&amp;")"</f>
        <v>(#PDF0024)</v>
      </c>
      <c r="E286" s="34" t="str">
        <f>IF(MID(Tabella4[[#This Row],['#ID]],1,1)="M","Mobile",IF(MID(Tabella4[[#This Row],['#ID]],1,1)="D","Desktop",IF(MID(Tabella4[[#This Row],['#ID]],1,2)="TM","Manuale","Documenti")))</f>
        <v>Documenti</v>
      </c>
      <c r="F286" s="34" t="s">
        <v>1005</v>
      </c>
      <c r="G286" s="34" t="s">
        <v>184</v>
      </c>
      <c r="H286" s="34" t="str">
        <f>IF(Tabella4[[#This Row],[Componente]]="Documenti","10.","9.")&amp;Tabella4[[#This Row],[Criterio]]</f>
        <v>10.1.3.1</v>
      </c>
      <c r="I286" s="34" t="s">
        <v>1036</v>
      </c>
      <c r="J286" t="s">
        <v>1008</v>
      </c>
      <c r="K286" s="19" t="s">
        <v>1102</v>
      </c>
      <c r="L286" s="34" t="s">
        <v>1209</v>
      </c>
      <c r="M286" s="34" t="s">
        <v>1210</v>
      </c>
      <c r="N286" s="34"/>
      <c r="O286" s="34"/>
      <c r="P286" s="55" t="s">
        <v>473</v>
      </c>
      <c r="R286" s="34" t="str">
        <f>IF(Tabella4[[#This Row],[Componente]]="Documenti",_xlfn.XLOOKUP(Tabella4[[#This Row],[URL]],Tabella27[URL],Tabella27[PDF ID],,0),_xlfn.XLOOKUP(Tabella4[[#This Row],[URL]],Tabella1[URL],Tabella1[Page ID],,0))</f>
        <v>#P02</v>
      </c>
      <c r="S286" t="s">
        <v>93</v>
      </c>
      <c r="T286" s="34"/>
      <c r="V286" s="34">
        <v>0</v>
      </c>
      <c r="W286" s="34" t="s">
        <v>1211</v>
      </c>
      <c r="X286" s="34">
        <f>IFERROR(IF(Tabella4[[#This Row],[Tool]]="lighthouse",Tabella4[[#This Row],[Detail]],MID(Tabella4[[#This Row],[Detail]],1,FIND("&gt;",Tabella4[[#This Row],[Detail]]))),Tabella4[[#This Row],[Detail]])</f>
        <v>0</v>
      </c>
      <c r="Y286" s="34" t="str">
        <f>SUBSTITUTE(IF(Tabella4[[#This Row],[Tool]]="axe-core",MID(Tabella4[[#This Row],[Rejected Element]],3,LEN(Tabella4[[#This Row],[Rejected Element]])-4),Tabella4[[#This Row],[Rejected Element]]),"\","")</f>
        <v/>
      </c>
      <c r="Z286" s="34">
        <f>COUNTIFS(Tabella4[Detail univoco],Tabella4[[#This Row],[Detail univoco]],Tabella4[Rejected Element Univoco],Tabella4[[#This Row],[Rejected Element Univoco]],Tabella4[ItemsNodeLabel],Tabella4[[#This Row],[ItemsNodeLabel]])</f>
        <v>0</v>
      </c>
      <c r="AA286" s="34" t="str">
        <f>IF(Tabella4[[#This Row],[Componente]]="Documenti",VLOOKUP(Tabella4[[#This Row],[URL]],Tabella27[[URL]:[Servizio]],4,FALSE),VLOOKUP(Tabella4[[#This Row],[Page ID]],Tabella1[[Page ID]:[Servizio]],4,FALSE))</f>
        <v>D002 Modello CAI - GN</v>
      </c>
      <c r="AB286" s="34"/>
      <c r="AC286" s="34" t="str">
        <f>Tabella4[[#This Row],[User Impact]]</f>
        <v>3 - Moderate</v>
      </c>
      <c r="AD286" s="34" t="str">
        <f>Copertina!C$2&amp;" - "&amp;Tabella4[[#This Row],[UNI CEI EN 301549]]&amp;" "&amp;VLOOKUP(Tabella4[[#This Row],[Criterio]],Tabella5[[ID]:[Criterio di successo]],2,FALSE)&amp;" - "&amp;Tabella4[[#This Row],[Servizio]]&amp;":"</f>
        <v>Insurance Brocker - 10.1.3.1 Informazioni e correlazioni - D002 Modello CAI - GN:</v>
      </c>
      <c r="AE28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D002 Modello CAI - GN: (#PDF0024)
D002 Modello CAI - GN
Requisito: WCAG 1.3.1
Disabilità afflitte: Blind;Deafblind
Impatto Utente: 3 - Moderate
Descrizione: Font non incorporato - Font non incorporato (https://www.w3.org/WAI/WCAG22/Techniques/general/G117.html)
Esempio di violazione individuata sull'oggetto: 
https://www.media.poste.it/6a7ffb23-48ca-4da0-8809-5d99d243adb4/web/modello-cai-gtel -  con selettore: 
Dettaglio + screenshot (accedere con le seguenti credenziali: user, axeposte@gmail.com; password, Poste2024!): 
Possibile metodologia risolutiva:
Non comunicare informazioni solo tramite cambi visivi. Utilizzare font, bold face, font size, underline e altri attributi di testo necessita che le informazioni comunicate visivamente debbano essere comunicate altrove anche via testo
File di log (occorrenze rilevate: 7):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86">
        <f>_xlfn.XLOOKUP(Tabella4[[#This Row],[ID Silk]],outTable[ID Silk],outTable[Numero ticket  ],,0,1)</f>
        <v>5964</v>
      </c>
    </row>
    <row r="287" spans="1:32">
      <c r="A287" s="34" t="str">
        <f>MID(Tabella4[[#This Row],[Servizio]],1,4)&amp;Tabella4[[#This Row],[UNI CEI EN 301549]]</f>
        <v>D00210.1.4.3</v>
      </c>
      <c r="B287" s="34" t="str">
        <f>Tabella4[[#This Row],[ID Silk]]&amp;"_1"</f>
        <v>D00210.1.4.3_1</v>
      </c>
      <c r="C287" s="34" t="s">
        <v>1251</v>
      </c>
      <c r="D287" s="2" t="str">
        <f>"(#"&amp;Tabella4[[#This Row],['#ID]]&amp;")"</f>
        <v>(#PDF0025)</v>
      </c>
      <c r="E287" s="34" t="str">
        <f>IF(MID(Tabella4[[#This Row],['#ID]],1,1)="M","Mobile",IF(MID(Tabella4[[#This Row],['#ID]],1,1)="D","Desktop",IF(MID(Tabella4[[#This Row],['#ID]],1,2)="TM","Manuale","Documenti")))</f>
        <v>Documenti</v>
      </c>
      <c r="F287" s="34" t="s">
        <v>1006</v>
      </c>
      <c r="G287" s="34" t="s">
        <v>228</v>
      </c>
      <c r="H287" s="34" t="str">
        <f>IF(Tabella4[[#This Row],[Componente]]="Documenti","10.","9.")&amp;Tabella4[[#This Row],[Criterio]]</f>
        <v>10.1.4.3</v>
      </c>
      <c r="I287" s="34" t="s">
        <v>1023</v>
      </c>
      <c r="J287" t="s">
        <v>1169</v>
      </c>
      <c r="K287" s="19" t="s">
        <v>1086</v>
      </c>
      <c r="L287" s="34" t="s">
        <v>1187</v>
      </c>
      <c r="M287" s="34" t="s">
        <v>1188</v>
      </c>
      <c r="N287" s="34"/>
      <c r="O287" s="34"/>
      <c r="P287" s="55" t="s">
        <v>473</v>
      </c>
      <c r="R287" s="34" t="str">
        <f>IF(Tabella4[[#This Row],[Componente]]="Documenti",_xlfn.XLOOKUP(Tabella4[[#This Row],[URL]],Tabella27[URL],Tabella27[PDF ID],,0),_xlfn.XLOOKUP(Tabella4[[#This Row],[URL]],Tabella1[URL],Tabella1[Page ID],,0))</f>
        <v>#P02</v>
      </c>
      <c r="S287" t="s">
        <v>93</v>
      </c>
      <c r="T287" s="34"/>
      <c r="V287" s="34">
        <v>0</v>
      </c>
      <c r="W287" s="34" t="s">
        <v>1189</v>
      </c>
      <c r="X287" s="34">
        <f>IFERROR(IF(Tabella4[[#This Row],[Tool]]="lighthouse",Tabella4[[#This Row],[Detail]],MID(Tabella4[[#This Row],[Detail]],1,FIND("&gt;",Tabella4[[#This Row],[Detail]]))),Tabella4[[#This Row],[Detail]])</f>
        <v>0</v>
      </c>
      <c r="Y287" s="34" t="str">
        <f>SUBSTITUTE(IF(Tabella4[[#This Row],[Tool]]="axe-core",MID(Tabella4[[#This Row],[Rejected Element]],3,LEN(Tabella4[[#This Row],[Rejected Element]])-4),Tabella4[[#This Row],[Rejected Element]]),"\","")</f>
        <v/>
      </c>
      <c r="Z287" s="34">
        <f>COUNTIFS(Tabella4[Detail univoco],Tabella4[[#This Row],[Detail univoco]],Tabella4[Rejected Element Univoco],Tabella4[[#This Row],[Rejected Element Univoco]],Tabella4[ItemsNodeLabel],Tabella4[[#This Row],[ItemsNodeLabel]])</f>
        <v>0</v>
      </c>
      <c r="AA287" s="34" t="str">
        <f>IF(Tabella4[[#This Row],[Componente]]="Documenti",VLOOKUP(Tabella4[[#This Row],[URL]],Tabella27[[URL]:[Servizio]],4,FALSE),VLOOKUP(Tabella4[[#This Row],[Page ID]],Tabella1[[Page ID]:[Servizio]],4,FALSE))</f>
        <v>D002 Modello CAI - GN</v>
      </c>
      <c r="AB287" s="34"/>
      <c r="AC287" s="34" t="str">
        <f>Tabella4[[#This Row],[User Impact]]</f>
        <v>2 - Serious</v>
      </c>
      <c r="AD287" s="34" t="str">
        <f>Copertina!C$2&amp;" - "&amp;Tabella4[[#This Row],[UNI CEI EN 301549]]&amp;" "&amp;VLOOKUP(Tabella4[[#This Row],[Criterio]],Tabella5[[ID]:[Criterio di successo]],2,FALSE)&amp;" - "&amp;Tabella4[[#This Row],[Servizio]]&amp;":"</f>
        <v>Insurance Brocker - 10.1.4.3 Contrasto (minimo) - D002 Modello CAI - GN:</v>
      </c>
      <c r="AE28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- 10.1.4.3 Contrasto (minimo) - D002 Modello CAI - GN: (#PDF0025)
D002 Modello CAI - GN
Requisito: WCAG 1.4.3
Disabilità afflitte: Blind;Cognitive;Deafblind
Impatto Utente: 2 - Serious
Descrizione: Testo con contrasto insufficiente - Testo con contrasto insufficiente (https://www.w3.org/WAI/WCAG21/Techniques/general/G18)
Esempio di violazione individuata sull'oggetto: 
https://www.media.poste.it/6a7ffb23-48ca-4da0-8809-5d99d243adb4/web/modello-cai-gtel -  con selettore: 
Dettaglio + screenshot (accedere con le seguenti credenziali: user, axeposte@gmail.com; password, Poste2024!): 
Possibile metodologia risolutiva:
Regolare il contrasto tra testo e sfondo, assicurandosi che rispetti il rapporto minimo di contrasto di 4.5:1. Modificare il colore del testo o dello sfondo nel software di editing.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https://posteitaliane.sharepoint.com/:w:/r/teams/ACCESSIBILITRISULTATIVERIFICHETECNICHE/Shared%20Documents/Generale/SCHEDE_REQUISITI/10.1.4.3%20Contrasto%20(minimo).docx?d=wb5da035a086249bca8fc7050a31c158c&amp;csf=1&amp;web=1&amp;e=SVKGXy</v>
      </c>
      <c r="AF287">
        <f>_xlfn.XLOOKUP(Tabella4[[#This Row],[ID Silk]],outTable[ID Silk],outTable[Numero ticket  ],,0,1)</f>
        <v>5968</v>
      </c>
    </row>
    <row r="288" spans="1:32">
      <c r="A288" s="34" t="str">
        <f>MID(Tabella4[[#This Row],[Servizio]],1,4)&amp;Tabella4[[#This Row],[UNI CEI EN 301549]]</f>
        <v>D00210.2.4.2</v>
      </c>
      <c r="B288" s="34" t="str">
        <f>Tabella4[[#This Row],[ID Silk]]&amp;"_1"</f>
        <v>D00210.2.4.2_1</v>
      </c>
      <c r="C288" s="34" t="s">
        <v>1252</v>
      </c>
      <c r="D288" s="2" t="str">
        <f>"(#"&amp;Tabella4[[#This Row],['#ID]]&amp;")"</f>
        <v>(#PDF0026)</v>
      </c>
      <c r="E288" s="34" t="str">
        <f>IF(MID(Tabella4[[#This Row],['#ID]],1,1)="M","Mobile",IF(MID(Tabella4[[#This Row],['#ID]],1,1)="D","Desktop",IF(MID(Tabella4[[#This Row],['#ID]],1,2)="TM","Manuale","Documenti")))</f>
        <v>Documenti</v>
      </c>
      <c r="F288" s="34" t="s">
        <v>1005</v>
      </c>
      <c r="G288" s="34" t="s">
        <v>302</v>
      </c>
      <c r="H288" s="34" t="str">
        <f>IF(Tabella4[[#This Row],[Componente]]="Documenti","10.","9.")&amp;Tabella4[[#This Row],[Criterio]]</f>
        <v>10.2.4.2</v>
      </c>
      <c r="I288" s="34" t="s">
        <v>1195</v>
      </c>
      <c r="J288" t="s">
        <v>1196</v>
      </c>
      <c r="K288" s="19" t="s">
        <v>1088</v>
      </c>
      <c r="L288" s="34" t="s">
        <v>1197</v>
      </c>
      <c r="M288" s="34" t="s">
        <v>1198</v>
      </c>
      <c r="N288" s="34"/>
      <c r="O288" s="34"/>
      <c r="P288" s="55" t="s">
        <v>473</v>
      </c>
      <c r="R288" s="34" t="str">
        <f>IF(Tabella4[[#This Row],[Componente]]="Documenti",_xlfn.XLOOKUP(Tabella4[[#This Row],[URL]],Tabella27[URL],Tabella27[PDF ID],,0),_xlfn.XLOOKUP(Tabella4[[#This Row],[URL]],Tabella1[URL],Tabella1[Page ID],,0))</f>
        <v>#P02</v>
      </c>
      <c r="S288" t="s">
        <v>93</v>
      </c>
      <c r="T288" s="34"/>
      <c r="V288" s="34">
        <v>0</v>
      </c>
      <c r="W288" s="34" t="s">
        <v>1199</v>
      </c>
      <c r="X288" s="34">
        <f>IFERROR(IF(Tabella4[[#This Row],[Tool]]="lighthouse",Tabella4[[#This Row],[Detail]],MID(Tabella4[[#This Row],[Detail]],1,FIND("&gt;",Tabella4[[#This Row],[Detail]]))),Tabella4[[#This Row],[Detail]])</f>
        <v>0</v>
      </c>
      <c r="Y288" s="34" t="str">
        <f>SUBSTITUTE(IF(Tabella4[[#This Row],[Tool]]="axe-core",MID(Tabella4[[#This Row],[Rejected Element]],3,LEN(Tabella4[[#This Row],[Rejected Element]])-4),Tabella4[[#This Row],[Rejected Element]]),"\","")</f>
        <v/>
      </c>
      <c r="Z288" s="34">
        <f>COUNTIFS(Tabella4[Detail univoco],Tabella4[[#This Row],[Detail univoco]],Tabella4[Rejected Element Univoco],Tabella4[[#This Row],[Rejected Element Univoco]],Tabella4[ItemsNodeLabel],Tabella4[[#This Row],[ItemsNodeLabel]])</f>
        <v>0</v>
      </c>
      <c r="AA288" s="34" t="str">
        <f>IF(Tabella4[[#This Row],[Componente]]="Documenti",VLOOKUP(Tabella4[[#This Row],[URL]],Tabella27[[URL]:[Servizio]],4,FALSE),VLOOKUP(Tabella4[[#This Row],[Page ID]],Tabella1[[Page ID]:[Servizio]],4,FALSE))</f>
        <v>D002 Modello CAI - GN</v>
      </c>
      <c r="AB288" s="34"/>
      <c r="AC288" s="34" t="str">
        <f>Tabella4[[#This Row],[User Impact]]</f>
        <v>4 - Minor</v>
      </c>
      <c r="AD288" s="34" t="str">
        <f>Copertina!C$2&amp;" - "&amp;Tabella4[[#This Row],[UNI CEI EN 301549]]&amp;" "&amp;VLOOKUP(Tabella4[[#This Row],[Criterio]],Tabella5[[ID]:[Criterio di successo]],2,FALSE)&amp;" - "&amp;Tabella4[[#This Row],[Servizio]]&amp;":"</f>
        <v>Insurance Brocker - 10.2.4.2 Titolazione della pagina - D002 Modello CAI - GN:</v>
      </c>
      <c r="AE28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D002 Modello CAI - GN: (#PDF0026)
D002 Modello CAI - GN
Requisito: WCAG 2.4.2
Disabilità afflitte: Cognitive
Impatto Utente: 4 - Minor
Descrizione: "DisplayDocTitle" non impostato - "DisplayDocTitle" non impostato (https://www.w3.org/WAI/WCAG21/Techniques/general/G88)
Esempio di violazione individuata sull'oggetto: 
https://www.media.poste.it/6a7ffb23-48ca-4da0-8809-5d99d243adb4/web/modello-cai-gtel -  con selettore: 
Dettaglio + screenshot (accedere con le seguenti credenziali: user, axeposte@gmail.com; password, Poste2024!): 
Possibile metodologia risolutiva:
Impostare l’opzione "DisplayDocTitle" per mostrare il titolo del documento anziché il nome file. In Acrobat, andare su File &gt; Proprietà &gt; Visualizzazione iniziale e selezionare “Mostra titolo documento”.
File di log (occorrenze rilevate: 2):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288">
        <f>_xlfn.XLOOKUP(Tabella4[[#This Row],[ID Silk]],outTable[ID Silk],outTable[Numero ticket  ],,0,1)</f>
        <v>5969</v>
      </c>
    </row>
    <row r="289" spans="1:32">
      <c r="A289" s="34" t="str">
        <f>MID(Tabella4[[#This Row],[Servizio]],1,4)&amp;Tabella4[[#This Row],[UNI CEI EN 301549]]</f>
        <v>D00210.3.1.1</v>
      </c>
      <c r="B289" s="34" t="str">
        <f>Tabella4[[#This Row],[ID Silk]]&amp;"_1"</f>
        <v>D00210.3.1.1_1</v>
      </c>
      <c r="C289" s="34" t="s">
        <v>1253</v>
      </c>
      <c r="D289" s="2" t="str">
        <f>"(#"&amp;Tabella4[[#This Row],['#ID]]&amp;")"</f>
        <v>(#PDF0027)</v>
      </c>
      <c r="E289" s="34" t="str">
        <f>IF(MID(Tabella4[[#This Row],['#ID]],1,1)="M","Mobile",IF(MID(Tabella4[[#This Row],['#ID]],1,1)="D","Desktop",IF(MID(Tabella4[[#This Row],['#ID]],1,2)="TM","Manuale","Documenti")))</f>
        <v>Documenti</v>
      </c>
      <c r="F289" s="34" t="s">
        <v>1005</v>
      </c>
      <c r="G289" s="34" t="s">
        <v>332</v>
      </c>
      <c r="H289" s="34" t="str">
        <f>IF(Tabella4[[#This Row],[Componente]]="Documenti","10.","9.")&amp;Tabella4[[#This Row],[Criterio]]</f>
        <v>10.3.1.1</v>
      </c>
      <c r="I289" s="34" t="s">
        <v>1036</v>
      </c>
      <c r="J289" t="s">
        <v>1169</v>
      </c>
      <c r="K289" s="19" t="s">
        <v>1089</v>
      </c>
      <c r="L289" s="34" t="s">
        <v>1201</v>
      </c>
      <c r="M289" s="34" t="s">
        <v>1202</v>
      </c>
      <c r="N289" s="34"/>
      <c r="O289" s="34"/>
      <c r="P289" s="55" t="s">
        <v>473</v>
      </c>
      <c r="R289" s="34" t="str">
        <f>IF(Tabella4[[#This Row],[Componente]]="Documenti",_xlfn.XLOOKUP(Tabella4[[#This Row],[URL]],Tabella27[URL],Tabella27[PDF ID],,0),_xlfn.XLOOKUP(Tabella4[[#This Row],[URL]],Tabella1[URL],Tabella1[Page ID],,0))</f>
        <v>#P02</v>
      </c>
      <c r="S289" t="s">
        <v>93</v>
      </c>
      <c r="T289" s="34"/>
      <c r="V289" s="34">
        <v>0</v>
      </c>
      <c r="W289" s="34" t="s">
        <v>1203</v>
      </c>
      <c r="X289" s="34">
        <f>IFERROR(IF(Tabella4[[#This Row],[Tool]]="lighthouse",Tabella4[[#This Row],[Detail]],MID(Tabella4[[#This Row],[Detail]],1,FIND("&gt;",Tabella4[[#This Row],[Detail]]))),Tabella4[[#This Row],[Detail]])</f>
        <v>0</v>
      </c>
      <c r="Y289" s="34" t="str">
        <f>SUBSTITUTE(IF(Tabella4[[#This Row],[Tool]]="axe-core",MID(Tabella4[[#This Row],[Rejected Element]],3,LEN(Tabella4[[#This Row],[Rejected Element]])-4),Tabella4[[#This Row],[Rejected Element]]),"\","")</f>
        <v/>
      </c>
      <c r="Z289" s="34">
        <f>COUNTIFS(Tabella4[Detail univoco],Tabella4[[#This Row],[Detail univoco]],Tabella4[Rejected Element Univoco],Tabella4[[#This Row],[Rejected Element Univoco]],Tabella4[ItemsNodeLabel],Tabella4[[#This Row],[ItemsNodeLabel]])</f>
        <v>0</v>
      </c>
      <c r="AA289" s="34" t="str">
        <f>IF(Tabella4[[#This Row],[Componente]]="Documenti",VLOOKUP(Tabella4[[#This Row],[URL]],Tabella27[[URL]:[Servizio]],4,FALSE),VLOOKUP(Tabella4[[#This Row],[Page ID]],Tabella1[[Page ID]:[Servizio]],4,FALSE))</f>
        <v>D002 Modello CAI - GN</v>
      </c>
      <c r="AB289" s="34"/>
      <c r="AC289" s="34" t="str">
        <f>Tabella4[[#This Row],[User Impact]]</f>
        <v>3 - Moderate</v>
      </c>
      <c r="AD289" s="34" t="str">
        <f>Copertina!C$2&amp;" - "&amp;Tabella4[[#This Row],[UNI CEI EN 301549]]&amp;" "&amp;VLOOKUP(Tabella4[[#This Row],[Criterio]],Tabella5[[ID]:[Criterio di successo]],2,FALSE)&amp;" - "&amp;Tabella4[[#This Row],[Servizio]]&amp;":"</f>
        <v>Insurance Brocker - 10.3.1.1 Lingua della pagina - D002 Modello CAI - GN:</v>
      </c>
      <c r="AE28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- 10.3.1.1 Lingua della pagina - D002 Modello CAI - GN: (#PDF0027)
D002 Modello CAI - GN
Requisito: WCAG 3.1.1
Disabilità afflitte: Blind;Cognitive;Deafblind
Impatto Utente: 3 - Moderate
Descrizione: I metadati della lingua del documento contengono un errore di sintassi - I metadati della lingua del documento contengono un errore di sintassi (https://www.w3.org/WAI/WCAG21/Techniques/html/H57)
Esempio di violazione individuata sull'oggetto: 
https://www.media.poste.it/6a7ffb23-48ca-4da0-8809-5d99d243adb4/web/modello-cai-gtel -  con selettore: 
Dettaglio + screenshot (accedere con le seguenti credenziali: user, axeposte@gmail.com; password, Poste2024!): 
Possibile metodologia risolutiva:
Correggere l'errore di sintassi nei metadati della lingua per consentire ai lettori di schermo di riconoscere correttamente la lingua.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289">
        <f>_xlfn.XLOOKUP(Tabella4[[#This Row],[ID Silk]],outTable[ID Silk],outTable[Numero ticket  ],,0,1)</f>
        <v>5971</v>
      </c>
    </row>
    <row r="290" spans="1:32">
      <c r="A290" s="34" t="str">
        <f>MID(Tabella4[[#This Row],[Servizio]],1,4)&amp;Tabella4[[#This Row],[UNI CEI EN 301549]]</f>
        <v>D00210.3.1.2</v>
      </c>
      <c r="B290" s="34" t="str">
        <f>Tabella4[[#This Row],[ID Silk]]&amp;"_1"</f>
        <v>D00210.3.1.2_1</v>
      </c>
      <c r="C290" s="34" t="s">
        <v>1254</v>
      </c>
      <c r="D290" s="2" t="str">
        <f>"(#"&amp;Tabella4[[#This Row],['#ID]]&amp;")"</f>
        <v>(#PDF0028)</v>
      </c>
      <c r="E290" s="34" t="str">
        <f>IF(MID(Tabella4[[#This Row],['#ID]],1,1)="M","Mobile",IF(MID(Tabella4[[#This Row],['#ID]],1,1)="D","Desktop",IF(MID(Tabella4[[#This Row],['#ID]],1,2)="TM","Manuale","Documenti")))</f>
        <v>Documenti</v>
      </c>
      <c r="F290" s="34" t="s">
        <v>1006</v>
      </c>
      <c r="G290" s="34" t="s">
        <v>334</v>
      </c>
      <c r="H290" s="34" t="str">
        <f>IF(Tabella4[[#This Row],[Componente]]="Documenti","10.","9.")&amp;Tabella4[[#This Row],[Criterio]]</f>
        <v>10.3.1.2</v>
      </c>
      <c r="I290" s="34" t="s">
        <v>1023</v>
      </c>
      <c r="J290" t="s">
        <v>1169</v>
      </c>
      <c r="K290" s="19" t="s">
        <v>1090</v>
      </c>
      <c r="L290" s="34" t="s">
        <v>1205</v>
      </c>
      <c r="M290" s="34" t="s">
        <v>1206</v>
      </c>
      <c r="N290" s="34"/>
      <c r="O290" s="34"/>
      <c r="P290" s="55" t="s">
        <v>473</v>
      </c>
      <c r="R290" s="34" t="str">
        <f>IF(Tabella4[[#This Row],[Componente]]="Documenti",_xlfn.XLOOKUP(Tabella4[[#This Row],[URL]],Tabella27[URL],Tabella27[PDF ID],,0),_xlfn.XLOOKUP(Tabella4[[#This Row],[URL]],Tabella1[URL],Tabella1[Page ID],,0))</f>
        <v>#P02</v>
      </c>
      <c r="S290" t="s">
        <v>93</v>
      </c>
      <c r="T290" s="34"/>
      <c r="V290" s="34">
        <v>0</v>
      </c>
      <c r="W290" s="34" t="s">
        <v>1207</v>
      </c>
      <c r="X290" s="34">
        <f>IFERROR(IF(Tabella4[[#This Row],[Tool]]="lighthouse",Tabella4[[#This Row],[Detail]],MID(Tabella4[[#This Row],[Detail]],1,FIND("&gt;",Tabella4[[#This Row],[Detail]]))),Tabella4[[#This Row],[Detail]])</f>
        <v>0</v>
      </c>
      <c r="Y290" s="34" t="str">
        <f>SUBSTITUTE(IF(Tabella4[[#This Row],[Tool]]="axe-core",MID(Tabella4[[#This Row],[Rejected Element]],3,LEN(Tabella4[[#This Row],[Rejected Element]])-4),Tabella4[[#This Row],[Rejected Element]]),"\","")</f>
        <v/>
      </c>
      <c r="Z290" s="34">
        <f>COUNTIFS(Tabella4[Detail univoco],Tabella4[[#This Row],[Detail univoco]],Tabella4[Rejected Element Univoco],Tabella4[[#This Row],[Rejected Element Univoco]],Tabella4[ItemsNodeLabel],Tabella4[[#This Row],[ItemsNodeLabel]])</f>
        <v>0</v>
      </c>
      <c r="AA290" s="34" t="str">
        <f>IF(Tabella4[[#This Row],[Componente]]="Documenti",VLOOKUP(Tabella4[[#This Row],[URL]],Tabella27[[URL]:[Servizio]],4,FALSE),VLOOKUP(Tabella4[[#This Row],[Page ID]],Tabella1[[Page ID]:[Servizio]],4,FALSE))</f>
        <v>D002 Modello CAI - GN</v>
      </c>
      <c r="AB290" s="34"/>
      <c r="AC290" s="34" t="str">
        <f>Tabella4[[#This Row],[User Impact]]</f>
        <v>2 - Serious</v>
      </c>
      <c r="AD290" s="34" t="str">
        <f>Copertina!C$2&amp;" - "&amp;Tabella4[[#This Row],[UNI CEI EN 301549]]&amp;" "&amp;VLOOKUP(Tabella4[[#This Row],[Criterio]],Tabella5[[ID]:[Criterio di successo]],2,FALSE)&amp;" - "&amp;Tabella4[[#This Row],[Servizio]]&amp;":"</f>
        <v>Insurance Brocker - 10.3.1.2 Parti in lingua - D002 Modello CAI - GN:</v>
      </c>
      <c r="AE29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- 10.3.1.2 Parti in lingua - D002 Modello CAI - GN: (#PDF0028)
D002 Modello CAI - GN
Requisito: WCAG 3.1.2
Disabilità afflitte: Blind;Cognitive;Deafblind
Impatto Utente: 2 - Serious
Descrizione: La lingua naturale per un oggetto di testo non può essere determinata. - La lingua naturale per un oggetto di testo non può essere determinata. (https://www.w3.org/TR/WCAG20-TECHS/PDF19.html)
Esempio di violazione individuata sull'oggetto: 
https://www.media.poste.it/6a7ffb23-48ca-4da0-8809-5d99d243adb4/web/modello-cai-gtel -  con selettore: 
Dettaglio + screenshot (accedere con le seguenti credenziali: user, axeposte@gmail.com; password, Poste2024!): 
Possibile metodologia risolutiva:
In Adobe Acrobat Pro, vai su File &gt; Proprietà &gt; Avanzate e imposta la lingua predefinita del documento. Usa strumenti di verifica per controllare che tutti gli oggetti di testo ereditino correttamente questa impostazione.
File di log (occorrenze rilevate: 1): https://posteitaliane.sharepoint.com/:x:/r/teams/ACCESSIBILITRISULTATIVERIFICHETECNICHE-PORTALEIMMIGRAZIONE/Shared%20Documents/PORTALE%20IMMIGRAZIONE/LOG/Log_2411.xlsx?d=wce770a595441461abc11f2c139111c73&amp;csf=1&amp;web=1&amp;e=tpdJfo
Link al dettaglio requisito WCAG: </v>
      </c>
      <c r="AF290">
        <f>_xlfn.XLOOKUP(Tabella4[[#This Row],[ID Silk]],outTable[ID Silk],outTable[Numero ticket  ],,0,1)</f>
        <v>5973</v>
      </c>
    </row>
    <row r="291" spans="1:32">
      <c r="A291" s="34" t="str">
        <f>MID(Tabella4[[#This Row],[Servizio]],1,4)&amp;Tabella4[[#This Row],[UNI CEI EN 301549]]</f>
        <v>D00310.1.3.1</v>
      </c>
      <c r="B291" s="34" t="str">
        <f>Tabella4[[#This Row],[ID Silk]]&amp;"_1"</f>
        <v>D00310.1.3.1_1</v>
      </c>
      <c r="C291" s="34" t="s">
        <v>1255</v>
      </c>
      <c r="D291" s="2" t="str">
        <f>"(#"&amp;Tabella4[[#This Row],['#ID]]&amp;")"</f>
        <v>(#PDF0029)</v>
      </c>
      <c r="E291" s="34" t="str">
        <f>IF(MID(Tabella4[[#This Row],['#ID]],1,1)="M","Mobile",IF(MID(Tabella4[[#This Row],['#ID]],1,1)="D","Desktop",IF(MID(Tabella4[[#This Row],['#ID]],1,2)="TM","Manuale","Documenti")))</f>
        <v>Documenti</v>
      </c>
      <c r="F291" s="34" t="s">
        <v>1005</v>
      </c>
      <c r="G291" s="34" t="s">
        <v>184</v>
      </c>
      <c r="H291" s="34" t="str">
        <f>IF(Tabella4[[#This Row],[Componente]]="Documenti","10.","9.")&amp;Tabella4[[#This Row],[Criterio]]</f>
        <v>10.1.3.1</v>
      </c>
      <c r="I291" s="34" t="s">
        <v>1007</v>
      </c>
      <c r="J291" t="s">
        <v>1019</v>
      </c>
      <c r="K291" s="19" t="s">
        <v>88</v>
      </c>
      <c r="L291" s="34" t="s">
        <v>1152</v>
      </c>
      <c r="M291" s="34" t="s">
        <v>1153</v>
      </c>
      <c r="N291" s="34"/>
      <c r="O291" s="34"/>
      <c r="P291" t="s">
        <v>467</v>
      </c>
      <c r="R291" s="34" t="str">
        <f>IF(Tabella4[[#This Row],[Componente]]="Documenti",_xlfn.XLOOKUP(Tabella4[[#This Row],[URL]],Tabella27[URL],Tabella27[PDF ID],,0),_xlfn.XLOOKUP(Tabella4[[#This Row],[URL]],Tabella1[URL],Tabella1[Page ID],,0))</f>
        <v>#P03</v>
      </c>
      <c r="S291" t="s">
        <v>1154</v>
      </c>
      <c r="T291" s="34"/>
      <c r="V291" s="34">
        <v>0</v>
      </c>
      <c r="W291" s="34" t="s">
        <v>1155</v>
      </c>
      <c r="X291" s="34">
        <f>IFERROR(IF(Tabella4[[#This Row],[Tool]]="lighthouse",Tabella4[[#This Row],[Detail]],MID(Tabella4[[#This Row],[Detail]],1,FIND("&gt;",Tabella4[[#This Row],[Detail]]))),Tabella4[[#This Row],[Detail]])</f>
        <v>0</v>
      </c>
      <c r="Y291" s="34" t="str">
        <f>SUBSTITUTE(IF(Tabella4[[#This Row],[Tool]]="axe-core",MID(Tabella4[[#This Row],[Rejected Element]],3,LEN(Tabella4[[#This Row],[Rejected Element]])-4),Tabella4[[#This Row],[Rejected Element]]),"\","")</f>
        <v/>
      </c>
      <c r="Z291" s="34">
        <f>COUNTIFS(Tabella4[Detail univoco],Tabella4[[#This Row],[Detail univoco]],Tabella4[Rejected Element Univoco],Tabella4[[#This Row],[Rejected Element Univoco]],Tabella4[ItemsNodeLabel],Tabella4[[#This Row],[ItemsNodeLabel]])</f>
        <v>0</v>
      </c>
      <c r="AA291" s="34" t="str">
        <f>IF(Tabella4[[#This Row],[Componente]]="Documenti",VLOOKUP(Tabella4[[#This Row],[URL]],Tabella27[[URL]:[Servizio]],4,FALSE),VLOOKUP(Tabella4[[#This Row],[Page ID]],Tabella1[[Page ID]:[Servizio]],4,FALSE))</f>
        <v>D003 RCA Poste Guidare Sicuri Genertel</v>
      </c>
      <c r="AB291" s="34"/>
      <c r="AC291" s="34" t="str">
        <f>Tabella4[[#This Row],[User Impact]]</f>
        <v>1 - Critical</v>
      </c>
      <c r="AD291" s="34" t="str">
        <f>Copertina!C$2&amp;" - "&amp;Tabella4[[#This Row],[UNI CEI EN 301549]]&amp;" "&amp;VLOOKUP(Tabella4[[#This Row],[Criterio]],Tabella5[[ID]:[Criterio di successo]],2,FALSE)&amp;" - "&amp;Tabella4[[#This Row],[Servizio]]&amp;":"</f>
        <v>Insurance Brocker - 10.1.3.1 Informazioni e correlazioni - D003 RCA Poste Guidare Sicuri Genertel:</v>
      </c>
      <c r="AE29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D003 RCA Poste Guidare Sicuri Genertel: (#PDF0029)
D003 RCA Poste Guidare Sicuri Genertel
Requisito: WCAG 1.3.1
Disabilità afflitte: Blind;Deafblind;Mobility
Impatto Utente: 1 - Critical
Descrizione: Utilizza i tag per specificare la struttura logica del PDF  - Utilizza i tag per specificare la struttura logica del PDF (https://www.w3.org/TR/WCAG20-TECHS/pdf#pdf_notes_acc-sup_tagged)
Esempio di violazione individuata sull'oggetto: 
https://www.media.poste.it/2a1202c7-487a-4c8b-b3c6-c540d41af3ca/file/posteguidaresicuri-gn -  con selettore: 
Dettaglio + screenshot (accedere con le seguenti credenziali: user, axeposte@gmail.com; password, Poste2024!): 
Possibile metodologia risolutiva:
Cambiare la struttura del PDF a Tagged PDF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91">
        <f>_xlfn.XLOOKUP(Tabella4[[#This Row],[ID Silk]],outTable[ID Silk],outTable[Numero ticket  ],,0,1)</f>
        <v>5976</v>
      </c>
    </row>
    <row r="292" spans="1:32">
      <c r="A292" s="34" t="str">
        <f>MID(Tabella4[[#This Row],[Servizio]],1,4)&amp;Tabella4[[#This Row],[UNI CEI EN 301549]]</f>
        <v>D00310.1.3.1</v>
      </c>
      <c r="B292" s="34" t="str">
        <f>Tabella4[[#This Row],[ID Silk]]&amp;"_1"</f>
        <v>D00310.1.3.1_1</v>
      </c>
      <c r="C292" s="34" t="s">
        <v>1256</v>
      </c>
      <c r="D292" s="2" t="str">
        <f>"(#"&amp;Tabella4[[#This Row],['#ID]]&amp;")"</f>
        <v>(#PDF0030)</v>
      </c>
      <c r="E292" s="34" t="str">
        <f>IF(MID(Tabella4[[#This Row],['#ID]],1,1)="M","Mobile",IF(MID(Tabella4[[#This Row],['#ID]],1,1)="D","Desktop",IF(MID(Tabella4[[#This Row],['#ID]],1,2)="TM","Manuale","Documenti")))</f>
        <v>Documenti</v>
      </c>
      <c r="F292" s="34" t="s">
        <v>1005</v>
      </c>
      <c r="G292" s="34" t="s">
        <v>184</v>
      </c>
      <c r="H292" s="34" t="str">
        <f>IF(Tabella4[[#This Row],[Componente]]="Documenti","10.","9.")&amp;Tabella4[[#This Row],[Criterio]]</f>
        <v>10.1.3.1</v>
      </c>
      <c r="I292" s="34" t="s">
        <v>1023</v>
      </c>
      <c r="J292" t="s">
        <v>1008</v>
      </c>
      <c r="K292" s="19" t="s">
        <v>90</v>
      </c>
      <c r="L292" s="34" t="s">
        <v>1157</v>
      </c>
      <c r="M292" s="34" t="s">
        <v>1158</v>
      </c>
      <c r="N292" s="34"/>
      <c r="O292" s="34"/>
      <c r="P292" t="s">
        <v>467</v>
      </c>
      <c r="R292" s="34" t="str">
        <f>IF(Tabella4[[#This Row],[Componente]]="Documenti",_xlfn.XLOOKUP(Tabella4[[#This Row],[URL]],Tabella27[URL],Tabella27[PDF ID],,0),_xlfn.XLOOKUP(Tabella4[[#This Row],[URL]],Tabella1[URL],Tabella1[Page ID],,0))</f>
        <v>#P03</v>
      </c>
      <c r="S292" t="s">
        <v>1154</v>
      </c>
      <c r="T292" s="34"/>
      <c r="V292" s="34">
        <v>0</v>
      </c>
      <c r="W292" s="34" t="s">
        <v>1159</v>
      </c>
      <c r="X292" s="34">
        <f>IFERROR(IF(Tabella4[[#This Row],[Tool]]="lighthouse",Tabella4[[#This Row],[Detail]],MID(Tabella4[[#This Row],[Detail]],1,FIND("&gt;",Tabella4[[#This Row],[Detail]]))),Tabella4[[#This Row],[Detail]])</f>
        <v>0</v>
      </c>
      <c r="Y292" s="34" t="str">
        <f>SUBSTITUTE(IF(Tabella4[[#This Row],[Tool]]="axe-core",MID(Tabella4[[#This Row],[Rejected Element]],3,LEN(Tabella4[[#This Row],[Rejected Element]])-4),Tabella4[[#This Row],[Rejected Element]]),"\","")</f>
        <v/>
      </c>
      <c r="Z292" s="34">
        <f>COUNTIFS(Tabella4[Detail univoco],Tabella4[[#This Row],[Detail univoco]],Tabella4[Rejected Element Univoco],Tabella4[[#This Row],[Rejected Element Univoco]],Tabella4[ItemsNodeLabel],Tabella4[[#This Row],[ItemsNodeLabel]])</f>
        <v>0</v>
      </c>
      <c r="AA292" s="34" t="str">
        <f>IF(Tabella4[[#This Row],[Componente]]="Documenti",VLOOKUP(Tabella4[[#This Row],[URL]],Tabella27[[URL]:[Servizio]],4,FALSE),VLOOKUP(Tabella4[[#This Row],[Page ID]],Tabella1[[Page ID]:[Servizio]],4,FALSE))</f>
        <v>D003 RCA Poste Guidare Sicuri Genertel</v>
      </c>
      <c r="AB292" s="34"/>
      <c r="AC292" s="34" t="str">
        <f>Tabella4[[#This Row],[User Impact]]</f>
        <v>2 - Serious</v>
      </c>
      <c r="AD292" s="34" t="str">
        <f>Copertina!C$2&amp;" - "&amp;Tabella4[[#This Row],[UNI CEI EN 301549]]&amp;" "&amp;VLOOKUP(Tabella4[[#This Row],[Criterio]],Tabella5[[ID]:[Criterio di successo]],2,FALSE)&amp;" - "&amp;Tabella4[[#This Row],[Servizio]]&amp;":"</f>
        <v>Insurance Brocker - 10.1.3.1 Informazioni e correlazioni - D003 RCA Poste Guidare Sicuri Genertel:</v>
      </c>
      <c r="AE29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D003 RCA Poste Guidare Sicuri Genertel: (#PDF0030)
D003 RCA Poste Guidare Sicuri Genertel
Requisito: WCAG 1.3.1
Disabilità afflitte: Blind;Deafblind
Impatto Utente: 2 - Serious
Descrizione: Fornire intestazioni contrassegnando il contenuto con tag di intestazione nei documenti PDF  - Fornire intestazioni contrassegnando il contenuto con tag di intestazione nei documenti PDF (https://www.w3.org/WAI/WCAG22/Techniques/pdf/PDF9)
Esempio di violazione individuata sull'oggetto: 
https://www.media.poste.it/2a1202c7-487a-4c8b-b3c6-c540d41af3ca/file/posteguidaresicuri-gn -  con selettore: 
Dettaglio + screenshot (accedere con le seguenti credenziali: user, axeposte@gmail.com; password, Poste2024!): 
Possibile metodologia risolutiva:
I documenti pdf devono avere gli heading correttamente marcati:
- Aggiungendo o modificando i tag heading su prodotti di modifica PDF
- Creando documenti in programmi Word usando lo styling corretto per la conversione in PDF
- Marcando gli heading usando elementi /Hn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92">
        <f>_xlfn.XLOOKUP(Tabella4[[#This Row],[ID Silk]],outTable[ID Silk],outTable[Numero ticket  ],,0,1)</f>
        <v>5976</v>
      </c>
    </row>
    <row r="293" spans="1:32">
      <c r="A293" s="34" t="str">
        <f>MID(Tabella4[[#This Row],[Servizio]],1,4)&amp;Tabella4[[#This Row],[UNI CEI EN 301549]]</f>
        <v>D00310.1.3.2</v>
      </c>
      <c r="B293" s="34" t="str">
        <f>Tabella4[[#This Row],[ID Silk]]&amp;"_1"</f>
        <v>D00310.1.3.2_1</v>
      </c>
      <c r="C293" s="34" t="s">
        <v>1257</v>
      </c>
      <c r="D293" s="2" t="str">
        <f>"(#"&amp;Tabella4[[#This Row],['#ID]]&amp;")"</f>
        <v>(#PDF0031)</v>
      </c>
      <c r="E293" s="34" t="str">
        <f>IF(MID(Tabella4[[#This Row],['#ID]],1,1)="M","Mobile",IF(MID(Tabella4[[#This Row],['#ID]],1,1)="D","Desktop",IF(MID(Tabella4[[#This Row],['#ID]],1,2)="TM","Manuale","Documenti")))</f>
        <v>Documenti</v>
      </c>
      <c r="F293" s="34" t="s">
        <v>1005</v>
      </c>
      <c r="G293" s="34" t="s">
        <v>191</v>
      </c>
      <c r="H293" s="34" t="str">
        <f>IF(Tabella4[[#This Row],[Componente]]="Documenti","10.","9.")&amp;Tabella4[[#This Row],[Criterio]]</f>
        <v>10.1.3.2</v>
      </c>
      <c r="I293" s="34" t="s">
        <v>1007</v>
      </c>
      <c r="J293" t="s">
        <v>1019</v>
      </c>
      <c r="K293" s="19" t="s">
        <v>1080</v>
      </c>
      <c r="L293" s="34" t="s">
        <v>1161</v>
      </c>
      <c r="M293" s="34" t="s">
        <v>1162</v>
      </c>
      <c r="N293" s="34"/>
      <c r="O293" s="34"/>
      <c r="P293" t="s">
        <v>467</v>
      </c>
      <c r="R293" s="34" t="str">
        <f>IF(Tabella4[[#This Row],[Componente]]="Documenti",_xlfn.XLOOKUP(Tabella4[[#This Row],[URL]],Tabella27[URL],Tabella27[PDF ID],,0),_xlfn.XLOOKUP(Tabella4[[#This Row],[URL]],Tabella1[URL],Tabella1[Page ID],,0))</f>
        <v>#P03</v>
      </c>
      <c r="S293" t="s">
        <v>1154</v>
      </c>
      <c r="T293" s="34"/>
      <c r="V293" s="34" t="s">
        <v>1163</v>
      </c>
      <c r="W293" s="34" t="s">
        <v>1163</v>
      </c>
      <c r="X293" s="34">
        <f>IFERROR(IF(Tabella4[[#This Row],[Tool]]="lighthouse",Tabella4[[#This Row],[Detail]],MID(Tabella4[[#This Row],[Detail]],1,FIND("&gt;",Tabella4[[#This Row],[Detail]]))),Tabella4[[#This Row],[Detail]])</f>
        <v>0</v>
      </c>
      <c r="Y293" s="34" t="str">
        <f>SUBSTITUTE(IF(Tabella4[[#This Row],[Tool]]="axe-core",MID(Tabella4[[#This Row],[Rejected Element]],3,LEN(Tabella4[[#This Row],[Rejected Element]])-4),Tabella4[[#This Row],[Rejected Element]]),"\","")</f>
        <v/>
      </c>
      <c r="Z293" s="34">
        <f>COUNTIFS(Tabella4[Detail univoco],Tabella4[[#This Row],[Detail univoco]],Tabella4[Rejected Element Univoco],Tabella4[[#This Row],[Rejected Element Univoco]],Tabella4[ItemsNodeLabel],Tabella4[[#This Row],[ItemsNodeLabel]])</f>
        <v>0</v>
      </c>
      <c r="AA293" s="34" t="str">
        <f>IF(Tabella4[[#This Row],[Componente]]="Documenti",VLOOKUP(Tabella4[[#This Row],[URL]],Tabella27[[URL]:[Servizio]],4,FALSE),VLOOKUP(Tabella4[[#This Row],[Page ID]],Tabella1[[Page ID]:[Servizio]],4,FALSE))</f>
        <v>D003 RCA Poste Guidare Sicuri Genertel</v>
      </c>
      <c r="AB293" s="34"/>
      <c r="AC293" s="34" t="str">
        <f>Tabella4[[#This Row],[User Impact]]</f>
        <v>1 - Critical</v>
      </c>
      <c r="AD293" s="34" t="str">
        <f>Copertina!C$2&amp;" - "&amp;Tabella4[[#This Row],[UNI CEI EN 301549]]&amp;" "&amp;VLOOKUP(Tabella4[[#This Row],[Criterio]],Tabella5[[ID]:[Criterio di successo]],2,FALSE)&amp;" - "&amp;Tabella4[[#This Row],[Servizio]]&amp;":"</f>
        <v>Insurance Brocker - 10.1.3.2 Sequenza significativa - D003 RCA Poste Guidare Sicuri Genertel:</v>
      </c>
      <c r="AE29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- 10.1.3.2 Sequenza significativa - D003 RCA Poste Guidare Sicuri Genertel: (#PDF0031)
D003 RCA Poste Guidare Sicuri Genertel
Requisito: WCAG 1.3.2
Disabilità afflitte: Blind;Deafblind;Mobility
Impatto Utente: 1 - Critical
Descrizione: Garantire il corretto ordine di tabulazione e di lettura nei documenti PDF  - Garantire il corretto ordine di tabulazione e di lettura nei documenti PDF (https://www.w3.org/WAI/WCAG22/Techniques/pdf/PDF3)
Esempio di violazione individuata sull'oggetto: 
https://www.media.poste.it/2a1202c7-487a-4c8b-b3c6-c540d41af3ca/file/posteguidaresicuri-gn -  con selettore: 
Dettaglio + screenshot (accedere con le seguenti credenziali: user, axeposte@gmail.com; password, Poste2024!): 
Possibile metodologia risolutiva:
Imposta l'ordine di scorrimento degli elementi su una pagina utilizzando l'opzione "Struttura documento"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https://posteitaliane.sharepoint.com/:w:/r/teams/ACCESSIBILITRISULTATIVERIFICHETECNICHE/Shared%20Documents/Generale/SCHEDE_REQUISITI/10.1.3.2%20Sequenza%20significativa.docx?d=wc358fe04604c46dcad4900207034af1e&amp;csf=1&amp;web=1&amp;e=Egn3Lg</v>
      </c>
      <c r="AF293">
        <f>_xlfn.XLOOKUP(Tabella4[[#This Row],[ID Silk]],outTable[ID Silk],outTable[Numero ticket  ],,0,1)</f>
        <v>5977</v>
      </c>
    </row>
    <row r="294" spans="1:32">
      <c r="A294" s="34" t="str">
        <f>MID(Tabella4[[#This Row],[Servizio]],1,4)&amp;Tabella4[[#This Row],[UNI CEI EN 301549]]</f>
        <v>D00310.2.4.2</v>
      </c>
      <c r="B294" s="34" t="str">
        <f>Tabella4[[#This Row],[ID Silk]]&amp;"_1"</f>
        <v>D00310.2.4.2_1</v>
      </c>
      <c r="C294" s="34" t="s">
        <v>1258</v>
      </c>
      <c r="D294" s="2" t="str">
        <f>"(#"&amp;Tabella4[[#This Row],['#ID]]&amp;")"</f>
        <v>(#PDF0032)</v>
      </c>
      <c r="E294" s="34" t="str">
        <f>IF(MID(Tabella4[[#This Row],['#ID]],1,1)="M","Mobile",IF(MID(Tabella4[[#This Row],['#ID]],1,1)="D","Desktop",IF(MID(Tabella4[[#This Row],['#ID]],1,2)="TM","Manuale","Documenti")))</f>
        <v>Documenti</v>
      </c>
      <c r="F294" s="34" t="s">
        <v>1005</v>
      </c>
      <c r="G294" s="34" t="s">
        <v>302</v>
      </c>
      <c r="H294" s="34" t="str">
        <f>IF(Tabella4[[#This Row],[Componente]]="Documenti","10.","9.")&amp;Tabella4[[#This Row],[Criterio]]</f>
        <v>10.2.4.2</v>
      </c>
      <c r="I294" s="34" t="s">
        <v>1023</v>
      </c>
      <c r="J294" t="s">
        <v>1008</v>
      </c>
      <c r="K294" s="19" t="s">
        <v>1081</v>
      </c>
      <c r="L294" s="34" t="s">
        <v>1165</v>
      </c>
      <c r="M294" s="34" t="s">
        <v>1166</v>
      </c>
      <c r="N294" s="34"/>
      <c r="O294" s="34"/>
      <c r="P294" t="s">
        <v>467</v>
      </c>
      <c r="R294" s="34" t="str">
        <f>IF(Tabella4[[#This Row],[Componente]]="Documenti",_xlfn.XLOOKUP(Tabella4[[#This Row],[URL]],Tabella27[URL],Tabella27[PDF ID],,0),_xlfn.XLOOKUP(Tabella4[[#This Row],[URL]],Tabella1[URL],Tabella1[Page ID],,0))</f>
        <v>#P03</v>
      </c>
      <c r="S294" t="s">
        <v>1154</v>
      </c>
      <c r="T294" s="34"/>
      <c r="V294" s="34" t="s">
        <v>1167</v>
      </c>
      <c r="W294" s="34" t="s">
        <v>1167</v>
      </c>
      <c r="X294" s="34">
        <f>IFERROR(IF(Tabella4[[#This Row],[Tool]]="lighthouse",Tabella4[[#This Row],[Detail]],MID(Tabella4[[#This Row],[Detail]],1,FIND("&gt;",Tabella4[[#This Row],[Detail]]))),Tabella4[[#This Row],[Detail]])</f>
        <v>0</v>
      </c>
      <c r="Y294" s="34" t="str">
        <f>SUBSTITUTE(IF(Tabella4[[#This Row],[Tool]]="axe-core",MID(Tabella4[[#This Row],[Rejected Element]],3,LEN(Tabella4[[#This Row],[Rejected Element]])-4),Tabella4[[#This Row],[Rejected Element]]),"\","")</f>
        <v/>
      </c>
      <c r="Z294" s="34">
        <f>COUNTIFS(Tabella4[Detail univoco],Tabella4[[#This Row],[Detail univoco]],Tabella4[Rejected Element Univoco],Tabella4[[#This Row],[Rejected Element Univoco]],Tabella4[ItemsNodeLabel],Tabella4[[#This Row],[ItemsNodeLabel]])</f>
        <v>0</v>
      </c>
      <c r="AA294" s="34" t="str">
        <f>IF(Tabella4[[#This Row],[Componente]]="Documenti",VLOOKUP(Tabella4[[#This Row],[URL]],Tabella27[[URL]:[Servizio]],4,FALSE),VLOOKUP(Tabella4[[#This Row],[Page ID]],Tabella1[[Page ID]:[Servizio]],4,FALSE))</f>
        <v>D003 RCA Poste Guidare Sicuri Genertel</v>
      </c>
      <c r="AB294" s="34"/>
      <c r="AC294" s="34" t="str">
        <f>Tabella4[[#This Row],[User Impact]]</f>
        <v>2 - Serious</v>
      </c>
      <c r="AD294" s="34" t="str">
        <f>Copertina!C$2&amp;" - "&amp;Tabella4[[#This Row],[UNI CEI EN 301549]]&amp;" "&amp;VLOOKUP(Tabella4[[#This Row],[Criterio]],Tabella5[[ID]:[Criterio di successo]],2,FALSE)&amp;" - "&amp;Tabella4[[#This Row],[Servizio]]&amp;":"</f>
        <v>Insurance Brocker - 10.2.4.2 Titolazione della pagina - D003 RCA Poste Guidare Sicuri Genertel:</v>
      </c>
      <c r="AE29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D003 RCA Poste Guidare Sicuri Genertel: (#PDF0032)
D003 RCA Poste Guidare Sicuri Genertel
Requisito: WCAG 2.4.2
Disabilità afflitte: Blind;Deafblind
Impatto Utente: 2 - Serious
Descrizione: Specificare il titolo del documento utilizzando la voce Titolo nel dizionario delle informazioni di un documento PDF  - Specificare il titolo del documento utilizzando la voce Titolo nel dizionario delle informazioni di un documento PDF (https://www.w3.org/WAI/WCAG22/Techniques/pdf/PDF18)
Esempio di violazione individuata sull'oggetto: 
https://www.media.poste.it/2a1202c7-487a-4c8b-b3c6-c540d41af3ca/file/posteguidaresicuri-gn -  con selettore: 
Dettaglio + screenshot (accedere con le seguenti credenziali: user, axeposte@gmail.com; password, Poste2024!): 
Possibile metodologia risolutiva:
Imposta il nuovo titolo PDF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294">
        <f>_xlfn.XLOOKUP(Tabella4[[#This Row],[ID Silk]],outTable[ID Silk],outTable[Numero ticket  ],,0,1)</f>
        <v>5980</v>
      </c>
    </row>
    <row r="295" spans="1:32">
      <c r="A295" s="34" t="str">
        <f>MID(Tabella4[[#This Row],[Servizio]],1,4)&amp;Tabella4[[#This Row],[UNI CEI EN 301549]]</f>
        <v>D00310.1.3.1</v>
      </c>
      <c r="B295" s="34" t="str">
        <f>Tabella4[[#This Row],[ID Silk]]&amp;"_1"</f>
        <v>D00310.1.3.1_1</v>
      </c>
      <c r="C295" s="34" t="s">
        <v>1259</v>
      </c>
      <c r="D295" s="2" t="str">
        <f>"(#"&amp;Tabella4[[#This Row],['#ID]]&amp;")"</f>
        <v>(#PDF0033)</v>
      </c>
      <c r="E295" s="34" t="str">
        <f>IF(MID(Tabella4[[#This Row],['#ID]],1,1)="M","Mobile",IF(MID(Tabella4[[#This Row],['#ID]],1,1)="D","Desktop",IF(MID(Tabella4[[#This Row],['#ID]],1,2)="TM","Manuale","Documenti")))</f>
        <v>Documenti</v>
      </c>
      <c r="F295" s="34" t="s">
        <v>1005</v>
      </c>
      <c r="G295" s="34" t="s">
        <v>184</v>
      </c>
      <c r="H295" s="34" t="str">
        <f>IF(Tabella4[[#This Row],[Componente]]="Documenti","10.","9.")&amp;Tabella4[[#This Row],[Criterio]]</f>
        <v>10.1.3.1</v>
      </c>
      <c r="I295" s="34" t="s">
        <v>1023</v>
      </c>
      <c r="J295" t="s">
        <v>1008</v>
      </c>
      <c r="K295" s="19" t="s">
        <v>1083</v>
      </c>
      <c r="L295" s="34" t="s">
        <v>1177</v>
      </c>
      <c r="M295" s="34" t="s">
        <v>1178</v>
      </c>
      <c r="N295" s="34"/>
      <c r="O295" s="34"/>
      <c r="P295" t="s">
        <v>467</v>
      </c>
      <c r="R295" s="34" t="str">
        <f>IF(Tabella4[[#This Row],[Componente]]="Documenti",_xlfn.XLOOKUP(Tabella4[[#This Row],[URL]],Tabella27[URL],Tabella27[PDF ID],,0),_xlfn.XLOOKUP(Tabella4[[#This Row],[URL]],Tabella1[URL],Tabella1[Page ID],,0))</f>
        <v>#P03</v>
      </c>
      <c r="S295" t="s">
        <v>93</v>
      </c>
      <c r="T295" s="34"/>
      <c r="V295" s="34">
        <v>0</v>
      </c>
      <c r="W295" s="34" t="s">
        <v>1179</v>
      </c>
      <c r="X295" s="34">
        <f>IFERROR(IF(Tabella4[[#This Row],[Tool]]="lighthouse",Tabella4[[#This Row],[Detail]],MID(Tabella4[[#This Row],[Detail]],1,FIND("&gt;",Tabella4[[#This Row],[Detail]]))),Tabella4[[#This Row],[Detail]])</f>
        <v>0</v>
      </c>
      <c r="Y295" s="34" t="str">
        <f>SUBSTITUTE(IF(Tabella4[[#This Row],[Tool]]="axe-core",MID(Tabella4[[#This Row],[Rejected Element]],3,LEN(Tabella4[[#This Row],[Rejected Element]])-4),Tabella4[[#This Row],[Rejected Element]]),"\","")</f>
        <v/>
      </c>
      <c r="Z295" s="34">
        <f>COUNTIFS(Tabella4[Detail univoco],Tabella4[[#This Row],[Detail univoco]],Tabella4[Rejected Element Univoco],Tabella4[[#This Row],[Rejected Element Univoco]],Tabella4[ItemsNodeLabel],Tabella4[[#This Row],[ItemsNodeLabel]])</f>
        <v>0</v>
      </c>
      <c r="AA295" s="34" t="str">
        <f>IF(Tabella4[[#This Row],[Componente]]="Documenti",VLOOKUP(Tabella4[[#This Row],[URL]],Tabella27[[URL]:[Servizio]],4,FALSE),VLOOKUP(Tabella4[[#This Row],[Page ID]],Tabella1[[Page ID]:[Servizio]],4,FALSE))</f>
        <v>D003 RCA Poste Guidare Sicuri Genertel</v>
      </c>
      <c r="AB295" s="34"/>
      <c r="AC295" s="34" t="str">
        <f>Tabella4[[#This Row],[User Impact]]</f>
        <v>2 - Serious</v>
      </c>
      <c r="AD295" s="34" t="str">
        <f>Copertina!C$2&amp;" - "&amp;Tabella4[[#This Row],[UNI CEI EN 301549]]&amp;" "&amp;VLOOKUP(Tabella4[[#This Row],[Criterio]],Tabella5[[ID]:[Criterio di successo]],2,FALSE)&amp;" - "&amp;Tabella4[[#This Row],[Servizio]]&amp;":"</f>
        <v>Insurance Brocker - 10.1.3.1 Informazioni e correlazioni - D003 RCA Poste Guidare Sicuri Genertel:</v>
      </c>
      <c r="AE29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D003 RCA Poste Guidare Sicuri Genertel: (#PDF0033)
D003 RCA Poste Guidare Sicuri Genertel
Requisito: WCAG 1.3.1
Disabilità afflitte: Blind;Deafblind
Impatto Utente: 2 - Serious
Descrizione: Oggetto di percorso non taggato - Oggetto di percorso non taggato (https://www.w3.org/WAI/WCAG21/Techniques/pdf/PDF1)
Esempio di violazione individuata sull'oggetto: 
https://www.media.poste.it/2a1202c7-487a-4c8b-b3c6-c540d41af3ca/file/posteguidaresicuri-gn -  con selettore: 
Dettaglio + screenshot (accedere con le seguenti credenziali: user, axeposte@gmail.com; password, Poste2024!): 
Possibile metodologia risolutiva:
Assicurarsi che tutti gli oggetti grafici di tipo percorso siano taggati. In Adobe Acrobat, selezionare l'oggetto e aggiungere un tag appropriato nella struttura dei tag.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95">
        <f>_xlfn.XLOOKUP(Tabella4[[#This Row],[ID Silk]],outTable[ID Silk],outTable[Numero ticket  ],,0,1)</f>
        <v>5976</v>
      </c>
    </row>
    <row r="296" spans="1:32">
      <c r="A296" s="34" t="str">
        <f>MID(Tabella4[[#This Row],[Servizio]],1,4)&amp;Tabella4[[#This Row],[UNI CEI EN 301549]]</f>
        <v>D00310.1.3.1</v>
      </c>
      <c r="B296" s="34" t="str">
        <f>Tabella4[[#This Row],[ID Silk]]&amp;"_1"</f>
        <v>D00310.1.3.1_1</v>
      </c>
      <c r="C296" s="34" t="s">
        <v>1260</v>
      </c>
      <c r="D296" s="2" t="str">
        <f>"(#"&amp;Tabella4[[#This Row],['#ID]]&amp;")"</f>
        <v>(#PDF0034)</v>
      </c>
      <c r="E296" s="34" t="str">
        <f>IF(MID(Tabella4[[#This Row],['#ID]],1,1)="M","Mobile",IF(MID(Tabella4[[#This Row],['#ID]],1,1)="D","Desktop",IF(MID(Tabella4[[#This Row],['#ID]],1,2)="TM","Manuale","Documenti")))</f>
        <v>Documenti</v>
      </c>
      <c r="F296" s="34" t="s">
        <v>1005</v>
      </c>
      <c r="G296" s="34" t="s">
        <v>184</v>
      </c>
      <c r="H296" s="34" t="str">
        <f>IF(Tabella4[[#This Row],[Componente]]="Documenti","10.","9.")&amp;Tabella4[[#This Row],[Criterio]]</f>
        <v>10.1.3.1</v>
      </c>
      <c r="I296" s="34" t="s">
        <v>1007</v>
      </c>
      <c r="J296" t="s">
        <v>1008</v>
      </c>
      <c r="K296" s="19" t="s">
        <v>1085</v>
      </c>
      <c r="L296" s="34" t="s">
        <v>1183</v>
      </c>
      <c r="M296" s="34" t="s">
        <v>1184</v>
      </c>
      <c r="N296" s="34"/>
      <c r="O296" s="34"/>
      <c r="P296" t="s">
        <v>467</v>
      </c>
      <c r="R296" s="34" t="str">
        <f>IF(Tabella4[[#This Row],[Componente]]="Documenti",_xlfn.XLOOKUP(Tabella4[[#This Row],[URL]],Tabella27[URL],Tabella27[PDF ID],,0),_xlfn.XLOOKUP(Tabella4[[#This Row],[URL]],Tabella1[URL],Tabella1[Page ID],,0))</f>
        <v>#P03</v>
      </c>
      <c r="S296" t="s">
        <v>93</v>
      </c>
      <c r="T296" s="34"/>
      <c r="V296" s="34">
        <v>0</v>
      </c>
      <c r="W296" s="34" t="s">
        <v>1185</v>
      </c>
      <c r="X296" s="34">
        <f>IFERROR(IF(Tabella4[[#This Row],[Tool]]="lighthouse",Tabella4[[#This Row],[Detail]],MID(Tabella4[[#This Row],[Detail]],1,FIND("&gt;",Tabella4[[#This Row],[Detail]]))),Tabella4[[#This Row],[Detail]])</f>
        <v>0</v>
      </c>
      <c r="Y296" s="34" t="str">
        <f>SUBSTITUTE(IF(Tabella4[[#This Row],[Tool]]="axe-core",MID(Tabella4[[#This Row],[Rejected Element]],3,LEN(Tabella4[[#This Row],[Rejected Element]])-4),Tabella4[[#This Row],[Rejected Element]]),"\","")</f>
        <v/>
      </c>
      <c r="Z296" s="34">
        <f>COUNTIFS(Tabella4[Detail univoco],Tabella4[[#This Row],[Detail univoco]],Tabella4[Rejected Element Univoco],Tabella4[[#This Row],[Rejected Element Univoco]],Tabella4[ItemsNodeLabel],Tabella4[[#This Row],[ItemsNodeLabel]])</f>
        <v>0</v>
      </c>
      <c r="AA296" s="34" t="str">
        <f>IF(Tabella4[[#This Row],[Componente]]="Documenti",VLOOKUP(Tabella4[[#This Row],[URL]],Tabella27[[URL]:[Servizio]],4,FALSE),VLOOKUP(Tabella4[[#This Row],[Page ID]],Tabella1[[Page ID]:[Servizio]],4,FALSE))</f>
        <v>D003 RCA Poste Guidare Sicuri Genertel</v>
      </c>
      <c r="AB296" s="34"/>
      <c r="AC296" s="34" t="str">
        <f>Tabella4[[#This Row],[User Impact]]</f>
        <v>1 - Critical</v>
      </c>
      <c r="AD296" s="34" t="str">
        <f>Copertina!C$2&amp;" - "&amp;Tabella4[[#This Row],[UNI CEI EN 301549]]&amp;" "&amp;VLOOKUP(Tabella4[[#This Row],[Criterio]],Tabella5[[ID]:[Criterio di successo]],2,FALSE)&amp;" - "&amp;Tabella4[[#This Row],[Servizio]]&amp;":"</f>
        <v>Insurance Brocker - 10.1.3.1 Informazioni e correlazioni - D003 RCA Poste Guidare Sicuri Genertel:</v>
      </c>
      <c r="AE29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D003 RCA Poste Guidare Sicuri Genertel: (#PDF0034)
D003 RCA Poste Guidare Sicuri Genertel
Requisito: WCAG 1.3.1
Disabilità afflitte: Blind;Deafblind
Impatto Utente: 1 - Critical
Descrizione: Oggetto testo non taggato - Oggetto testo non taggato (https://www.w3.org/WAI/WCAG21/Techniques/pdf/PDF1)
Esempio di violazione individuata sull'oggetto: 
https://www.media.poste.it/2a1202c7-487a-4c8b-b3c6-c540d41af3ca/file/posteguidaresicuri-gn -  con selettore: 
Dettaglio + screenshot (accedere con le seguenti credenziali: user, axeposte@gmail.com; password, Poste2024!): 
Possibile metodologia risolutiva:
Assicurarsi che tutti i blocchi di testo siano taggati correttamente nella struttura PDF per l’accesso con screen reader. In Adobe Acrobat, usare l'opzione Aggiungi tag al documento.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96">
        <f>_xlfn.XLOOKUP(Tabella4[[#This Row],[ID Silk]],outTable[ID Silk],outTable[Numero ticket  ],,0,1)</f>
        <v>5976</v>
      </c>
    </row>
    <row r="297" spans="1:32">
      <c r="A297" s="34" t="str">
        <f>MID(Tabella4[[#This Row],[Servizio]],1,4)&amp;Tabella4[[#This Row],[UNI CEI EN 301549]]</f>
        <v>D00310.1.3.1</v>
      </c>
      <c r="B297" s="34" t="str">
        <f>Tabella4[[#This Row],[ID Silk]]&amp;"_1"</f>
        <v>D00310.1.3.1_1</v>
      </c>
      <c r="C297" s="34" t="s">
        <v>1261</v>
      </c>
      <c r="D297" s="2" t="str">
        <f>"(#"&amp;Tabella4[[#This Row],['#ID]]&amp;")"</f>
        <v>(#PDF0035)</v>
      </c>
      <c r="E297" s="34" t="str">
        <f>IF(MID(Tabella4[[#This Row],['#ID]],1,1)="M","Mobile",IF(MID(Tabella4[[#This Row],['#ID]],1,1)="D","Desktop",IF(MID(Tabella4[[#This Row],['#ID]],1,2)="TM","Manuale","Documenti")))</f>
        <v>Documenti</v>
      </c>
      <c r="F297" s="34" t="s">
        <v>1005</v>
      </c>
      <c r="G297" s="34" t="s">
        <v>184</v>
      </c>
      <c r="H297" s="34" t="str">
        <f>IF(Tabella4[[#This Row],[Componente]]="Documenti","10.","9.")&amp;Tabella4[[#This Row],[Criterio]]</f>
        <v>10.1.3.1</v>
      </c>
      <c r="I297" s="34" t="s">
        <v>1007</v>
      </c>
      <c r="J297" t="s">
        <v>1008</v>
      </c>
      <c r="K297" s="19" t="s">
        <v>91</v>
      </c>
      <c r="L297" s="34" t="s">
        <v>1174</v>
      </c>
      <c r="M297" s="34" t="s">
        <v>1175</v>
      </c>
      <c r="N297" s="34"/>
      <c r="O297" s="34"/>
      <c r="P297" t="s">
        <v>467</v>
      </c>
      <c r="R297" s="34" t="str">
        <f>IF(Tabella4[[#This Row],[Componente]]="Documenti",_xlfn.XLOOKUP(Tabella4[[#This Row],[URL]],Tabella27[URL],Tabella27[PDF ID],,0),_xlfn.XLOOKUP(Tabella4[[#This Row],[URL]],Tabella1[URL],Tabella1[Page ID],,0))</f>
        <v>#P03</v>
      </c>
      <c r="S297" t="s">
        <v>93</v>
      </c>
      <c r="T297" s="34"/>
      <c r="V297" s="34">
        <v>0</v>
      </c>
      <c r="W297" s="34" t="s">
        <v>1176</v>
      </c>
      <c r="X297" s="34">
        <f>IFERROR(IF(Tabella4[[#This Row],[Tool]]="lighthouse",Tabella4[[#This Row],[Detail]],MID(Tabella4[[#This Row],[Detail]],1,FIND("&gt;",Tabella4[[#This Row],[Detail]]))),Tabella4[[#This Row],[Detail]])</f>
        <v>0</v>
      </c>
      <c r="Y297" s="34" t="str">
        <f>SUBSTITUTE(IF(Tabella4[[#This Row],[Tool]]="axe-core",MID(Tabella4[[#This Row],[Rejected Element]],3,LEN(Tabella4[[#This Row],[Rejected Element]])-4),Tabella4[[#This Row],[Rejected Element]]),"\","")</f>
        <v/>
      </c>
      <c r="Z297" s="34">
        <f>COUNTIFS(Tabella4[Detail univoco],Tabella4[[#This Row],[Detail univoco]],Tabella4[Rejected Element Univoco],Tabella4[[#This Row],[Rejected Element Univoco]],Tabella4[ItemsNodeLabel],Tabella4[[#This Row],[ItemsNodeLabel]])</f>
        <v>0</v>
      </c>
      <c r="AA297" s="34" t="str">
        <f>IF(Tabella4[[#This Row],[Componente]]="Documenti",VLOOKUP(Tabella4[[#This Row],[URL]],Tabella27[[URL]:[Servizio]],4,FALSE),VLOOKUP(Tabella4[[#This Row],[Page ID]],Tabella1[[Page ID]:[Servizio]],4,FALSE))</f>
        <v>D003 RCA Poste Guidare Sicuri Genertel</v>
      </c>
      <c r="AB297" s="34"/>
      <c r="AC297" s="34" t="str">
        <f>Tabella4[[#This Row],[User Impact]]</f>
        <v>1 - Critical</v>
      </c>
      <c r="AD297" s="34" t="str">
        <f>Copertina!C$2&amp;" - "&amp;Tabella4[[#This Row],[UNI CEI EN 301549]]&amp;" "&amp;VLOOKUP(Tabella4[[#This Row],[Criterio]],Tabella5[[ID]:[Criterio di successo]],2,FALSE)&amp;" - "&amp;Tabella4[[#This Row],[Servizio]]&amp;":"</f>
        <v>Insurance Brocker - 10.1.3.1 Informazioni e correlazioni - D003 RCA Poste Guidare Sicuri Genertel:</v>
      </c>
      <c r="AE29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D003 RCA Poste Guidare Sicuri Genertel: (#PDF0035)
D003 RCA Poste Guidare Sicuri Genertel
Requisito: WCAG 1.3.1
Disabilità afflitte: Blind;Deafblind
Impatto Utente: 1 - Critical
Descrizione: Documento non contrassegnato come taggato - Documento non contrassegnato come taggato (https://www.w3.org/WAI/WCAG21/Techniques/pdf/PDF1)
Esempio di violazione individuata sull'oggetto: 
https://www.media.poste.it/2a1202c7-487a-4c8b-b3c6-c540d41af3ca/file/posteguidaresicuri-gn -  con selettore: 
Dettaglio + screenshot (accedere con le seguenti credenziali: user, axeposte@gmail.com; password, Poste2024!): 
Possibile metodologia risolutiva:
Contrassegnare tutto il documento come taggato per consentire l'accesso agli screen reader. In Adobe Acrobat, selezionare Aggiungi tag al documento.
File di log (occorrenze rilevate: 5):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297">
        <f>_xlfn.XLOOKUP(Tabella4[[#This Row],[ID Silk]],outTable[ID Silk],outTable[Numero ticket  ],,0,1)</f>
        <v>5976</v>
      </c>
    </row>
    <row r="298" spans="1:32">
      <c r="A298" s="34" t="str">
        <f>MID(Tabella4[[#This Row],[Servizio]],1,4)&amp;Tabella4[[#This Row],[UNI CEI EN 301549]]</f>
        <v>D00310.1.4.3</v>
      </c>
      <c r="B298" s="34" t="str">
        <f>Tabella4[[#This Row],[ID Silk]]&amp;"_1"</f>
        <v>D00310.1.4.3_1</v>
      </c>
      <c r="C298" s="34" t="s">
        <v>1262</v>
      </c>
      <c r="D298" s="2" t="str">
        <f>"(#"&amp;Tabella4[[#This Row],['#ID]]&amp;")"</f>
        <v>(#PDF0036)</v>
      </c>
      <c r="E298" s="34" t="str">
        <f>IF(MID(Tabella4[[#This Row],['#ID]],1,1)="M","Mobile",IF(MID(Tabella4[[#This Row],['#ID]],1,1)="D","Desktop",IF(MID(Tabella4[[#This Row],['#ID]],1,2)="TM","Manuale","Documenti")))</f>
        <v>Documenti</v>
      </c>
      <c r="F298" s="34" t="s">
        <v>1006</v>
      </c>
      <c r="G298" s="34" t="s">
        <v>228</v>
      </c>
      <c r="H298" s="34" t="str">
        <f>IF(Tabella4[[#This Row],[Componente]]="Documenti","10.","9.")&amp;Tabella4[[#This Row],[Criterio]]</f>
        <v>10.1.4.3</v>
      </c>
      <c r="I298" s="34" t="s">
        <v>1023</v>
      </c>
      <c r="J298" t="s">
        <v>1169</v>
      </c>
      <c r="K298" s="19" t="s">
        <v>1086</v>
      </c>
      <c r="L298" s="34" t="s">
        <v>1187</v>
      </c>
      <c r="M298" s="34" t="s">
        <v>1188</v>
      </c>
      <c r="N298" s="34"/>
      <c r="O298" s="34"/>
      <c r="P298" t="s">
        <v>467</v>
      </c>
      <c r="R298" s="34" t="str">
        <f>IF(Tabella4[[#This Row],[Componente]]="Documenti",_xlfn.XLOOKUP(Tabella4[[#This Row],[URL]],Tabella27[URL],Tabella27[PDF ID],,0),_xlfn.XLOOKUP(Tabella4[[#This Row],[URL]],Tabella1[URL],Tabella1[Page ID],,0))</f>
        <v>#P03</v>
      </c>
      <c r="S298" t="s">
        <v>93</v>
      </c>
      <c r="T298" s="34"/>
      <c r="V298" s="34">
        <v>0</v>
      </c>
      <c r="W298" s="34" t="s">
        <v>1189</v>
      </c>
      <c r="X298" s="34">
        <f>IFERROR(IF(Tabella4[[#This Row],[Tool]]="lighthouse",Tabella4[[#This Row],[Detail]],MID(Tabella4[[#This Row],[Detail]],1,FIND("&gt;",Tabella4[[#This Row],[Detail]]))),Tabella4[[#This Row],[Detail]])</f>
        <v>0</v>
      </c>
      <c r="Y298" s="34" t="str">
        <f>SUBSTITUTE(IF(Tabella4[[#This Row],[Tool]]="axe-core",MID(Tabella4[[#This Row],[Rejected Element]],3,LEN(Tabella4[[#This Row],[Rejected Element]])-4),Tabella4[[#This Row],[Rejected Element]]),"\","")</f>
        <v/>
      </c>
      <c r="Z298" s="34">
        <f>COUNTIFS(Tabella4[Detail univoco],Tabella4[[#This Row],[Detail univoco]],Tabella4[Rejected Element Univoco],Tabella4[[#This Row],[Rejected Element Univoco]],Tabella4[ItemsNodeLabel],Tabella4[[#This Row],[ItemsNodeLabel]])</f>
        <v>0</v>
      </c>
      <c r="AA298" s="34" t="str">
        <f>IF(Tabella4[[#This Row],[Componente]]="Documenti",VLOOKUP(Tabella4[[#This Row],[URL]],Tabella27[[URL]:[Servizio]],4,FALSE),VLOOKUP(Tabella4[[#This Row],[Page ID]],Tabella1[[Page ID]:[Servizio]],4,FALSE))</f>
        <v>D003 RCA Poste Guidare Sicuri Genertel</v>
      </c>
      <c r="AB298" s="34"/>
      <c r="AC298" s="34" t="str">
        <f>Tabella4[[#This Row],[User Impact]]</f>
        <v>2 - Serious</v>
      </c>
      <c r="AD298" s="34" t="str">
        <f>Copertina!C$2&amp;" - "&amp;Tabella4[[#This Row],[UNI CEI EN 301549]]&amp;" "&amp;VLOOKUP(Tabella4[[#This Row],[Criterio]],Tabella5[[ID]:[Criterio di successo]],2,FALSE)&amp;" - "&amp;Tabella4[[#This Row],[Servizio]]&amp;":"</f>
        <v>Insurance Brocker - 10.1.4.3 Contrasto (minimo) - D003 RCA Poste Guidare Sicuri Genertel:</v>
      </c>
      <c r="AE29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- 10.1.4.3 Contrasto (minimo) - D003 RCA Poste Guidare Sicuri Genertel: (#PDF0036)
D003 RCA Poste Guidare Sicuri Genertel
Requisito: WCAG 1.4.3
Disabilità afflitte: Blind;Cognitive;Deafblind
Impatto Utente: 2 - Serious
Descrizione: Testo con contrasto insufficiente - Testo con contrasto insufficiente (https://www.w3.org/WAI/WCAG21/Techniques/general/G18)
Esempio di violazione individuata sull'oggetto: 
https://www.media.poste.it/2a1202c7-487a-4c8b-b3c6-c540d41af3ca/file/posteguidaresicuri-gn -  con selettore: 
Dettaglio + screenshot (accedere con le seguenti credenziali: user, axeposte@gmail.com; password, Poste2024!): 
Possibile metodologia risolutiva:
Regolare il contrasto tra testo e sfondo, assicurandosi che rispetti il rapporto minimo di contrasto di 4.5:1. Modificare il colore del testo o dello sfondo nel software di editing.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https://posteitaliane.sharepoint.com/:w:/r/teams/ACCESSIBILITRISULTATIVERIFICHETECNICHE/Shared%20Documents/Generale/SCHEDE_REQUISITI/10.1.4.3%20Contrasto%20(minimo).docx?d=wb5da035a086249bca8fc7050a31c158c&amp;csf=1&amp;web=1&amp;e=SVKGXy</v>
      </c>
      <c r="AF298">
        <f>_xlfn.XLOOKUP(Tabella4[[#This Row],[ID Silk]],outTable[ID Silk],outTable[Numero ticket  ],,0,1)</f>
        <v>5978</v>
      </c>
    </row>
    <row r="299" spans="1:32">
      <c r="A299" s="34" t="str">
        <f>MID(Tabella4[[#This Row],[Servizio]],1,4)&amp;Tabella4[[#This Row],[UNI CEI EN 301549]]</f>
        <v>D00310.2.4.2</v>
      </c>
      <c r="B299" s="34" t="str">
        <f>Tabella4[[#This Row],[ID Silk]]&amp;"_1"</f>
        <v>D00310.2.4.2_1</v>
      </c>
      <c r="C299" s="34" t="s">
        <v>1263</v>
      </c>
      <c r="D299" s="2" t="str">
        <f>"(#"&amp;Tabella4[[#This Row],['#ID]]&amp;")"</f>
        <v>(#PDF0037)</v>
      </c>
      <c r="E299" s="34" t="str">
        <f>IF(MID(Tabella4[[#This Row],['#ID]],1,1)="M","Mobile",IF(MID(Tabella4[[#This Row],['#ID]],1,1)="D","Desktop",IF(MID(Tabella4[[#This Row],['#ID]],1,2)="TM","Manuale","Documenti")))</f>
        <v>Documenti</v>
      </c>
      <c r="F299" s="34" t="s">
        <v>1005</v>
      </c>
      <c r="G299" s="34" t="s">
        <v>302</v>
      </c>
      <c r="H299" s="34" t="str">
        <f>IF(Tabella4[[#This Row],[Componente]]="Documenti","10.","9.")&amp;Tabella4[[#This Row],[Criterio]]</f>
        <v>10.2.4.2</v>
      </c>
      <c r="I299" s="34" t="s">
        <v>1036</v>
      </c>
      <c r="J299" t="s">
        <v>1191</v>
      </c>
      <c r="K299" s="19" t="s">
        <v>1087</v>
      </c>
      <c r="L299" s="34" t="s">
        <v>1192</v>
      </c>
      <c r="M299" s="34" t="s">
        <v>1193</v>
      </c>
      <c r="N299" s="34"/>
      <c r="O299" s="34"/>
      <c r="P299" t="s">
        <v>467</v>
      </c>
      <c r="R299" s="34" t="str">
        <f>IF(Tabella4[[#This Row],[Componente]]="Documenti",_xlfn.XLOOKUP(Tabella4[[#This Row],[URL]],Tabella27[URL],Tabella27[PDF ID],,0),_xlfn.XLOOKUP(Tabella4[[#This Row],[URL]],Tabella1[URL],Tabella1[Page ID],,0))</f>
        <v>#P03</v>
      </c>
      <c r="S299" t="s">
        <v>93</v>
      </c>
      <c r="T299" s="34"/>
      <c r="V299" s="34">
        <v>0</v>
      </c>
      <c r="W299" s="34" t="s">
        <v>1194</v>
      </c>
      <c r="X299" s="34">
        <f>IFERROR(IF(Tabella4[[#This Row],[Tool]]="lighthouse",Tabella4[[#This Row],[Detail]],MID(Tabella4[[#This Row],[Detail]],1,FIND("&gt;",Tabella4[[#This Row],[Detail]]))),Tabella4[[#This Row],[Detail]])</f>
        <v>0</v>
      </c>
      <c r="Y299" s="34" t="str">
        <f>SUBSTITUTE(IF(Tabella4[[#This Row],[Tool]]="axe-core",MID(Tabella4[[#This Row],[Rejected Element]],3,LEN(Tabella4[[#This Row],[Rejected Element]])-4),Tabella4[[#This Row],[Rejected Element]]),"\","")</f>
        <v/>
      </c>
      <c r="Z299" s="34">
        <f>COUNTIFS(Tabella4[Detail univoco],Tabella4[[#This Row],[Detail univoco]],Tabella4[Rejected Element Univoco],Tabella4[[#This Row],[Rejected Element Univoco]],Tabella4[ItemsNodeLabel],Tabella4[[#This Row],[ItemsNodeLabel]])</f>
        <v>0</v>
      </c>
      <c r="AA299" s="34" t="str">
        <f>IF(Tabella4[[#This Row],[Componente]]="Documenti",VLOOKUP(Tabella4[[#This Row],[URL]],Tabella27[[URL]:[Servizio]],4,FALSE),VLOOKUP(Tabella4[[#This Row],[Page ID]],Tabella1[[Page ID]:[Servizio]],4,FALSE))</f>
        <v>D003 RCA Poste Guidare Sicuri Genertel</v>
      </c>
      <c r="AB299" s="34"/>
      <c r="AC299" s="34" t="str">
        <f>Tabella4[[#This Row],[User Impact]]</f>
        <v>3 - Moderate</v>
      </c>
      <c r="AD299" s="34" t="str">
        <f>Copertina!C$2&amp;" - "&amp;Tabella4[[#This Row],[UNI CEI EN 301549]]&amp;" "&amp;VLOOKUP(Tabella4[[#This Row],[Criterio]],Tabella5[[ID]:[Criterio di successo]],2,FALSE)&amp;" - "&amp;Tabella4[[#This Row],[Servizio]]&amp;":"</f>
        <v>Insurance Brocker - 10.2.4.2 Titolazione della pagina - D003 RCA Poste Guidare Sicuri Genertel:</v>
      </c>
      <c r="AE29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D003 RCA Poste Guidare Sicuri Genertel: (#PDF0037)
D003 RCA Poste Guidare Sicuri Genertel
Requisito: WCAG 2.4.2
Disabilità afflitte: Cognitive;Mobility;Sighted Keyboard Users
Impatto Utente: 3 - Moderate
Descrizione: Titolo mancante nei metadati XMP del documento - Titolo mancante nei metadati XMP del documento (https://www.w3.org/WAI/WCAG21/Techniques/general/G88)
Esempio di violazione individuata sull'oggetto: 
https://www.media.poste.it/2a1202c7-487a-4c8b-b3c6-c540d41af3ca/file/posteguidaresicuri-gn -  con selettore: 
Dettaglio + screenshot (accedere con le seguenti credenziali: user, axeposte@gmail.com; password, Poste2024!): 
Possibile metodologia risolutiva:
Aggiungere un titolo descrittivo nei metadati del documento (XMP), che aiuti gli utenti a identificare facilmente il contenuto. In Adobe Acrobat, andare su File &gt; Proprietà &gt; Descrizione e inserire un titolo.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299">
        <f>_xlfn.XLOOKUP(Tabella4[[#This Row],[ID Silk]],outTable[ID Silk],outTable[Numero ticket  ],,0,1)</f>
        <v>5980</v>
      </c>
    </row>
    <row r="300" spans="1:32">
      <c r="A300" s="34" t="str">
        <f>MID(Tabella4[[#This Row],[Servizio]],1,4)&amp;Tabella4[[#This Row],[UNI CEI EN 301549]]</f>
        <v>D00310.2.4.2</v>
      </c>
      <c r="B300" s="34" t="str">
        <f>Tabella4[[#This Row],[ID Silk]]&amp;"_1"</f>
        <v>D00310.2.4.2_1</v>
      </c>
      <c r="C300" s="34" t="s">
        <v>1264</v>
      </c>
      <c r="D300" s="2" t="str">
        <f>"(#"&amp;Tabella4[[#This Row],['#ID]]&amp;")"</f>
        <v>(#PDF0038)</v>
      </c>
      <c r="E300" s="34" t="str">
        <f>IF(MID(Tabella4[[#This Row],['#ID]],1,1)="M","Mobile",IF(MID(Tabella4[[#This Row],['#ID]],1,1)="D","Desktop",IF(MID(Tabella4[[#This Row],['#ID]],1,2)="TM","Manuale","Documenti")))</f>
        <v>Documenti</v>
      </c>
      <c r="F300" s="34" t="s">
        <v>1005</v>
      </c>
      <c r="G300" s="34" t="s">
        <v>302</v>
      </c>
      <c r="H300" s="34" t="str">
        <f>IF(Tabella4[[#This Row],[Componente]]="Documenti","10.","9.")&amp;Tabella4[[#This Row],[Criterio]]</f>
        <v>10.2.4.2</v>
      </c>
      <c r="I300" s="34" t="s">
        <v>1195</v>
      </c>
      <c r="J300" t="s">
        <v>1196</v>
      </c>
      <c r="K300" s="19" t="s">
        <v>1088</v>
      </c>
      <c r="L300" s="34" t="s">
        <v>1197</v>
      </c>
      <c r="M300" s="34" t="s">
        <v>1198</v>
      </c>
      <c r="N300" s="34"/>
      <c r="O300" s="34"/>
      <c r="P300" t="s">
        <v>467</v>
      </c>
      <c r="R300" s="34" t="str">
        <f>IF(Tabella4[[#This Row],[Componente]]="Documenti",_xlfn.XLOOKUP(Tabella4[[#This Row],[URL]],Tabella27[URL],Tabella27[PDF ID],,0),_xlfn.XLOOKUP(Tabella4[[#This Row],[URL]],Tabella1[URL],Tabella1[Page ID],,0))</f>
        <v>#P03</v>
      </c>
      <c r="S300" t="s">
        <v>93</v>
      </c>
      <c r="T300" s="34"/>
      <c r="V300" s="34">
        <v>0</v>
      </c>
      <c r="W300" s="34" t="s">
        <v>1199</v>
      </c>
      <c r="X300" s="34">
        <f>IFERROR(IF(Tabella4[[#This Row],[Tool]]="lighthouse",Tabella4[[#This Row],[Detail]],MID(Tabella4[[#This Row],[Detail]],1,FIND("&gt;",Tabella4[[#This Row],[Detail]]))),Tabella4[[#This Row],[Detail]])</f>
        <v>0</v>
      </c>
      <c r="Y300" s="34" t="str">
        <f>SUBSTITUTE(IF(Tabella4[[#This Row],[Tool]]="axe-core",MID(Tabella4[[#This Row],[Rejected Element]],3,LEN(Tabella4[[#This Row],[Rejected Element]])-4),Tabella4[[#This Row],[Rejected Element]]),"\","")</f>
        <v/>
      </c>
      <c r="Z300" s="34">
        <f>COUNTIFS(Tabella4[Detail univoco],Tabella4[[#This Row],[Detail univoco]],Tabella4[Rejected Element Univoco],Tabella4[[#This Row],[Rejected Element Univoco]],Tabella4[ItemsNodeLabel],Tabella4[[#This Row],[ItemsNodeLabel]])</f>
        <v>0</v>
      </c>
      <c r="AA300" s="34" t="str">
        <f>IF(Tabella4[[#This Row],[Componente]]="Documenti",VLOOKUP(Tabella4[[#This Row],[URL]],Tabella27[[URL]:[Servizio]],4,FALSE),VLOOKUP(Tabella4[[#This Row],[Page ID]],Tabella1[[Page ID]:[Servizio]],4,FALSE))</f>
        <v>D003 RCA Poste Guidare Sicuri Genertel</v>
      </c>
      <c r="AB300" s="34"/>
      <c r="AC300" s="34" t="str">
        <f>Tabella4[[#This Row],[User Impact]]</f>
        <v>4 - Minor</v>
      </c>
      <c r="AD300" s="34" t="str">
        <f>Copertina!C$2&amp;" - "&amp;Tabella4[[#This Row],[UNI CEI EN 301549]]&amp;" "&amp;VLOOKUP(Tabella4[[#This Row],[Criterio]],Tabella5[[ID]:[Criterio di successo]],2,FALSE)&amp;" - "&amp;Tabella4[[#This Row],[Servizio]]&amp;":"</f>
        <v>Insurance Brocker - 10.2.4.2 Titolazione della pagina - D003 RCA Poste Guidare Sicuri Genertel:</v>
      </c>
      <c r="AE30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D003 RCA Poste Guidare Sicuri Genertel: (#PDF0038)
D003 RCA Poste Guidare Sicuri Genertel
Requisito: WCAG 2.4.2
Disabilità afflitte: Cognitive
Impatto Utente: 4 - Minor
Descrizione: "DisplayDocTitle" non impostato - "DisplayDocTitle" non impostato (https://www.w3.org/WAI/WCAG21/Techniques/general/G88)
Esempio di violazione individuata sull'oggetto: 
https://www.media.poste.it/2a1202c7-487a-4c8b-b3c6-c540d41af3ca/file/posteguidaresicuri-gn -  con selettore: 
Dettaglio + screenshot (accedere con le seguenti credenziali: user, axeposte@gmail.com; password, Poste2024!): 
Possibile metodologia risolutiva:
Impostare l’opzione "DisplayDocTitle" per mostrare il titolo del documento anziché il nome file. In Acrobat, andare su File &gt; Proprietà &gt; Visualizzazione iniziale e selezionare “Mostra titolo documento”.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300">
        <f>_xlfn.XLOOKUP(Tabella4[[#This Row],[ID Silk]],outTable[ID Silk],outTable[Numero ticket  ],,0,1)</f>
        <v>5980</v>
      </c>
    </row>
    <row r="301" spans="1:32">
      <c r="A301" s="34" t="str">
        <f>MID(Tabella4[[#This Row],[Servizio]],1,4)&amp;Tabella4[[#This Row],[UNI CEI EN 301549]]</f>
        <v>D00410.1.3.1</v>
      </c>
      <c r="B301" s="34" t="str">
        <f>Tabella4[[#This Row],[ID Silk]]&amp;"_1"</f>
        <v>D00410.1.3.1_1</v>
      </c>
      <c r="C301" s="34" t="s">
        <v>1265</v>
      </c>
      <c r="D301" s="2" t="str">
        <f>"(#"&amp;Tabella4[[#This Row],['#ID]]&amp;")"</f>
        <v>(#PDF0039)</v>
      </c>
      <c r="E301" s="34" t="str">
        <f>IF(MID(Tabella4[[#This Row],['#ID]],1,1)="M","Mobile",IF(MID(Tabella4[[#This Row],['#ID]],1,1)="D","Desktop",IF(MID(Tabella4[[#This Row],['#ID]],1,2)="TM","Manuale","Documenti")))</f>
        <v>Documenti</v>
      </c>
      <c r="F301" s="34" t="s">
        <v>1005</v>
      </c>
      <c r="G301" s="34" t="s">
        <v>184</v>
      </c>
      <c r="H301" s="34" t="str">
        <f>IF(Tabella4[[#This Row],[Componente]]="Documenti","10.","9.")&amp;Tabella4[[#This Row],[Criterio]]</f>
        <v>10.1.3.1</v>
      </c>
      <c r="I301" s="34" t="s">
        <v>1023</v>
      </c>
      <c r="J301" t="s">
        <v>1008</v>
      </c>
      <c r="K301" s="19" t="s">
        <v>90</v>
      </c>
      <c r="L301" s="34" t="s">
        <v>1157</v>
      </c>
      <c r="M301" s="34" t="s">
        <v>1158</v>
      </c>
      <c r="N301" s="34"/>
      <c r="O301" s="34"/>
      <c r="P301" t="s">
        <v>468</v>
      </c>
      <c r="R301" s="34" t="str">
        <f>IF(Tabella4[[#This Row],[Componente]]="Documenti",_xlfn.XLOOKUP(Tabella4[[#This Row],[URL]],Tabella27[URL],Tabella27[PDF ID],,0),_xlfn.XLOOKUP(Tabella4[[#This Row],[URL]],Tabella1[URL],Tabella1[Page ID],,0))</f>
        <v>#P04</v>
      </c>
      <c r="S301" t="s">
        <v>1154</v>
      </c>
      <c r="T301" s="34"/>
      <c r="V301" s="34">
        <v>0</v>
      </c>
      <c r="W301" s="34" t="s">
        <v>1159</v>
      </c>
      <c r="X301" s="34">
        <f>IFERROR(IF(Tabella4[[#This Row],[Tool]]="lighthouse",Tabella4[[#This Row],[Detail]],MID(Tabella4[[#This Row],[Detail]],1,FIND("&gt;",Tabella4[[#This Row],[Detail]]))),Tabella4[[#This Row],[Detail]])</f>
        <v>0</v>
      </c>
      <c r="Y301" s="34" t="str">
        <f>SUBSTITUTE(IF(Tabella4[[#This Row],[Tool]]="axe-core",MID(Tabella4[[#This Row],[Rejected Element]],3,LEN(Tabella4[[#This Row],[Rejected Element]])-4),Tabella4[[#This Row],[Rejected Element]]),"\","")</f>
        <v/>
      </c>
      <c r="Z301" s="34">
        <f>COUNTIFS(Tabella4[Detail univoco],Tabella4[[#This Row],[Detail univoco]],Tabella4[Rejected Element Univoco],Tabella4[[#This Row],[Rejected Element Univoco]],Tabella4[ItemsNodeLabel],Tabella4[[#This Row],[ItemsNodeLabel]])</f>
        <v>0</v>
      </c>
      <c r="AA301" s="34" t="str">
        <f>IF(Tabella4[[#This Row],[Componente]]="Documenti",VLOOKUP(Tabella4[[#This Row],[URL]],Tabella27[[URL]:[Servizio]],4,FALSE),VLOOKUP(Tabella4[[#This Row],[Page ID]],Tabella1[[Page ID]:[Servizio]],4,FALSE))</f>
        <v>D004 RCA Poste Guidare Sicuri Linear</v>
      </c>
      <c r="AB301" s="34"/>
      <c r="AC301" s="34" t="str">
        <f>Tabella4[[#This Row],[User Impact]]</f>
        <v>2 - Serious</v>
      </c>
      <c r="AD301" s="34" t="str">
        <f>Copertina!C$2&amp;" - "&amp;Tabella4[[#This Row],[UNI CEI EN 301549]]&amp;" "&amp;VLOOKUP(Tabella4[[#This Row],[Criterio]],Tabella5[[ID]:[Criterio di successo]],2,FALSE)&amp;" - "&amp;Tabella4[[#This Row],[Servizio]]&amp;":"</f>
        <v>Insurance Brocker - 10.1.3.1 Informazioni e correlazioni - D004 RCA Poste Guidare Sicuri Linear:</v>
      </c>
      <c r="AE30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D004 RCA Poste Guidare Sicuri Linear: (#PDF0039)
D004 RCA Poste Guidare Sicuri Linear
Requisito: WCAG 1.3.1
Disabilità afflitte: Blind;Deafblind
Impatto Utente: 2 - Serious
Descrizione: Fornire intestazioni contrassegnando il contenuto con tag di intestazione nei documenti PDF  - Fornire intestazioni contrassegnando il contenuto con tag di intestazione nei documenti PDF (https://www.w3.org/WAI/WCAG22/Techniques/pdf/PDF9)
Esempio di violazione individuata sull'oggetto: 
https://www.media.poste.it/66b83bec-c447-4992-ad0e-308ce8a6a2fa/file/PosteGuidareSicuri_LN_DIP -  con selettore: 
Dettaglio + screenshot (accedere con le seguenti credenziali: user, axeposte@gmail.com; password, Poste2024!): 
Possibile metodologia risolutiva:
I documenti pdf devono avere gli heading correttamente marcati:
- Aggiungendo o modificando i tag heading su prodotti di modifica PDF
- Creando documenti in programmi Word usando lo styling corretto per la conversione in PDF
- Marcando gli heading usando elementi /Hn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301">
        <f>_xlfn.XLOOKUP(Tabella4[[#This Row],[ID Silk]],outTable[ID Silk],outTable[Numero ticket  ],,0,1)</f>
        <v>5987</v>
      </c>
    </row>
    <row r="302" spans="1:32">
      <c r="A302" s="34" t="str">
        <f>MID(Tabella4[[#This Row],[Servizio]],1,4)&amp;Tabella4[[#This Row],[UNI CEI EN 301549]]</f>
        <v>D00410.2.4.2</v>
      </c>
      <c r="B302" s="34" t="str">
        <f>Tabella4[[#This Row],[ID Silk]]&amp;"_1"</f>
        <v>D00410.2.4.2_1</v>
      </c>
      <c r="C302" s="34" t="s">
        <v>1266</v>
      </c>
      <c r="D302" s="2" t="str">
        <f>"(#"&amp;Tabella4[[#This Row],['#ID]]&amp;")"</f>
        <v>(#PDF0040)</v>
      </c>
      <c r="E302" s="34" t="str">
        <f>IF(MID(Tabella4[[#This Row],['#ID]],1,1)="M","Mobile",IF(MID(Tabella4[[#This Row],['#ID]],1,1)="D","Desktop",IF(MID(Tabella4[[#This Row],['#ID]],1,2)="TM","Manuale","Documenti")))</f>
        <v>Documenti</v>
      </c>
      <c r="F302" s="34" t="s">
        <v>1005</v>
      </c>
      <c r="G302" s="34" t="s">
        <v>302</v>
      </c>
      <c r="H302" s="34" t="str">
        <f>IF(Tabella4[[#This Row],[Componente]]="Documenti","10.","9.")&amp;Tabella4[[#This Row],[Criterio]]</f>
        <v>10.2.4.2</v>
      </c>
      <c r="I302" s="34" t="s">
        <v>1023</v>
      </c>
      <c r="J302" t="s">
        <v>1008</v>
      </c>
      <c r="K302" s="19" t="s">
        <v>1081</v>
      </c>
      <c r="L302" s="34" t="s">
        <v>1165</v>
      </c>
      <c r="M302" s="34" t="s">
        <v>1166</v>
      </c>
      <c r="N302" s="34"/>
      <c r="O302" s="34"/>
      <c r="P302" t="s">
        <v>468</v>
      </c>
      <c r="R302" s="34" t="str">
        <f>IF(Tabella4[[#This Row],[Componente]]="Documenti",_xlfn.XLOOKUP(Tabella4[[#This Row],[URL]],Tabella27[URL],Tabella27[PDF ID],,0),_xlfn.XLOOKUP(Tabella4[[#This Row],[URL]],Tabella1[URL],Tabella1[Page ID],,0))</f>
        <v>#P04</v>
      </c>
      <c r="S302" t="s">
        <v>1154</v>
      </c>
      <c r="T302" s="34"/>
      <c r="V302" s="34" t="s">
        <v>1167</v>
      </c>
      <c r="W302" s="34" t="s">
        <v>1167</v>
      </c>
      <c r="X302" s="34">
        <f>IFERROR(IF(Tabella4[[#This Row],[Tool]]="lighthouse",Tabella4[[#This Row],[Detail]],MID(Tabella4[[#This Row],[Detail]],1,FIND("&gt;",Tabella4[[#This Row],[Detail]]))),Tabella4[[#This Row],[Detail]])</f>
        <v>0</v>
      </c>
      <c r="Y302" s="34" t="str">
        <f>SUBSTITUTE(IF(Tabella4[[#This Row],[Tool]]="axe-core",MID(Tabella4[[#This Row],[Rejected Element]],3,LEN(Tabella4[[#This Row],[Rejected Element]])-4),Tabella4[[#This Row],[Rejected Element]]),"\","")</f>
        <v/>
      </c>
      <c r="Z302" s="34">
        <f>COUNTIFS(Tabella4[Detail univoco],Tabella4[[#This Row],[Detail univoco]],Tabella4[Rejected Element Univoco],Tabella4[[#This Row],[Rejected Element Univoco]],Tabella4[ItemsNodeLabel],Tabella4[[#This Row],[ItemsNodeLabel]])</f>
        <v>0</v>
      </c>
      <c r="AA302" s="34" t="str">
        <f>IF(Tabella4[[#This Row],[Componente]]="Documenti",VLOOKUP(Tabella4[[#This Row],[URL]],Tabella27[[URL]:[Servizio]],4,FALSE),VLOOKUP(Tabella4[[#This Row],[Page ID]],Tabella1[[Page ID]:[Servizio]],4,FALSE))</f>
        <v>D004 RCA Poste Guidare Sicuri Linear</v>
      </c>
      <c r="AB302" s="34"/>
      <c r="AC302" s="34" t="str">
        <f>Tabella4[[#This Row],[User Impact]]</f>
        <v>2 - Serious</v>
      </c>
      <c r="AD302" s="34" t="str">
        <f>Copertina!C$2&amp;" - "&amp;Tabella4[[#This Row],[UNI CEI EN 301549]]&amp;" "&amp;VLOOKUP(Tabella4[[#This Row],[Criterio]],Tabella5[[ID]:[Criterio di successo]],2,FALSE)&amp;" - "&amp;Tabella4[[#This Row],[Servizio]]&amp;":"</f>
        <v>Insurance Brocker - 10.2.4.2 Titolazione della pagina - D004 RCA Poste Guidare Sicuri Linear:</v>
      </c>
      <c r="AE30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D004 RCA Poste Guidare Sicuri Linear: (#PDF0040)
D004 RCA Poste Guidare Sicuri Linear
Requisito: WCAG 2.4.2
Disabilità afflitte: Blind;Deafblind
Impatto Utente: 2 - Serious
Descrizione: Specificare il titolo del documento utilizzando la voce Titolo nel dizionario delle informazioni di un documento PDF  - Specificare il titolo del documento utilizzando la voce Titolo nel dizionario delle informazioni di un documento PDF (https://www.w3.org/WAI/WCAG22/Techniques/pdf/PDF18)
Esempio di violazione individuata sull'oggetto: 
https://www.media.poste.it/66b83bec-c447-4992-ad0e-308ce8a6a2fa/file/PosteGuidareSicuri_LN_DIP -  con selettore: 
Dettaglio + screenshot (accedere con le seguenti credenziali: user, axeposte@gmail.com; password, Poste2024!): 
Possibile metodologia risolutiva:
Imposta il nuovo titolo PDF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302">
        <f>_xlfn.XLOOKUP(Tabella4[[#This Row],[ID Silk]],outTable[ID Silk],outTable[Numero ticket  ],,0,1)</f>
        <v>5989</v>
      </c>
    </row>
    <row r="303" spans="1:32">
      <c r="A303" s="34" t="str">
        <f>MID(Tabella4[[#This Row],[Servizio]],1,4)&amp;Tabella4[[#This Row],[UNI CEI EN 301549]]</f>
        <v>D00410.3.1.1</v>
      </c>
      <c r="B303" s="34" t="str">
        <f>Tabella4[[#This Row],[ID Silk]]&amp;"_1"</f>
        <v>D00410.3.1.1_1</v>
      </c>
      <c r="C303" s="34" t="s">
        <v>1267</v>
      </c>
      <c r="D303" s="2" t="str">
        <f>"(#"&amp;Tabella4[[#This Row],['#ID]]&amp;")"</f>
        <v>(#PDF0041)</v>
      </c>
      <c r="E303" s="34" t="str">
        <f>IF(MID(Tabella4[[#This Row],['#ID]],1,1)="M","Mobile",IF(MID(Tabella4[[#This Row],['#ID]],1,1)="D","Desktop",IF(MID(Tabella4[[#This Row],['#ID]],1,2)="TM","Manuale","Documenti")))</f>
        <v>Documenti</v>
      </c>
      <c r="F303" s="34" t="s">
        <v>1005</v>
      </c>
      <c r="G303" s="34" t="s">
        <v>332</v>
      </c>
      <c r="H303" s="34" t="str">
        <f>IF(Tabella4[[#This Row],[Componente]]="Documenti","10.","9.")&amp;Tabella4[[#This Row],[Criterio]]</f>
        <v>10.3.1.1</v>
      </c>
      <c r="I303" s="34" t="s">
        <v>1023</v>
      </c>
      <c r="J303" t="s">
        <v>1169</v>
      </c>
      <c r="K303" s="19" t="s">
        <v>1082</v>
      </c>
      <c r="L303" s="34" t="s">
        <v>1170</v>
      </c>
      <c r="M303" s="34" t="s">
        <v>1171</v>
      </c>
      <c r="N303" s="34"/>
      <c r="O303" s="34"/>
      <c r="P303" t="s">
        <v>468</v>
      </c>
      <c r="R303" s="34" t="str">
        <f>IF(Tabella4[[#This Row],[Componente]]="Documenti",_xlfn.XLOOKUP(Tabella4[[#This Row],[URL]],Tabella27[URL],Tabella27[PDF ID],,0),_xlfn.XLOOKUP(Tabella4[[#This Row],[URL]],Tabella1[URL],Tabella1[Page ID],,0))</f>
        <v>#P04</v>
      </c>
      <c r="S303" t="s">
        <v>1154</v>
      </c>
      <c r="T303" s="34"/>
      <c r="V303" s="34" t="s">
        <v>1172</v>
      </c>
      <c r="W303" s="34" t="s">
        <v>1172</v>
      </c>
      <c r="X303" s="34">
        <f>IFERROR(IF(Tabella4[[#This Row],[Tool]]="lighthouse",Tabella4[[#This Row],[Detail]],MID(Tabella4[[#This Row],[Detail]],1,FIND("&gt;",Tabella4[[#This Row],[Detail]]))),Tabella4[[#This Row],[Detail]])</f>
        <v>0</v>
      </c>
      <c r="Y303" s="34" t="str">
        <f>SUBSTITUTE(IF(Tabella4[[#This Row],[Tool]]="axe-core",MID(Tabella4[[#This Row],[Rejected Element]],3,LEN(Tabella4[[#This Row],[Rejected Element]])-4),Tabella4[[#This Row],[Rejected Element]]),"\","")</f>
        <v/>
      </c>
      <c r="Z303" s="34">
        <f>COUNTIFS(Tabella4[Detail univoco],Tabella4[[#This Row],[Detail univoco]],Tabella4[Rejected Element Univoco],Tabella4[[#This Row],[Rejected Element Univoco]],Tabella4[ItemsNodeLabel],Tabella4[[#This Row],[ItemsNodeLabel]])</f>
        <v>0</v>
      </c>
      <c r="AA303" s="34" t="str">
        <f>IF(Tabella4[[#This Row],[Componente]]="Documenti",VLOOKUP(Tabella4[[#This Row],[URL]],Tabella27[[URL]:[Servizio]],4,FALSE),VLOOKUP(Tabella4[[#This Row],[Page ID]],Tabella1[[Page ID]:[Servizio]],4,FALSE))</f>
        <v>D004 RCA Poste Guidare Sicuri Linear</v>
      </c>
      <c r="AB303" s="34"/>
      <c r="AC303" s="34" t="str">
        <f>Tabella4[[#This Row],[User Impact]]</f>
        <v>2 - Serious</v>
      </c>
      <c r="AD303" s="34" t="str">
        <f>Copertina!C$2&amp;" - "&amp;Tabella4[[#This Row],[UNI CEI EN 301549]]&amp;" "&amp;VLOOKUP(Tabella4[[#This Row],[Criterio]],Tabella5[[ID]:[Criterio di successo]],2,FALSE)&amp;" - "&amp;Tabella4[[#This Row],[Servizio]]&amp;":"</f>
        <v>Insurance Brocker - 10.3.1.1 Lingua della pagina - D004 RCA Poste Guidare Sicuri Linear:</v>
      </c>
      <c r="AE30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- 10.3.1.1 Lingua della pagina - D004 RCA Poste Guidare Sicuri Linear: (#PDF0041)
D004 RCA Poste Guidare Sicuri Linear
Requisito: WCAG 3.1.1
Disabilità afflitte: Blind;Cognitive;Deafblind
Impatto Utente: 2 - Serious
Descrizione: Impostazione della lingua predefinita utilizzando la voce /Lang nel catalogo documenti di un documento PDF - Impostazione della lingua predefinita utilizzando la voce /Lang nel catalogo documenti di un documento PDF (https://www.w3.org/WAI/WCAG22/Techniques/pdf/PDF16)
Esempio di violazione individuata sull'oggetto: 
https://www.media.poste.it/66b83bec-c447-4992-ad0e-308ce8a6a2fa/file/PosteGuidareSicuri_LN_DIP -  con selettore: 
Dettaglio + screenshot (accedere con le seguenti credenziali: user, axeposte@gmail.com; password, Poste2024!): 
Possibile metodologia risolutiva:
Seleziona la lingua principale del PDF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303">
        <f>_xlfn.XLOOKUP(Tabella4[[#This Row],[ID Silk]],outTable[ID Silk],outTable[Numero ticket  ],,0,1)</f>
        <v>5990</v>
      </c>
    </row>
    <row r="304" spans="1:32">
      <c r="A304" s="34" t="str">
        <f>MID(Tabella4[[#This Row],[Servizio]],1,4)&amp;Tabella4[[#This Row],[UNI CEI EN 301549]]</f>
        <v>D00410.1.1.1</v>
      </c>
      <c r="B304" s="34" t="str">
        <f>Tabella4[[#This Row],[ID Silk]]&amp;"_1"</f>
        <v>D00410.1.1.1_1</v>
      </c>
      <c r="C304" s="34" t="s">
        <v>1268</v>
      </c>
      <c r="D304" s="2" t="str">
        <f>"(#"&amp;Tabella4[[#This Row],['#ID]]&amp;")"</f>
        <v>(#PDF0042)</v>
      </c>
      <c r="E304" s="34" t="str">
        <f>IF(MID(Tabella4[[#This Row],['#ID]],1,1)="M","Mobile",IF(MID(Tabella4[[#This Row],['#ID]],1,1)="D","Desktop",IF(MID(Tabella4[[#This Row],['#ID]],1,2)="TM","Manuale","Documenti")))</f>
        <v>Documenti</v>
      </c>
      <c r="F304" s="34" t="s">
        <v>1005</v>
      </c>
      <c r="G304" s="34" t="s">
        <v>124</v>
      </c>
      <c r="H304" s="34" t="str">
        <f>IF(Tabella4[[#This Row],[Componente]]="Documenti","10.","9.")&amp;Tabella4[[#This Row],[Criterio]]</f>
        <v>10.1.1.1</v>
      </c>
      <c r="I304" s="34" t="s">
        <v>1023</v>
      </c>
      <c r="J304" t="s">
        <v>1008</v>
      </c>
      <c r="K304" s="19" t="s">
        <v>1127</v>
      </c>
      <c r="L304" s="34" t="s">
        <v>1213</v>
      </c>
      <c r="M304" s="34" t="s">
        <v>1214</v>
      </c>
      <c r="N304" s="34"/>
      <c r="O304" s="34"/>
      <c r="P304" t="s">
        <v>468</v>
      </c>
      <c r="R304" s="34" t="str">
        <f>IF(Tabella4[[#This Row],[Componente]]="Documenti",_xlfn.XLOOKUP(Tabella4[[#This Row],[URL]],Tabella27[URL],Tabella27[PDF ID],,0),_xlfn.XLOOKUP(Tabella4[[#This Row],[URL]],Tabella1[URL],Tabella1[Page ID],,0))</f>
        <v>#P04</v>
      </c>
      <c r="S304" t="s">
        <v>93</v>
      </c>
      <c r="T304" s="34"/>
      <c r="V304" s="34">
        <v>0</v>
      </c>
      <c r="W304" s="34" t="s">
        <v>1215</v>
      </c>
      <c r="X304" s="34">
        <f>IFERROR(IF(Tabella4[[#This Row],[Tool]]="lighthouse",Tabella4[[#This Row],[Detail]],MID(Tabella4[[#This Row],[Detail]],1,FIND("&gt;",Tabella4[[#This Row],[Detail]]))),Tabella4[[#This Row],[Detail]])</f>
        <v>0</v>
      </c>
      <c r="Y304" s="34" t="str">
        <f>SUBSTITUTE(IF(Tabella4[[#This Row],[Tool]]="axe-core",MID(Tabella4[[#This Row],[Rejected Element]],3,LEN(Tabella4[[#This Row],[Rejected Element]])-4),Tabella4[[#This Row],[Rejected Element]]),"\","")</f>
        <v/>
      </c>
      <c r="Z304" s="34">
        <f>COUNTIFS(Tabella4[Detail univoco],Tabella4[[#This Row],[Detail univoco]],Tabella4[Rejected Element Univoco],Tabella4[[#This Row],[Rejected Element Univoco]],Tabella4[ItemsNodeLabel],Tabella4[[#This Row],[ItemsNodeLabel]])</f>
        <v>0</v>
      </c>
      <c r="AA304" s="34" t="str">
        <f>IF(Tabella4[[#This Row],[Componente]]="Documenti",VLOOKUP(Tabella4[[#This Row],[URL]],Tabella27[[URL]:[Servizio]],4,FALSE),VLOOKUP(Tabella4[[#This Row],[Page ID]],Tabella1[[Page ID]:[Servizio]],4,FALSE))</f>
        <v>D004 RCA Poste Guidare Sicuri Linear</v>
      </c>
      <c r="AB304" s="34"/>
      <c r="AC304" s="34" t="str">
        <f>Tabella4[[#This Row],[User Impact]]</f>
        <v>2 - Serious</v>
      </c>
      <c r="AD304" s="34" t="str">
        <f>Copertina!C$2&amp;" - "&amp;Tabella4[[#This Row],[UNI CEI EN 301549]]&amp;" "&amp;VLOOKUP(Tabella4[[#This Row],[Criterio]],Tabella5[[ID]:[Criterio di successo]],2,FALSE)&amp;" - "&amp;Tabella4[[#This Row],[Servizio]]&amp;":"</f>
        <v>Insurance Brocker - 10.1.1.1 Contenuti non testuali - D004 RCA Poste Guidare Sicuri Linear:</v>
      </c>
      <c r="AE30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- 10.1.1.1 Contenuti non testuali - D004 RCA Poste Guidare Sicuri Linear: (#PDF0042)
D004 RCA Poste Guidare Sicuri Linear
Requisito: WCAG 1.1.1
Disabilità afflitte: Blind;Deafblind
Impatto Utente: 2 - Serious
Descrizione: Testo alternativo mancante per l'elemento struttura "Figura" - Testo alternativo mancante per l'elemento struttura "Figura" (https://www.w3.org/WAI/WCAG21/Techniques/html/H37)
Esempio di violazione individuata sull'oggetto: 
https://www.media.poste.it/66b83bec-c447-4992-ad0e-308ce8a6a2fa/file/PosteGuidareSicuri_LN_DIP -  con selettore: 
Dettaglio + screenshot (accedere con le seguenti credenziali: user, axeposte@gmail.com; password, Poste2024!): 
Possibile metodologia risolutiva:
Fornire testo alternativo descrittivo per ogni elemento "Figure" in modo che sia comprensibile tramite lettori di schermo. È possibile aggiungere il testo alternativo in Adobe Acrobat andando su Strumenti &gt; Accessibilità &gt; Modifica testo alternativo.
File di log (occorrenze rilevate: 1): https://posteitaliane.sharepoint.com/:x:/r/teams/ACCESSIBILITRISULTATIVERIFICHETECNICHE-PORTALEIMMIGRAZIONE/Shared%20Documents/PORTALE%20IMMIGRAZIONE/LOG/Log_2411.xlsx?d=wce770a595441461abc11f2c139111c73&amp;csf=1&amp;web=1&amp;e=tpdJfo
Link al dettaglio requisito WCAG: </v>
      </c>
      <c r="AF304">
        <f>_xlfn.XLOOKUP(Tabella4[[#This Row],[ID Silk]],outTable[ID Silk],outTable[Numero ticket  ],,0,1)</f>
        <v>5984</v>
      </c>
    </row>
    <row r="305" spans="1:32">
      <c r="A305" s="34" t="str">
        <f>MID(Tabella4[[#This Row],[Servizio]],1,4)&amp;Tabella4[[#This Row],[UNI CEI EN 301549]]</f>
        <v>D00410.1.3.1</v>
      </c>
      <c r="B305" s="34" t="str">
        <f>Tabella4[[#This Row],[ID Silk]]&amp;"_1"</f>
        <v>D00410.1.3.1_1</v>
      </c>
      <c r="C305" s="34" t="s">
        <v>1269</v>
      </c>
      <c r="D305" s="2" t="str">
        <f>"(#"&amp;Tabella4[[#This Row],['#ID]]&amp;")"</f>
        <v>(#PDF0043)</v>
      </c>
      <c r="E305" s="34" t="str">
        <f>IF(MID(Tabella4[[#This Row],['#ID]],1,1)="M","Mobile",IF(MID(Tabella4[[#This Row],['#ID]],1,1)="D","Desktop",IF(MID(Tabella4[[#This Row],['#ID]],1,2)="TM","Manuale","Documenti")))</f>
        <v>Documenti</v>
      </c>
      <c r="F305" s="34" t="s">
        <v>1005</v>
      </c>
      <c r="G305" s="34" t="s">
        <v>184</v>
      </c>
      <c r="H305" s="34" t="str">
        <f>IF(Tabella4[[#This Row],[Componente]]="Documenti","10.","9.")&amp;Tabella4[[#This Row],[Criterio]]</f>
        <v>10.1.3.1</v>
      </c>
      <c r="I305" s="34" t="s">
        <v>1023</v>
      </c>
      <c r="J305" t="s">
        <v>1169</v>
      </c>
      <c r="K305" s="19" t="s">
        <v>1128</v>
      </c>
      <c r="L305" s="34" t="s">
        <v>1217</v>
      </c>
      <c r="M305" s="34" t="s">
        <v>1218</v>
      </c>
      <c r="N305" s="34"/>
      <c r="O305" s="34"/>
      <c r="P305" t="s">
        <v>468</v>
      </c>
      <c r="R305" s="34" t="str">
        <f>IF(Tabella4[[#This Row],[Componente]]="Documenti",_xlfn.XLOOKUP(Tabella4[[#This Row],[URL]],Tabella27[URL],Tabella27[PDF ID],,0),_xlfn.XLOOKUP(Tabella4[[#This Row],[URL]],Tabella1[URL],Tabella1[Page ID],,0))</f>
        <v>#P04</v>
      </c>
      <c r="S305" t="s">
        <v>93</v>
      </c>
      <c r="T305" s="34"/>
      <c r="V305" s="34">
        <v>0</v>
      </c>
      <c r="W305" s="34" t="s">
        <v>1219</v>
      </c>
      <c r="X305" s="34">
        <f>IFERROR(IF(Tabella4[[#This Row],[Tool]]="lighthouse",Tabella4[[#This Row],[Detail]],MID(Tabella4[[#This Row],[Detail]],1,FIND("&gt;",Tabella4[[#This Row],[Detail]]))),Tabella4[[#This Row],[Detail]])</f>
        <v>0</v>
      </c>
      <c r="Y305" s="34" t="str">
        <f>SUBSTITUTE(IF(Tabella4[[#This Row],[Tool]]="axe-core",MID(Tabella4[[#This Row],[Rejected Element]],3,LEN(Tabella4[[#This Row],[Rejected Element]])-4),Tabella4[[#This Row],[Rejected Element]]),"\","")</f>
        <v/>
      </c>
      <c r="Z305" s="34">
        <f>COUNTIFS(Tabella4[Detail univoco],Tabella4[[#This Row],[Detail univoco]],Tabella4[Rejected Element Univoco],Tabella4[[#This Row],[Rejected Element Univoco]],Tabella4[ItemsNodeLabel],Tabella4[[#This Row],[ItemsNodeLabel]])</f>
        <v>0</v>
      </c>
      <c r="AA305" s="34" t="str">
        <f>IF(Tabella4[[#This Row],[Componente]]="Documenti",VLOOKUP(Tabella4[[#This Row],[URL]],Tabella27[[URL]:[Servizio]],4,FALSE),VLOOKUP(Tabella4[[#This Row],[Page ID]],Tabella1[[Page ID]:[Servizio]],4,FALSE))</f>
        <v>D004 RCA Poste Guidare Sicuri Linear</v>
      </c>
      <c r="AB305" s="34"/>
      <c r="AC305" s="34" t="str">
        <f>Tabella4[[#This Row],[User Impact]]</f>
        <v>2 - Serious</v>
      </c>
      <c r="AD305" s="34" t="str">
        <f>Copertina!C$2&amp;" - "&amp;Tabella4[[#This Row],[UNI CEI EN 301549]]&amp;" "&amp;VLOOKUP(Tabella4[[#This Row],[Criterio]],Tabella5[[ID]:[Criterio di successo]],2,FALSE)&amp;" - "&amp;Tabella4[[#This Row],[Servizio]]&amp;":"</f>
        <v>Insurance Brocker - 10.1.3.1 Informazioni e correlazioni - D004 RCA Poste Guidare Sicuri Linear:</v>
      </c>
      <c r="AE30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D004 RCA Poste Guidare Sicuri Linear: (#PDF0043)
D004 RCA Poste Guidare Sicuri Linear
Requisito: WCAG 1.3.1
Disabilità afflitte: Blind;Cognitive;Deafblind
Impatto Utente: 2 - Serious
Descrizione: Cella di intestazione della tabella senza celle associate - Cella di intestazione della tabella senza celle associate (https://www.w3.org/WAI/WCAG21/Techniques/html/H63)
Esempio di violazione individuata sull'oggetto: 
https://www.media.poste.it/66b83bec-c447-4992-ad0e-308ce8a6a2fa/file/PosteGuidareSicuri_LN_DIP -  con selettore: 
Dettaglio + screenshot (accedere con le seguenti credenziali: user, axeposte@gmail.com; password, Poste2024!): 
Possibile metodologia risolutiva:
Associare ciascuna cella di intestazione alle celle di dati corrispondenti utilizzando attributi scope o id. In Acrobat, aggiungere tag di intestazione nella struttura della tabella.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305">
        <f>_xlfn.XLOOKUP(Tabella4[[#This Row],[ID Silk]],outTable[ID Silk],outTable[Numero ticket  ],,0,1)</f>
        <v>5987</v>
      </c>
    </row>
    <row r="306" spans="1:32">
      <c r="A306" s="34" t="str">
        <f>MID(Tabella4[[#This Row],[Servizio]],1,4)&amp;Tabella4[[#This Row],[UNI CEI EN 301549]]</f>
        <v>D00410.1.3.1</v>
      </c>
      <c r="B306" s="34" t="str">
        <f>Tabella4[[#This Row],[ID Silk]]&amp;"_1"</f>
        <v>D00410.1.3.1_1</v>
      </c>
      <c r="C306" s="34" t="s">
        <v>1270</v>
      </c>
      <c r="D306" s="2" t="str">
        <f>"(#"&amp;Tabella4[[#This Row],['#ID]]&amp;")"</f>
        <v>(#PDF0044)</v>
      </c>
      <c r="E306" s="34" t="str">
        <f>IF(MID(Tabella4[[#This Row],['#ID]],1,1)="M","Mobile",IF(MID(Tabella4[[#This Row],['#ID]],1,1)="D","Desktop",IF(MID(Tabella4[[#This Row],['#ID]],1,2)="TM","Manuale","Documenti")))</f>
        <v>Documenti</v>
      </c>
      <c r="F306" s="34" t="s">
        <v>1005</v>
      </c>
      <c r="G306" s="34" t="s">
        <v>184</v>
      </c>
      <c r="H306" s="34" t="str">
        <f>IF(Tabella4[[#This Row],[Componente]]="Documenti","10.","9.")&amp;Tabella4[[#This Row],[Criterio]]</f>
        <v>10.1.3.1</v>
      </c>
      <c r="I306" s="34" t="s">
        <v>1036</v>
      </c>
      <c r="J306" t="s">
        <v>1008</v>
      </c>
      <c r="K306" s="19" t="s">
        <v>1102</v>
      </c>
      <c r="L306" s="34" t="s">
        <v>1209</v>
      </c>
      <c r="M306" s="34" t="s">
        <v>1210</v>
      </c>
      <c r="N306" s="34"/>
      <c r="O306" s="34"/>
      <c r="P306" t="s">
        <v>468</v>
      </c>
      <c r="R306" s="34" t="str">
        <f>IF(Tabella4[[#This Row],[Componente]]="Documenti",_xlfn.XLOOKUP(Tabella4[[#This Row],[URL]],Tabella27[URL],Tabella27[PDF ID],,0),_xlfn.XLOOKUP(Tabella4[[#This Row],[URL]],Tabella1[URL],Tabella1[Page ID],,0))</f>
        <v>#P04</v>
      </c>
      <c r="S306" t="s">
        <v>93</v>
      </c>
      <c r="T306" s="34"/>
      <c r="V306" s="34">
        <v>0</v>
      </c>
      <c r="W306" s="34" t="s">
        <v>1211</v>
      </c>
      <c r="X306" s="34">
        <f>IFERROR(IF(Tabella4[[#This Row],[Tool]]="lighthouse",Tabella4[[#This Row],[Detail]],MID(Tabella4[[#This Row],[Detail]],1,FIND("&gt;",Tabella4[[#This Row],[Detail]]))),Tabella4[[#This Row],[Detail]])</f>
        <v>0</v>
      </c>
      <c r="Y306" s="34" t="str">
        <f>SUBSTITUTE(IF(Tabella4[[#This Row],[Tool]]="axe-core",MID(Tabella4[[#This Row],[Rejected Element]],3,LEN(Tabella4[[#This Row],[Rejected Element]])-4),Tabella4[[#This Row],[Rejected Element]]),"\","")</f>
        <v/>
      </c>
      <c r="Z306" s="34">
        <f>COUNTIFS(Tabella4[Detail univoco],Tabella4[[#This Row],[Detail univoco]],Tabella4[Rejected Element Univoco],Tabella4[[#This Row],[Rejected Element Univoco]],Tabella4[ItemsNodeLabel],Tabella4[[#This Row],[ItemsNodeLabel]])</f>
        <v>0</v>
      </c>
      <c r="AA306" s="34" t="str">
        <f>IF(Tabella4[[#This Row],[Componente]]="Documenti",VLOOKUP(Tabella4[[#This Row],[URL]],Tabella27[[URL]:[Servizio]],4,FALSE),VLOOKUP(Tabella4[[#This Row],[Page ID]],Tabella1[[Page ID]:[Servizio]],4,FALSE))</f>
        <v>D004 RCA Poste Guidare Sicuri Linear</v>
      </c>
      <c r="AB306" s="34"/>
      <c r="AC306" s="34" t="str">
        <f>Tabella4[[#This Row],[User Impact]]</f>
        <v>3 - Moderate</v>
      </c>
      <c r="AD306" s="34" t="str">
        <f>Copertina!C$2&amp;" - "&amp;Tabella4[[#This Row],[UNI CEI EN 301549]]&amp;" "&amp;VLOOKUP(Tabella4[[#This Row],[Criterio]],Tabella5[[ID]:[Criterio di successo]],2,FALSE)&amp;" - "&amp;Tabella4[[#This Row],[Servizio]]&amp;":"</f>
        <v>Insurance Brocker - 10.1.3.1 Informazioni e correlazioni - D004 RCA Poste Guidare Sicuri Linear:</v>
      </c>
      <c r="AE30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D004 RCA Poste Guidare Sicuri Linear: (#PDF0044)
D004 RCA Poste Guidare Sicuri Linear
Requisito: WCAG 1.3.1
Disabilità afflitte: Blind;Deafblind
Impatto Utente: 3 - Moderate
Descrizione: Font non incorporato - Font non incorporato (https://www.w3.org/WAI/WCAG22/Techniques/general/G117.html)
Esempio di violazione individuata sull'oggetto: 
https://www.media.poste.it/66b83bec-c447-4992-ad0e-308ce8a6a2fa/file/PosteGuidareSicuri_LN_DIP -  con selettore: 
Dettaglio + screenshot (accedere con le seguenti credenziali: user, axeposte@gmail.com; password, Poste2024!): 
Possibile metodologia risolutiva:
Non comunicare informazioni solo tramite cambi visivi. Utilizzare font, bold face, font size, underline e altri attributi di testo necessita che le informazioni comunicate visivamente debbano essere comunicate altrove anche via testo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306">
        <f>_xlfn.XLOOKUP(Tabella4[[#This Row],[ID Silk]],outTable[ID Silk],outTable[Numero ticket  ],,0,1)</f>
        <v>5987</v>
      </c>
    </row>
    <row r="307" spans="1:32">
      <c r="A307" s="34" t="str">
        <f>MID(Tabella4[[#This Row],[Servizio]],1,4)&amp;Tabella4[[#This Row],[UNI CEI EN 301549]]</f>
        <v>D00410.1.4.3</v>
      </c>
      <c r="B307" s="34" t="str">
        <f>Tabella4[[#This Row],[ID Silk]]&amp;"_1"</f>
        <v>D00410.1.4.3_1</v>
      </c>
      <c r="C307" s="34" t="s">
        <v>1271</v>
      </c>
      <c r="D307" s="2" t="str">
        <f>"(#"&amp;Tabella4[[#This Row],['#ID]]&amp;")"</f>
        <v>(#PDF0045)</v>
      </c>
      <c r="E307" s="34" t="str">
        <f>IF(MID(Tabella4[[#This Row],['#ID]],1,1)="M","Mobile",IF(MID(Tabella4[[#This Row],['#ID]],1,1)="D","Desktop",IF(MID(Tabella4[[#This Row],['#ID]],1,2)="TM","Manuale","Documenti")))</f>
        <v>Documenti</v>
      </c>
      <c r="F307" s="34" t="s">
        <v>1006</v>
      </c>
      <c r="G307" s="34" t="s">
        <v>228</v>
      </c>
      <c r="H307" s="34" t="str">
        <f>IF(Tabella4[[#This Row],[Componente]]="Documenti","10.","9.")&amp;Tabella4[[#This Row],[Criterio]]</f>
        <v>10.1.4.3</v>
      </c>
      <c r="I307" s="34" t="s">
        <v>1023</v>
      </c>
      <c r="J307" t="s">
        <v>1169</v>
      </c>
      <c r="K307" s="19" t="s">
        <v>1086</v>
      </c>
      <c r="L307" s="34" t="s">
        <v>1187</v>
      </c>
      <c r="M307" s="34" t="s">
        <v>1188</v>
      </c>
      <c r="N307" s="34"/>
      <c r="O307" s="34"/>
      <c r="P307" t="s">
        <v>468</v>
      </c>
      <c r="R307" s="34" t="str">
        <f>IF(Tabella4[[#This Row],[Componente]]="Documenti",_xlfn.XLOOKUP(Tabella4[[#This Row],[URL]],Tabella27[URL],Tabella27[PDF ID],,0),_xlfn.XLOOKUP(Tabella4[[#This Row],[URL]],Tabella1[URL],Tabella1[Page ID],,0))</f>
        <v>#P04</v>
      </c>
      <c r="S307" t="s">
        <v>93</v>
      </c>
      <c r="T307" s="34"/>
      <c r="V307" s="34">
        <v>0</v>
      </c>
      <c r="W307" s="34" t="s">
        <v>1189</v>
      </c>
      <c r="X307" s="34">
        <f>IFERROR(IF(Tabella4[[#This Row],[Tool]]="lighthouse",Tabella4[[#This Row],[Detail]],MID(Tabella4[[#This Row],[Detail]],1,FIND("&gt;",Tabella4[[#This Row],[Detail]]))),Tabella4[[#This Row],[Detail]])</f>
        <v>0</v>
      </c>
      <c r="Y307" s="34" t="str">
        <f>SUBSTITUTE(IF(Tabella4[[#This Row],[Tool]]="axe-core",MID(Tabella4[[#This Row],[Rejected Element]],3,LEN(Tabella4[[#This Row],[Rejected Element]])-4),Tabella4[[#This Row],[Rejected Element]]),"\","")</f>
        <v/>
      </c>
      <c r="Z307" s="34">
        <f>COUNTIFS(Tabella4[Detail univoco],Tabella4[[#This Row],[Detail univoco]],Tabella4[Rejected Element Univoco],Tabella4[[#This Row],[Rejected Element Univoco]],Tabella4[ItemsNodeLabel],Tabella4[[#This Row],[ItemsNodeLabel]])</f>
        <v>0</v>
      </c>
      <c r="AA307" s="34" t="str">
        <f>IF(Tabella4[[#This Row],[Componente]]="Documenti",VLOOKUP(Tabella4[[#This Row],[URL]],Tabella27[[URL]:[Servizio]],4,FALSE),VLOOKUP(Tabella4[[#This Row],[Page ID]],Tabella1[[Page ID]:[Servizio]],4,FALSE))</f>
        <v>D004 RCA Poste Guidare Sicuri Linear</v>
      </c>
      <c r="AB307" s="34"/>
      <c r="AC307" s="34" t="str">
        <f>Tabella4[[#This Row],[User Impact]]</f>
        <v>2 - Serious</v>
      </c>
      <c r="AD307" s="34" t="str">
        <f>Copertina!C$2&amp;" - "&amp;Tabella4[[#This Row],[UNI CEI EN 301549]]&amp;" "&amp;VLOOKUP(Tabella4[[#This Row],[Criterio]],Tabella5[[ID]:[Criterio di successo]],2,FALSE)&amp;" - "&amp;Tabella4[[#This Row],[Servizio]]&amp;":"</f>
        <v>Insurance Brocker - 10.1.4.3 Contrasto (minimo) - D004 RCA Poste Guidare Sicuri Linear:</v>
      </c>
      <c r="AE30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- 10.1.4.3 Contrasto (minimo) - D004 RCA Poste Guidare Sicuri Linear: (#PDF0045)
D004 RCA Poste Guidare Sicuri Linear
Requisito: WCAG 1.4.3
Disabilità afflitte: Blind;Cognitive;Deafblind
Impatto Utente: 2 - Serious
Descrizione: Testo con contrasto insufficiente - Testo con contrasto insufficiente (https://www.w3.org/WAI/WCAG21/Techniques/general/G18)
Esempio di violazione individuata sull'oggetto: 
https://www.media.poste.it/66b83bec-c447-4992-ad0e-308ce8a6a2fa/file/PosteGuidareSicuri_LN_DIP -  con selettore: 
Dettaglio + screenshot (accedere con le seguenti credenziali: user, axeposte@gmail.com; password, Poste2024!): 
Possibile metodologia risolutiva:
Regolare il contrasto tra testo e sfondo, assicurandosi che rispetti il rapporto minimo di contrasto di 4.5:1. Modificare il colore del testo o dello sfondo nel software di editing.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https://posteitaliane.sharepoint.com/:w:/r/teams/ACCESSIBILITRISULTATIVERIFICHETECNICHE/Shared%20Documents/Generale/SCHEDE_REQUISITI/10.1.4.3%20Contrasto%20(minimo).docx?d=wb5da035a086249bca8fc7050a31c158c&amp;csf=1&amp;web=1&amp;e=SVKGXy</v>
      </c>
      <c r="AF307">
        <f>_xlfn.XLOOKUP(Tabella4[[#This Row],[ID Silk]],outTable[ID Silk],outTable[Numero ticket  ],,0,1)</f>
        <v>5988</v>
      </c>
    </row>
    <row r="308" spans="1:32">
      <c r="A308" s="34" t="str">
        <f>MID(Tabella4[[#This Row],[Servizio]],1,4)&amp;Tabella4[[#This Row],[UNI CEI EN 301549]]</f>
        <v>D00410.2.4.2</v>
      </c>
      <c r="B308" s="34" t="str">
        <f>Tabella4[[#This Row],[ID Silk]]&amp;"_1"</f>
        <v>D00410.2.4.2_1</v>
      </c>
      <c r="C308" s="34" t="s">
        <v>1272</v>
      </c>
      <c r="D308" s="2" t="str">
        <f>"(#"&amp;Tabella4[[#This Row],['#ID]]&amp;")"</f>
        <v>(#PDF0046)</v>
      </c>
      <c r="E308" s="34" t="str">
        <f>IF(MID(Tabella4[[#This Row],['#ID]],1,1)="M","Mobile",IF(MID(Tabella4[[#This Row],['#ID]],1,1)="D","Desktop",IF(MID(Tabella4[[#This Row],['#ID]],1,2)="TM","Manuale","Documenti")))</f>
        <v>Documenti</v>
      </c>
      <c r="F308" s="34" t="s">
        <v>1005</v>
      </c>
      <c r="G308" s="34" t="s">
        <v>302</v>
      </c>
      <c r="H308" s="34" t="str">
        <f>IF(Tabella4[[#This Row],[Componente]]="Documenti","10.","9.")&amp;Tabella4[[#This Row],[Criterio]]</f>
        <v>10.2.4.2</v>
      </c>
      <c r="I308" s="34" t="s">
        <v>1036</v>
      </c>
      <c r="J308" t="s">
        <v>1191</v>
      </c>
      <c r="K308" s="19" t="s">
        <v>1087</v>
      </c>
      <c r="L308" s="34" t="s">
        <v>1192</v>
      </c>
      <c r="M308" s="34" t="s">
        <v>1193</v>
      </c>
      <c r="N308" s="34"/>
      <c r="O308" s="34"/>
      <c r="P308" t="s">
        <v>468</v>
      </c>
      <c r="R308" s="34" t="str">
        <f>IF(Tabella4[[#This Row],[Componente]]="Documenti",_xlfn.XLOOKUP(Tabella4[[#This Row],[URL]],Tabella27[URL],Tabella27[PDF ID],,0),_xlfn.XLOOKUP(Tabella4[[#This Row],[URL]],Tabella1[URL],Tabella1[Page ID],,0))</f>
        <v>#P04</v>
      </c>
      <c r="S308" t="s">
        <v>93</v>
      </c>
      <c r="T308" s="34"/>
      <c r="V308" s="34">
        <v>0</v>
      </c>
      <c r="W308" s="34" t="s">
        <v>1194</v>
      </c>
      <c r="X308" s="34">
        <f>IFERROR(IF(Tabella4[[#This Row],[Tool]]="lighthouse",Tabella4[[#This Row],[Detail]],MID(Tabella4[[#This Row],[Detail]],1,FIND("&gt;",Tabella4[[#This Row],[Detail]]))),Tabella4[[#This Row],[Detail]])</f>
        <v>0</v>
      </c>
      <c r="Y308" s="34" t="str">
        <f>SUBSTITUTE(IF(Tabella4[[#This Row],[Tool]]="axe-core",MID(Tabella4[[#This Row],[Rejected Element]],3,LEN(Tabella4[[#This Row],[Rejected Element]])-4),Tabella4[[#This Row],[Rejected Element]]),"\","")</f>
        <v/>
      </c>
      <c r="Z308" s="34">
        <f>COUNTIFS(Tabella4[Detail univoco],Tabella4[[#This Row],[Detail univoco]],Tabella4[Rejected Element Univoco],Tabella4[[#This Row],[Rejected Element Univoco]],Tabella4[ItemsNodeLabel],Tabella4[[#This Row],[ItemsNodeLabel]])</f>
        <v>0</v>
      </c>
      <c r="AA308" s="34" t="str">
        <f>IF(Tabella4[[#This Row],[Componente]]="Documenti",VLOOKUP(Tabella4[[#This Row],[URL]],Tabella27[[URL]:[Servizio]],4,FALSE),VLOOKUP(Tabella4[[#This Row],[Page ID]],Tabella1[[Page ID]:[Servizio]],4,FALSE))</f>
        <v>D004 RCA Poste Guidare Sicuri Linear</v>
      </c>
      <c r="AB308" s="34"/>
      <c r="AC308" s="34" t="str">
        <f>Tabella4[[#This Row],[User Impact]]</f>
        <v>3 - Moderate</v>
      </c>
      <c r="AD308" s="34" t="str">
        <f>Copertina!C$2&amp;" - "&amp;Tabella4[[#This Row],[UNI CEI EN 301549]]&amp;" "&amp;VLOOKUP(Tabella4[[#This Row],[Criterio]],Tabella5[[ID]:[Criterio di successo]],2,FALSE)&amp;" - "&amp;Tabella4[[#This Row],[Servizio]]&amp;":"</f>
        <v>Insurance Brocker - 10.2.4.2 Titolazione della pagina - D004 RCA Poste Guidare Sicuri Linear:</v>
      </c>
      <c r="AE30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D004 RCA Poste Guidare Sicuri Linear: (#PDF0046)
D004 RCA Poste Guidare Sicuri Linear
Requisito: WCAG 2.4.2
Disabilità afflitte: Cognitive;Mobility;Sighted Keyboard Users
Impatto Utente: 3 - Moderate
Descrizione: Titolo mancante nei metadati XMP del documento - Titolo mancante nei metadati XMP del documento (https://www.w3.org/WAI/WCAG21/Techniques/general/G88)
Esempio di violazione individuata sull'oggetto: 
https://www.media.poste.it/66b83bec-c447-4992-ad0e-308ce8a6a2fa/file/PosteGuidareSicuri_LN_DIP -  con selettore: 
Dettaglio + screenshot (accedere con le seguenti credenziali: user, axeposte@gmail.com; password, Poste2024!): 
Possibile metodologia risolutiva:
Aggiungere un titolo descrittivo nei metadati del documento (XMP), che aiuti gli utenti a identificare facilmente il contenuto. In Adobe Acrobat, andare su File &gt; Proprietà &gt; Descrizione e inserire un titolo.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308">
        <f>_xlfn.XLOOKUP(Tabella4[[#This Row],[ID Silk]],outTable[ID Silk],outTable[Numero ticket  ],,0,1)</f>
        <v>5989</v>
      </c>
    </row>
    <row r="309" spans="1:32">
      <c r="A309" s="34" t="str">
        <f>MID(Tabella4[[#This Row],[Servizio]],1,4)&amp;Tabella4[[#This Row],[UNI CEI EN 301549]]</f>
        <v>D00410.2.4.2</v>
      </c>
      <c r="B309" s="34" t="str">
        <f>Tabella4[[#This Row],[ID Silk]]&amp;"_1"</f>
        <v>D00410.2.4.2_1</v>
      </c>
      <c r="C309" s="34" t="s">
        <v>1273</v>
      </c>
      <c r="D309" s="2" t="str">
        <f>"(#"&amp;Tabella4[[#This Row],['#ID]]&amp;")"</f>
        <v>(#PDF0047)</v>
      </c>
      <c r="E309" s="34" t="str">
        <f>IF(MID(Tabella4[[#This Row],['#ID]],1,1)="M","Mobile",IF(MID(Tabella4[[#This Row],['#ID]],1,1)="D","Desktop",IF(MID(Tabella4[[#This Row],['#ID]],1,2)="TM","Manuale","Documenti")))</f>
        <v>Documenti</v>
      </c>
      <c r="F309" s="34" t="s">
        <v>1005</v>
      </c>
      <c r="G309" s="34" t="s">
        <v>302</v>
      </c>
      <c r="H309" s="34" t="str">
        <f>IF(Tabella4[[#This Row],[Componente]]="Documenti","10.","9.")&amp;Tabella4[[#This Row],[Criterio]]</f>
        <v>10.2.4.2</v>
      </c>
      <c r="I309" s="34" t="s">
        <v>1195</v>
      </c>
      <c r="J309" t="s">
        <v>1196</v>
      </c>
      <c r="K309" s="19" t="s">
        <v>1088</v>
      </c>
      <c r="L309" s="34" t="s">
        <v>1197</v>
      </c>
      <c r="M309" s="34" t="s">
        <v>1198</v>
      </c>
      <c r="N309" s="34"/>
      <c r="O309" s="34"/>
      <c r="P309" t="s">
        <v>468</v>
      </c>
      <c r="R309" s="34" t="str">
        <f>IF(Tabella4[[#This Row],[Componente]]="Documenti",_xlfn.XLOOKUP(Tabella4[[#This Row],[URL]],Tabella27[URL],Tabella27[PDF ID],,0),_xlfn.XLOOKUP(Tabella4[[#This Row],[URL]],Tabella1[URL],Tabella1[Page ID],,0))</f>
        <v>#P04</v>
      </c>
      <c r="S309" t="s">
        <v>93</v>
      </c>
      <c r="T309" s="34"/>
      <c r="V309" s="34">
        <v>0</v>
      </c>
      <c r="W309" s="34" t="s">
        <v>1199</v>
      </c>
      <c r="X309" s="34">
        <f>IFERROR(IF(Tabella4[[#This Row],[Tool]]="lighthouse",Tabella4[[#This Row],[Detail]],MID(Tabella4[[#This Row],[Detail]],1,FIND("&gt;",Tabella4[[#This Row],[Detail]]))),Tabella4[[#This Row],[Detail]])</f>
        <v>0</v>
      </c>
      <c r="Y309" s="34" t="str">
        <f>SUBSTITUTE(IF(Tabella4[[#This Row],[Tool]]="axe-core",MID(Tabella4[[#This Row],[Rejected Element]],3,LEN(Tabella4[[#This Row],[Rejected Element]])-4),Tabella4[[#This Row],[Rejected Element]]),"\","")</f>
        <v/>
      </c>
      <c r="Z309" s="34">
        <f>COUNTIFS(Tabella4[Detail univoco],Tabella4[[#This Row],[Detail univoco]],Tabella4[Rejected Element Univoco],Tabella4[[#This Row],[Rejected Element Univoco]],Tabella4[ItemsNodeLabel],Tabella4[[#This Row],[ItemsNodeLabel]])</f>
        <v>0</v>
      </c>
      <c r="AA309" s="34" t="str">
        <f>IF(Tabella4[[#This Row],[Componente]]="Documenti",VLOOKUP(Tabella4[[#This Row],[URL]],Tabella27[[URL]:[Servizio]],4,FALSE),VLOOKUP(Tabella4[[#This Row],[Page ID]],Tabella1[[Page ID]:[Servizio]],4,FALSE))</f>
        <v>D004 RCA Poste Guidare Sicuri Linear</v>
      </c>
      <c r="AB309" s="34"/>
      <c r="AC309" s="34" t="str">
        <f>Tabella4[[#This Row],[User Impact]]</f>
        <v>4 - Minor</v>
      </c>
      <c r="AD309" s="34" t="str">
        <f>Copertina!C$2&amp;" - "&amp;Tabella4[[#This Row],[UNI CEI EN 301549]]&amp;" "&amp;VLOOKUP(Tabella4[[#This Row],[Criterio]],Tabella5[[ID]:[Criterio di successo]],2,FALSE)&amp;" - "&amp;Tabella4[[#This Row],[Servizio]]&amp;":"</f>
        <v>Insurance Brocker - 10.2.4.2 Titolazione della pagina - D004 RCA Poste Guidare Sicuri Linear:</v>
      </c>
      <c r="AE30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D004 RCA Poste Guidare Sicuri Linear: (#PDF0047)
D004 RCA Poste Guidare Sicuri Linear
Requisito: WCAG 2.4.2
Disabilità afflitte: Cognitive
Impatto Utente: 4 - Minor
Descrizione: "DisplayDocTitle" non impostato - "DisplayDocTitle" non impostato (https://www.w3.org/WAI/WCAG21/Techniques/general/G88)
Esempio di violazione individuata sull'oggetto: 
https://www.media.poste.it/66b83bec-c447-4992-ad0e-308ce8a6a2fa/file/PosteGuidareSicuri_LN_DIP -  con selettore: 
Dettaglio + screenshot (accedere con le seguenti credenziali: user, axeposte@gmail.com; password, Poste2024!): 
Possibile metodologia risolutiva:
Impostare l’opzione "DisplayDocTitle" per mostrare il titolo del documento anziché il nome file. In Acrobat, andare su File &gt; Proprietà &gt; Visualizzazione iniziale e selezionare “Mostra titolo documento”.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309">
        <f>_xlfn.XLOOKUP(Tabella4[[#This Row],[ID Silk]],outTable[ID Silk],outTable[Numero ticket  ],,0,1)</f>
        <v>5989</v>
      </c>
    </row>
    <row r="310" spans="1:32">
      <c r="A310" s="34" t="str">
        <f>MID(Tabella4[[#This Row],[Servizio]],1,4)&amp;Tabella4[[#This Row],[UNI CEI EN 301549]]</f>
        <v>D00410.3.1.1</v>
      </c>
      <c r="B310" s="34" t="str">
        <f>Tabella4[[#This Row],[ID Silk]]&amp;"_1"</f>
        <v>D00410.3.1.1_1</v>
      </c>
      <c r="C310" s="34" t="s">
        <v>1274</v>
      </c>
      <c r="D310" s="2" t="str">
        <f>"(#"&amp;Tabella4[[#This Row],['#ID]]&amp;")"</f>
        <v>(#PDF0048)</v>
      </c>
      <c r="E310" s="34" t="str">
        <f>IF(MID(Tabella4[[#This Row],['#ID]],1,1)="M","Mobile",IF(MID(Tabella4[[#This Row],['#ID]],1,1)="D","Desktop",IF(MID(Tabella4[[#This Row],['#ID]],1,2)="TM","Manuale","Documenti")))</f>
        <v>Documenti</v>
      </c>
      <c r="F310" s="34" t="s">
        <v>1005</v>
      </c>
      <c r="G310" s="34" t="s">
        <v>332</v>
      </c>
      <c r="H310" s="34" t="str">
        <f>IF(Tabella4[[#This Row],[Componente]]="Documenti","10.","9.")&amp;Tabella4[[#This Row],[Criterio]]</f>
        <v>10.3.1.1</v>
      </c>
      <c r="I310" s="34" t="s">
        <v>1036</v>
      </c>
      <c r="J310" t="s">
        <v>1169</v>
      </c>
      <c r="K310" s="19" t="s">
        <v>1089</v>
      </c>
      <c r="L310" s="34" t="s">
        <v>1201</v>
      </c>
      <c r="M310" s="34" t="s">
        <v>1202</v>
      </c>
      <c r="N310" s="34"/>
      <c r="O310" s="34"/>
      <c r="P310" t="s">
        <v>468</v>
      </c>
      <c r="R310" s="34" t="str">
        <f>IF(Tabella4[[#This Row],[Componente]]="Documenti",_xlfn.XLOOKUP(Tabella4[[#This Row],[URL]],Tabella27[URL],Tabella27[PDF ID],,0),_xlfn.XLOOKUP(Tabella4[[#This Row],[URL]],Tabella1[URL],Tabella1[Page ID],,0))</f>
        <v>#P04</v>
      </c>
      <c r="S310" t="s">
        <v>93</v>
      </c>
      <c r="T310" s="34"/>
      <c r="V310" s="34">
        <v>0</v>
      </c>
      <c r="W310" s="34" t="s">
        <v>1203</v>
      </c>
      <c r="X310" s="34">
        <f>IFERROR(IF(Tabella4[[#This Row],[Tool]]="lighthouse",Tabella4[[#This Row],[Detail]],MID(Tabella4[[#This Row],[Detail]],1,FIND("&gt;",Tabella4[[#This Row],[Detail]]))),Tabella4[[#This Row],[Detail]])</f>
        <v>0</v>
      </c>
      <c r="Y310" s="34" t="str">
        <f>SUBSTITUTE(IF(Tabella4[[#This Row],[Tool]]="axe-core",MID(Tabella4[[#This Row],[Rejected Element]],3,LEN(Tabella4[[#This Row],[Rejected Element]])-4),Tabella4[[#This Row],[Rejected Element]]),"\","")</f>
        <v/>
      </c>
      <c r="Z310" s="34">
        <f>COUNTIFS(Tabella4[Detail univoco],Tabella4[[#This Row],[Detail univoco]],Tabella4[Rejected Element Univoco],Tabella4[[#This Row],[Rejected Element Univoco]],Tabella4[ItemsNodeLabel],Tabella4[[#This Row],[ItemsNodeLabel]])</f>
        <v>0</v>
      </c>
      <c r="AA310" s="34" t="str">
        <f>IF(Tabella4[[#This Row],[Componente]]="Documenti",VLOOKUP(Tabella4[[#This Row],[URL]],Tabella27[[URL]:[Servizio]],4,FALSE),VLOOKUP(Tabella4[[#This Row],[Page ID]],Tabella1[[Page ID]:[Servizio]],4,FALSE))</f>
        <v>D004 RCA Poste Guidare Sicuri Linear</v>
      </c>
      <c r="AB310" s="34"/>
      <c r="AC310" s="34" t="str">
        <f>Tabella4[[#This Row],[User Impact]]</f>
        <v>3 - Moderate</v>
      </c>
      <c r="AD310" s="34" t="str">
        <f>Copertina!C$2&amp;" - "&amp;Tabella4[[#This Row],[UNI CEI EN 301549]]&amp;" "&amp;VLOOKUP(Tabella4[[#This Row],[Criterio]],Tabella5[[ID]:[Criterio di successo]],2,FALSE)&amp;" - "&amp;Tabella4[[#This Row],[Servizio]]&amp;":"</f>
        <v>Insurance Brocker - 10.3.1.1 Lingua della pagina - D004 RCA Poste Guidare Sicuri Linear:</v>
      </c>
      <c r="AE31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- 10.3.1.1 Lingua della pagina - D004 RCA Poste Guidare Sicuri Linear: (#PDF0048)
D004 RCA Poste Guidare Sicuri Linear
Requisito: WCAG 3.1.1
Disabilità afflitte: Blind;Cognitive;Deafblind
Impatto Utente: 3 - Moderate
Descrizione: I metadati della lingua del documento contengono un errore di sintassi - I metadati della lingua del documento contengono un errore di sintassi (https://www.w3.org/WAI/WCAG21/Techniques/html/H57)
Esempio di violazione individuata sull'oggetto: 
https://www.media.poste.it/66b83bec-c447-4992-ad0e-308ce8a6a2fa/file/PosteGuidareSicuri_LN_DIP -  con selettore: 
Dettaglio + screenshot (accedere con le seguenti credenziali: user, axeposte@gmail.com; password, Poste2024!): 
Possibile metodologia risolutiva:
Correggere l'errore di sintassi nei metadati della lingua per consentire ai lettori di schermo di riconoscere correttamente la lingua.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310">
        <f>_xlfn.XLOOKUP(Tabella4[[#This Row],[ID Silk]],outTable[ID Silk],outTable[Numero ticket  ],,0,1)</f>
        <v>5990</v>
      </c>
    </row>
    <row r="311" spans="1:32">
      <c r="A311" s="34" t="str">
        <f>MID(Tabella4[[#This Row],[Servizio]],1,4)&amp;Tabella4[[#This Row],[UNI CEI EN 301549]]</f>
        <v>D00410.3.1.2</v>
      </c>
      <c r="B311" s="34" t="str">
        <f>Tabella4[[#This Row],[ID Silk]]&amp;"_1"</f>
        <v>D00410.3.1.2_1</v>
      </c>
      <c r="C311" s="34" t="s">
        <v>1275</v>
      </c>
      <c r="D311" s="2" t="str">
        <f>"(#"&amp;Tabella4[[#This Row],['#ID]]&amp;")"</f>
        <v>(#PDF0049)</v>
      </c>
      <c r="E311" s="34" t="str">
        <f>IF(MID(Tabella4[[#This Row],['#ID]],1,1)="M","Mobile",IF(MID(Tabella4[[#This Row],['#ID]],1,1)="D","Desktop",IF(MID(Tabella4[[#This Row],['#ID]],1,2)="TM","Manuale","Documenti")))</f>
        <v>Documenti</v>
      </c>
      <c r="F311" s="34" t="s">
        <v>1006</v>
      </c>
      <c r="G311" s="34" t="s">
        <v>334</v>
      </c>
      <c r="H311" s="34" t="str">
        <f>IF(Tabella4[[#This Row],[Componente]]="Documenti","10.","9.")&amp;Tabella4[[#This Row],[Criterio]]</f>
        <v>10.3.1.2</v>
      </c>
      <c r="I311" s="34" t="s">
        <v>1023</v>
      </c>
      <c r="J311" t="s">
        <v>1169</v>
      </c>
      <c r="K311" s="19" t="s">
        <v>1090</v>
      </c>
      <c r="L311" s="34" t="s">
        <v>1205</v>
      </c>
      <c r="M311" s="34" t="s">
        <v>1206</v>
      </c>
      <c r="N311" s="34"/>
      <c r="O311" s="34"/>
      <c r="P311" t="s">
        <v>468</v>
      </c>
      <c r="R311" s="34" t="str">
        <f>IF(Tabella4[[#This Row],[Componente]]="Documenti",_xlfn.XLOOKUP(Tabella4[[#This Row],[URL]],Tabella27[URL],Tabella27[PDF ID],,0),_xlfn.XLOOKUP(Tabella4[[#This Row],[URL]],Tabella1[URL],Tabella1[Page ID],,0))</f>
        <v>#P04</v>
      </c>
      <c r="S311" t="s">
        <v>93</v>
      </c>
      <c r="T311" s="34"/>
      <c r="V311" s="34">
        <v>0</v>
      </c>
      <c r="W311" s="34" t="s">
        <v>1207</v>
      </c>
      <c r="X311" s="34">
        <f>IFERROR(IF(Tabella4[[#This Row],[Tool]]="lighthouse",Tabella4[[#This Row],[Detail]],MID(Tabella4[[#This Row],[Detail]],1,FIND("&gt;",Tabella4[[#This Row],[Detail]]))),Tabella4[[#This Row],[Detail]])</f>
        <v>0</v>
      </c>
      <c r="Y311" s="34" t="str">
        <f>SUBSTITUTE(IF(Tabella4[[#This Row],[Tool]]="axe-core",MID(Tabella4[[#This Row],[Rejected Element]],3,LEN(Tabella4[[#This Row],[Rejected Element]])-4),Tabella4[[#This Row],[Rejected Element]]),"\","")</f>
        <v/>
      </c>
      <c r="Z311" s="34">
        <f>COUNTIFS(Tabella4[Detail univoco],Tabella4[[#This Row],[Detail univoco]],Tabella4[Rejected Element Univoco],Tabella4[[#This Row],[Rejected Element Univoco]],Tabella4[ItemsNodeLabel],Tabella4[[#This Row],[ItemsNodeLabel]])</f>
        <v>0</v>
      </c>
      <c r="AA311" s="34" t="str">
        <f>IF(Tabella4[[#This Row],[Componente]]="Documenti",VLOOKUP(Tabella4[[#This Row],[URL]],Tabella27[[URL]:[Servizio]],4,FALSE),VLOOKUP(Tabella4[[#This Row],[Page ID]],Tabella1[[Page ID]:[Servizio]],4,FALSE))</f>
        <v>D004 RCA Poste Guidare Sicuri Linear</v>
      </c>
      <c r="AB311" s="34"/>
      <c r="AC311" s="34" t="str">
        <f>Tabella4[[#This Row],[User Impact]]</f>
        <v>2 - Serious</v>
      </c>
      <c r="AD311" s="34" t="str">
        <f>Copertina!C$2&amp;" - "&amp;Tabella4[[#This Row],[UNI CEI EN 301549]]&amp;" "&amp;VLOOKUP(Tabella4[[#This Row],[Criterio]],Tabella5[[ID]:[Criterio di successo]],2,FALSE)&amp;" - "&amp;Tabella4[[#This Row],[Servizio]]&amp;":"</f>
        <v>Insurance Brocker - 10.3.1.2 Parti in lingua - D004 RCA Poste Guidare Sicuri Linear:</v>
      </c>
      <c r="AE31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- 10.3.1.2 Parti in lingua - D004 RCA Poste Guidare Sicuri Linear: (#PDF0049)
D004 RCA Poste Guidare Sicuri Linear
Requisito: WCAG 3.1.2
Disabilità afflitte: Blind;Cognitive;Deafblind
Impatto Utente: 2 - Serious
Descrizione: La lingua naturale per un oggetto di testo non può essere determinata. - La lingua naturale per un oggetto di testo non può essere determinata. (https://www.w3.org/TR/WCAG20-TECHS/PDF19.html)
Esempio di violazione individuata sull'oggetto: 
https://www.media.poste.it/66b83bec-c447-4992-ad0e-308ce8a6a2fa/file/PosteGuidareSicuri_LN_DIP -  con selettore: 
Dettaglio + screenshot (accedere con le seguenti credenziali: user, axeposte@gmail.com; password, Poste2024!): 
Possibile metodologia risolutiva:
In Adobe Acrobat Pro, vai su File &gt; Proprietà &gt; Avanzate e imposta la lingua predefinita del documento. Usa strumenti di verifica per controllare che tutti gli oggetti di testo ereditino correttamente questa impostazione.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311">
        <f>_xlfn.XLOOKUP(Tabella4[[#This Row],[ID Silk]],outTable[ID Silk],outTable[Numero ticket  ],,0,1)</f>
        <v>5992</v>
      </c>
    </row>
    <row r="312" spans="1:32">
      <c r="A312" s="34" t="str">
        <f>MID(Tabella4[[#This Row],[Servizio]],1,4)&amp;Tabella4[[#This Row],[UNI CEI EN 301549]]</f>
        <v>D00410.3.1.2</v>
      </c>
      <c r="B312" s="34" t="str">
        <f>Tabella4[[#This Row],[ID Silk]]&amp;"_1"</f>
        <v>D00410.3.1.2_1</v>
      </c>
      <c r="C312" s="34" t="s">
        <v>1276</v>
      </c>
      <c r="D312" s="2" t="str">
        <f>"(#"&amp;Tabella4[[#This Row],['#ID]]&amp;")"</f>
        <v>(#PDF0050)</v>
      </c>
      <c r="E312" s="34" t="str">
        <f>IF(MID(Tabella4[[#This Row],['#ID]],1,1)="M","Mobile",IF(MID(Tabella4[[#This Row],['#ID]],1,1)="D","Desktop",IF(MID(Tabella4[[#This Row],['#ID]],1,2)="TM","Manuale","Documenti")))</f>
        <v>Documenti</v>
      </c>
      <c r="F312" s="34" t="s">
        <v>1005</v>
      </c>
      <c r="G312" s="34" t="s">
        <v>334</v>
      </c>
      <c r="H312" s="34" t="str">
        <f>IF(Tabella4[[#This Row],[Componente]]="Documenti","10.","9.")&amp;Tabella4[[#This Row],[Criterio]]</f>
        <v>10.3.1.2</v>
      </c>
      <c r="I312" s="34" t="s">
        <v>1023</v>
      </c>
      <c r="J312" t="s">
        <v>1008</v>
      </c>
      <c r="K312" s="19" t="s">
        <v>1129</v>
      </c>
      <c r="L312" s="34" t="s">
        <v>1221</v>
      </c>
      <c r="M312" s="34" t="s">
        <v>1222</v>
      </c>
      <c r="N312" s="34"/>
      <c r="O312" s="34"/>
      <c r="P312" t="s">
        <v>468</v>
      </c>
      <c r="R312" s="34" t="str">
        <f>IF(Tabella4[[#This Row],[Componente]]="Documenti",_xlfn.XLOOKUP(Tabella4[[#This Row],[URL]],Tabella27[URL],Tabella27[PDF ID],,0),_xlfn.XLOOKUP(Tabella4[[#This Row],[URL]],Tabella1[URL],Tabella1[Page ID],,0))</f>
        <v>#P04</v>
      </c>
      <c r="S312" t="s">
        <v>93</v>
      </c>
      <c r="T312" s="34"/>
      <c r="V312" s="34">
        <v>0</v>
      </c>
      <c r="W312" s="34" t="s">
        <v>1223</v>
      </c>
      <c r="X312" s="34">
        <f>IFERROR(IF(Tabella4[[#This Row],[Tool]]="lighthouse",Tabella4[[#This Row],[Detail]],MID(Tabella4[[#This Row],[Detail]],1,FIND("&gt;",Tabella4[[#This Row],[Detail]]))),Tabella4[[#This Row],[Detail]])</f>
        <v>0</v>
      </c>
      <c r="Y312" s="34" t="str">
        <f>SUBSTITUTE(IF(Tabella4[[#This Row],[Tool]]="axe-core",MID(Tabella4[[#This Row],[Rejected Element]],3,LEN(Tabella4[[#This Row],[Rejected Element]])-4),Tabella4[[#This Row],[Rejected Element]]),"\","")</f>
        <v/>
      </c>
      <c r="Z312" s="34">
        <f>COUNTIFS(Tabella4[Detail univoco],Tabella4[[#This Row],[Detail univoco]],Tabella4[Rejected Element Univoco],Tabella4[[#This Row],[Rejected Element Univoco]],Tabella4[ItemsNodeLabel],Tabella4[[#This Row],[ItemsNodeLabel]])</f>
        <v>0</v>
      </c>
      <c r="AA312" s="34" t="str">
        <f>IF(Tabella4[[#This Row],[Componente]]="Documenti",VLOOKUP(Tabella4[[#This Row],[URL]],Tabella27[[URL]:[Servizio]],4,FALSE),VLOOKUP(Tabella4[[#This Row],[Page ID]],Tabella1[[Page ID]:[Servizio]],4,FALSE))</f>
        <v>D004 RCA Poste Guidare Sicuri Linear</v>
      </c>
      <c r="AB312" s="34"/>
      <c r="AC312" s="34" t="str">
        <f>Tabella4[[#This Row],[User Impact]]</f>
        <v>2 - Serious</v>
      </c>
      <c r="AD312" s="34" t="str">
        <f>Copertina!C$2&amp;" - "&amp;Tabella4[[#This Row],[UNI CEI EN 301549]]&amp;" "&amp;VLOOKUP(Tabella4[[#This Row],[Criterio]],Tabella5[[ID]:[Criterio di successo]],2,FALSE)&amp;" - "&amp;Tabella4[[#This Row],[Servizio]]&amp;":"</f>
        <v>Insurance Brocker - 10.3.1.2 Parti in lingua - D004 RCA Poste Guidare Sicuri Linear:</v>
      </c>
      <c r="AE31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- 10.3.1.2 Parti in lingua - D004 RCA Poste Guidare Sicuri Linear: (#PDF0050)
D004 RCA Poste Guidare Sicuri Linear
Requisito: WCAG 3.1.2
Disabilità afflitte: Blind;Deafblind
Impatto Utente: 2 - Serious
Descrizione: Il linguaggio naturale del testo alternativo non può essere determinato - Il testo alternativo dell’immagine non ha la lingua dichiarata, impedendo ai lettori di schermo di applicare la corretta pronuncia. (https://www.w3.org/WAI/WCAG21/Techniques/general/G140)
Esempio di violazione individuata sull'oggetto: 
https://www.media.poste.it/66b83bec-c447-4992-ad0e-308ce8a6a2fa/file/PosteGuidareSicuri_LN_DIP -  con selettore: 
Dettaglio + screenshot (accedere con le seguenti credenziali: user, axeposte@gmail.com; password, Poste2024!): 
Possibile metodologia risolutiva:
Impostare la lingua del testo alternativo in modo coerente con la lingua del contenuto circostante. In Adobe Acrobat, modificare le proprietà dell’elemento e selezionare la lingua appropriata.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312">
        <f>_xlfn.XLOOKUP(Tabella4[[#This Row],[ID Silk]],outTable[ID Silk],outTable[Numero ticket  ],,0,1)</f>
        <v>5992</v>
      </c>
    </row>
    <row r="313" spans="1:32">
      <c r="A313" s="34" t="str">
        <f>MID(Tabella4[[#This Row],[Servizio]],1,4)&amp;Tabella4[[#This Row],[UNI CEI EN 301549]]</f>
        <v>D00510.1.3.1</v>
      </c>
      <c r="B313" s="34" t="str">
        <f>Tabella4[[#This Row],[ID Silk]]&amp;"_1"</f>
        <v>D00510.1.3.1_1</v>
      </c>
      <c r="C313" s="34" t="s">
        <v>1277</v>
      </c>
      <c r="D313" s="2" t="str">
        <f>"(#"&amp;Tabella4[[#This Row],['#ID]]&amp;")"</f>
        <v>(#PDF0051)</v>
      </c>
      <c r="E313" s="34" t="str">
        <f>IF(MID(Tabella4[[#This Row],['#ID]],1,1)="M","Mobile",IF(MID(Tabella4[[#This Row],['#ID]],1,1)="D","Desktop",IF(MID(Tabella4[[#This Row],['#ID]],1,2)="TM","Manuale","Documenti")))</f>
        <v>Documenti</v>
      </c>
      <c r="F313" s="34" t="s">
        <v>1005</v>
      </c>
      <c r="G313" s="34" t="s">
        <v>184</v>
      </c>
      <c r="H313" s="34" t="str">
        <f>IF(Tabella4[[#This Row],[Componente]]="Documenti","10.","9.")&amp;Tabella4[[#This Row],[Criterio]]</f>
        <v>10.1.3.1</v>
      </c>
      <c r="I313" s="34" t="s">
        <v>1023</v>
      </c>
      <c r="J313" t="s">
        <v>1008</v>
      </c>
      <c r="K313" s="19" t="s">
        <v>90</v>
      </c>
      <c r="L313" s="34" t="s">
        <v>1157</v>
      </c>
      <c r="M313" s="34" t="s">
        <v>1158</v>
      </c>
      <c r="N313" s="34"/>
      <c r="O313" s="34"/>
      <c r="P313" t="s">
        <v>475</v>
      </c>
      <c r="R313" s="34" t="str">
        <f>IF(Tabella4[[#This Row],[Componente]]="Documenti",_xlfn.XLOOKUP(Tabella4[[#This Row],[URL]],Tabella27[URL],Tabella27[PDF ID],,0),_xlfn.XLOOKUP(Tabella4[[#This Row],[URL]],Tabella1[URL],Tabella1[Page ID],,0))</f>
        <v>#P05</v>
      </c>
      <c r="S313" t="s">
        <v>1154</v>
      </c>
      <c r="T313" s="34"/>
      <c r="V313" s="34">
        <v>0</v>
      </c>
      <c r="W313" s="34" t="s">
        <v>1159</v>
      </c>
      <c r="X313" s="34">
        <f>IFERROR(IF(Tabella4[[#This Row],[Tool]]="lighthouse",Tabella4[[#This Row],[Detail]],MID(Tabella4[[#This Row],[Detail]],1,FIND("&gt;",Tabella4[[#This Row],[Detail]]))),Tabella4[[#This Row],[Detail]])</f>
        <v>0</v>
      </c>
      <c r="Y313" s="34" t="str">
        <f>SUBSTITUTE(IF(Tabella4[[#This Row],[Tool]]="axe-core",MID(Tabella4[[#This Row],[Rejected Element]],3,LEN(Tabella4[[#This Row],[Rejected Element]])-4),Tabella4[[#This Row],[Rejected Element]]),"\","")</f>
        <v/>
      </c>
      <c r="Z313" s="34">
        <f>COUNTIFS(Tabella4[Detail univoco],Tabella4[[#This Row],[Detail univoco]],Tabella4[Rejected Element Univoco],Tabella4[[#This Row],[Rejected Element Univoco]],Tabella4[ItemsNodeLabel],Tabella4[[#This Row],[ItemsNodeLabel]])</f>
        <v>0</v>
      </c>
      <c r="AA313" s="34" t="str">
        <f>IF(Tabella4[[#This Row],[Componente]]="Documenti",VLOOKUP(Tabella4[[#This Row],[URL]],Tabella27[[URL]:[Servizio]],4,FALSE),VLOOKUP(Tabella4[[#This Row],[Page ID]],Tabella1[[Page ID]:[Servizio]],4,FALSE))</f>
        <v>D005 Set informativo</v>
      </c>
      <c r="AB313" s="34"/>
      <c r="AC313" s="34" t="str">
        <f>Tabella4[[#This Row],[User Impact]]</f>
        <v>2 - Serious</v>
      </c>
      <c r="AD313" s="34" t="str">
        <f>Copertina!C$2&amp;" - "&amp;Tabella4[[#This Row],[UNI CEI EN 301549]]&amp;" "&amp;VLOOKUP(Tabella4[[#This Row],[Criterio]],Tabella5[[ID]:[Criterio di successo]],2,FALSE)&amp;" - "&amp;Tabella4[[#This Row],[Servizio]]&amp;":"</f>
        <v>Insurance Brocker - 10.1.3.1 Informazioni e correlazioni - D005 Set informativo:</v>
      </c>
      <c r="AE31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D005 Set informativo: (#PDF0051)
D005 Set informativo
Requisito: WCAG 1.3.1
Disabilità afflitte: Blind;Deafblind
Impatto Utente: 2 - Serious
Descrizione: Fornire intestazioni contrassegnando il contenuto con tag di intestazione nei documenti PDF  - Fornire intestazioni contrassegnando il contenuto con tag di intestazione nei documenti PDF (https://www.w3.org/WAI/WCAG22/Techniques/pdf/PDF9)
Esempio di violazione individuata sull'oggetto: 
https://www.media.poste.it/b782ad12-6195-4c88-be87-22554c8efa39/file/PosteGuidareSicuri_LN -  con selettore: 
Dettaglio + screenshot (accedere con le seguenti credenziali: user, axeposte@gmail.com; password, Poste2024!): 
Possibile metodologia risolutiva:
I documenti pdf devono avere gli heading correttamente marcati:
- Aggiungendo o modificando i tag heading su prodotti di modifica PDF
- Creando documenti in programmi Word usando lo styling corretto per la conversione in PDF
- Marcando gli heading usando elementi /Hn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313">
        <f>_xlfn.XLOOKUP(Tabella4[[#This Row],[ID Silk]],outTable[ID Silk],outTable[Numero ticket  ],,0,1)</f>
        <v>5996</v>
      </c>
    </row>
    <row r="314" spans="1:32">
      <c r="A314" s="34" t="str">
        <f>MID(Tabella4[[#This Row],[Servizio]],1,4)&amp;Tabella4[[#This Row],[UNI CEI EN 301549]]</f>
        <v>D00510.2.4.2</v>
      </c>
      <c r="B314" s="34" t="str">
        <f>Tabella4[[#This Row],[ID Silk]]&amp;"_1"</f>
        <v>D00510.2.4.2_1</v>
      </c>
      <c r="C314" s="34" t="s">
        <v>1278</v>
      </c>
      <c r="D314" s="2" t="str">
        <f>"(#"&amp;Tabella4[[#This Row],['#ID]]&amp;")"</f>
        <v>(#PDF0052)</v>
      </c>
      <c r="E314" s="34" t="str">
        <f>IF(MID(Tabella4[[#This Row],['#ID]],1,1)="M","Mobile",IF(MID(Tabella4[[#This Row],['#ID]],1,1)="D","Desktop",IF(MID(Tabella4[[#This Row],['#ID]],1,2)="TM","Manuale","Documenti")))</f>
        <v>Documenti</v>
      </c>
      <c r="F314" s="34" t="s">
        <v>1005</v>
      </c>
      <c r="G314" s="34" t="s">
        <v>302</v>
      </c>
      <c r="H314" s="34" t="str">
        <f>IF(Tabella4[[#This Row],[Componente]]="Documenti","10.","9.")&amp;Tabella4[[#This Row],[Criterio]]</f>
        <v>10.2.4.2</v>
      </c>
      <c r="I314" s="34" t="s">
        <v>1023</v>
      </c>
      <c r="J314" t="s">
        <v>1008</v>
      </c>
      <c r="K314" s="19" t="s">
        <v>1081</v>
      </c>
      <c r="L314" s="34" t="s">
        <v>1165</v>
      </c>
      <c r="M314" s="34" t="s">
        <v>1166</v>
      </c>
      <c r="N314" s="34"/>
      <c r="O314" s="34"/>
      <c r="P314" t="s">
        <v>475</v>
      </c>
      <c r="R314" s="34" t="str">
        <f>IF(Tabella4[[#This Row],[Componente]]="Documenti",_xlfn.XLOOKUP(Tabella4[[#This Row],[URL]],Tabella27[URL],Tabella27[PDF ID],,0),_xlfn.XLOOKUP(Tabella4[[#This Row],[URL]],Tabella1[URL],Tabella1[Page ID],,0))</f>
        <v>#P05</v>
      </c>
      <c r="S314" t="s">
        <v>1154</v>
      </c>
      <c r="T314" s="34"/>
      <c r="V314" s="34" t="s">
        <v>1167</v>
      </c>
      <c r="W314" s="34" t="s">
        <v>1167</v>
      </c>
      <c r="X314" s="34">
        <f>IFERROR(IF(Tabella4[[#This Row],[Tool]]="lighthouse",Tabella4[[#This Row],[Detail]],MID(Tabella4[[#This Row],[Detail]],1,FIND("&gt;",Tabella4[[#This Row],[Detail]]))),Tabella4[[#This Row],[Detail]])</f>
        <v>0</v>
      </c>
      <c r="Y314" s="34" t="str">
        <f>SUBSTITUTE(IF(Tabella4[[#This Row],[Tool]]="axe-core",MID(Tabella4[[#This Row],[Rejected Element]],3,LEN(Tabella4[[#This Row],[Rejected Element]])-4),Tabella4[[#This Row],[Rejected Element]]),"\","")</f>
        <v/>
      </c>
      <c r="Z314" s="34">
        <f>COUNTIFS(Tabella4[Detail univoco],Tabella4[[#This Row],[Detail univoco]],Tabella4[Rejected Element Univoco],Tabella4[[#This Row],[Rejected Element Univoco]],Tabella4[ItemsNodeLabel],Tabella4[[#This Row],[ItemsNodeLabel]])</f>
        <v>0</v>
      </c>
      <c r="AA314" s="34" t="str">
        <f>IF(Tabella4[[#This Row],[Componente]]="Documenti",VLOOKUP(Tabella4[[#This Row],[URL]],Tabella27[[URL]:[Servizio]],4,FALSE),VLOOKUP(Tabella4[[#This Row],[Page ID]],Tabella1[[Page ID]:[Servizio]],4,FALSE))</f>
        <v>D005 Set informativo</v>
      </c>
      <c r="AB314" s="34"/>
      <c r="AC314" s="34" t="str">
        <f>Tabella4[[#This Row],[User Impact]]</f>
        <v>2 - Serious</v>
      </c>
      <c r="AD314" s="34" t="str">
        <f>Copertina!C$2&amp;" - "&amp;Tabella4[[#This Row],[UNI CEI EN 301549]]&amp;" "&amp;VLOOKUP(Tabella4[[#This Row],[Criterio]],Tabella5[[ID]:[Criterio di successo]],2,FALSE)&amp;" - "&amp;Tabella4[[#This Row],[Servizio]]&amp;":"</f>
        <v>Insurance Brocker - 10.2.4.2 Titolazione della pagina - D005 Set informativo:</v>
      </c>
      <c r="AE31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D005 Set informativo: (#PDF0052)
D005 Set informativo
Requisito: WCAG 2.4.2
Disabilità afflitte: Blind;Deafblind
Impatto Utente: 2 - Serious
Descrizione: Specificare il titolo del documento utilizzando la voce Titolo nel dizionario delle informazioni di un documento PDF  - Specificare il titolo del documento utilizzando la voce Titolo nel dizionario delle informazioni di un documento PDF (https://www.w3.org/WAI/WCAG22/Techniques/pdf/PDF18)
Esempio di violazione individuata sull'oggetto: 
https://www.media.poste.it/b782ad12-6195-4c88-be87-22554c8efa39/file/PosteGuidareSicuri_LN -  con selettore: 
Dettaglio + screenshot (accedere con le seguenti credenziali: user, axeposte@gmail.com; password, Poste2024!): 
Possibile metodologia risolutiva:
Imposta il nuovo titolo PDF
File di log (occorrenze rilevate: 2):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314">
        <f>_xlfn.XLOOKUP(Tabella4[[#This Row],[ID Silk]],outTable[ID Silk],outTable[Numero ticket  ],,0,1)</f>
        <v>6000</v>
      </c>
    </row>
    <row r="315" spans="1:32">
      <c r="A315" s="34" t="str">
        <f>MID(Tabella4[[#This Row],[Servizio]],1,4)&amp;Tabella4[[#This Row],[UNI CEI EN 301549]]</f>
        <v>D00510.1.1.1</v>
      </c>
      <c r="B315" s="34" t="str">
        <f>Tabella4[[#This Row],[ID Silk]]&amp;"_1"</f>
        <v>D00510.1.1.1_1</v>
      </c>
      <c r="C315" s="34" t="s">
        <v>1279</v>
      </c>
      <c r="D315" s="2" t="str">
        <f>"(#"&amp;Tabella4[[#This Row],['#ID]]&amp;")"</f>
        <v>(#PDF0053)</v>
      </c>
      <c r="E315" s="34" t="str">
        <f>IF(MID(Tabella4[[#This Row],['#ID]],1,1)="M","Mobile",IF(MID(Tabella4[[#This Row],['#ID]],1,1)="D","Desktop",IF(MID(Tabella4[[#This Row],['#ID]],1,2)="TM","Manuale","Documenti")))</f>
        <v>Documenti</v>
      </c>
      <c r="F315" s="34" t="s">
        <v>1005</v>
      </c>
      <c r="G315" s="34" t="s">
        <v>124</v>
      </c>
      <c r="H315" s="34" t="str">
        <f>IF(Tabella4[[#This Row],[Componente]]="Documenti","10.","9.")&amp;Tabella4[[#This Row],[Criterio]]</f>
        <v>10.1.1.1</v>
      </c>
      <c r="I315" s="34" t="s">
        <v>1023</v>
      </c>
      <c r="J315" t="s">
        <v>1008</v>
      </c>
      <c r="K315" s="19" t="s">
        <v>1127</v>
      </c>
      <c r="L315" s="34" t="s">
        <v>1213</v>
      </c>
      <c r="M315" s="34" t="s">
        <v>1214</v>
      </c>
      <c r="N315" s="34"/>
      <c r="O315" s="34"/>
      <c r="P315" t="s">
        <v>475</v>
      </c>
      <c r="R315" s="34" t="str">
        <f>IF(Tabella4[[#This Row],[Componente]]="Documenti",_xlfn.XLOOKUP(Tabella4[[#This Row],[URL]],Tabella27[URL],Tabella27[PDF ID],,0),_xlfn.XLOOKUP(Tabella4[[#This Row],[URL]],Tabella1[URL],Tabella1[Page ID],,0))</f>
        <v>#P05</v>
      </c>
      <c r="S315" t="s">
        <v>93</v>
      </c>
      <c r="T315" s="34"/>
      <c r="V315" s="34">
        <v>0</v>
      </c>
      <c r="W315" s="34" t="s">
        <v>1215</v>
      </c>
      <c r="X315" s="34">
        <f>IFERROR(IF(Tabella4[[#This Row],[Tool]]="lighthouse",Tabella4[[#This Row],[Detail]],MID(Tabella4[[#This Row],[Detail]],1,FIND("&gt;",Tabella4[[#This Row],[Detail]]))),Tabella4[[#This Row],[Detail]])</f>
        <v>0</v>
      </c>
      <c r="Y315" s="34" t="str">
        <f>SUBSTITUTE(IF(Tabella4[[#This Row],[Tool]]="axe-core",MID(Tabella4[[#This Row],[Rejected Element]],3,LEN(Tabella4[[#This Row],[Rejected Element]])-4),Tabella4[[#This Row],[Rejected Element]]),"\","")</f>
        <v/>
      </c>
      <c r="Z315" s="34">
        <f>COUNTIFS(Tabella4[Detail univoco],Tabella4[[#This Row],[Detail univoco]],Tabella4[Rejected Element Univoco],Tabella4[[#This Row],[Rejected Element Univoco]],Tabella4[ItemsNodeLabel],Tabella4[[#This Row],[ItemsNodeLabel]])</f>
        <v>0</v>
      </c>
      <c r="AA315" s="34" t="str">
        <f>IF(Tabella4[[#This Row],[Componente]]="Documenti",VLOOKUP(Tabella4[[#This Row],[URL]],Tabella27[[URL]:[Servizio]],4,FALSE),VLOOKUP(Tabella4[[#This Row],[Page ID]],Tabella1[[Page ID]:[Servizio]],4,FALSE))</f>
        <v>D005 Set informativo</v>
      </c>
      <c r="AB315" s="34"/>
      <c r="AC315" s="34" t="str">
        <f>Tabella4[[#This Row],[User Impact]]</f>
        <v>2 - Serious</v>
      </c>
      <c r="AD315" s="34" t="str">
        <f>Copertina!C$2&amp;" - "&amp;Tabella4[[#This Row],[UNI CEI EN 301549]]&amp;" "&amp;VLOOKUP(Tabella4[[#This Row],[Criterio]],Tabella5[[ID]:[Criterio di successo]],2,FALSE)&amp;" - "&amp;Tabella4[[#This Row],[Servizio]]&amp;":"</f>
        <v>Insurance Brocker - 10.1.1.1 Contenuti non testuali - D005 Set informativo:</v>
      </c>
      <c r="AE31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- 10.1.1.1 Contenuti non testuali - D005 Set informativo: (#PDF0053)
D005 Set informativo
Requisito: WCAG 1.1.1
Disabilità afflitte: Blind;Deafblind
Impatto Utente: 2 - Serious
Descrizione: Testo alternativo mancante per l'elemento struttura "Figura" - Testo alternativo mancante per l'elemento struttura "Figura" (https://www.w3.org/WAI/WCAG21/Techniques/html/H37)
Esempio di violazione individuata sull'oggetto: 
https://www.media.poste.it/b782ad12-6195-4c88-be87-22554c8efa39/file/PosteGuidareSicuri_LN -  con selettore: 
Dettaglio + screenshot (accedere con le seguenti credenziali: user, axeposte@gmail.com; password, Poste2024!): 
Possibile metodologia risolutiva:
Fornire testo alternativo descrittivo per ogni elemento "Figure" in modo che sia comprensibile tramite lettori di schermo. È possibile aggiungere il testo alternativo in Adobe Acrobat andando su Strumenti &gt; Accessibilità &gt; Modifica testo alternativo.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315">
        <f>_xlfn.XLOOKUP(Tabella4[[#This Row],[ID Silk]],outTable[ID Silk],outTable[Numero ticket  ],,0,1)</f>
        <v>5994</v>
      </c>
    </row>
    <row r="316" spans="1:32">
      <c r="A316" s="34" t="str">
        <f>MID(Tabella4[[#This Row],[Servizio]],1,4)&amp;Tabella4[[#This Row],[UNI CEI EN 301549]]</f>
        <v>D00510.1.1.1</v>
      </c>
      <c r="B316" s="34" t="str">
        <f>Tabella4[[#This Row],[ID Silk]]&amp;"_1"</f>
        <v>D00510.1.1.1_1</v>
      </c>
      <c r="C316" s="34" t="s">
        <v>1280</v>
      </c>
      <c r="D316" s="2" t="str">
        <f>"(#"&amp;Tabella4[[#This Row],['#ID]]&amp;")"</f>
        <v>(#PDF0054)</v>
      </c>
      <c r="E316" s="34" t="str">
        <f>IF(MID(Tabella4[[#This Row],['#ID]],1,1)="M","Mobile",IF(MID(Tabella4[[#This Row],['#ID]],1,1)="D","Desktop",IF(MID(Tabella4[[#This Row],['#ID]],1,2)="TM","Manuale","Documenti")))</f>
        <v>Documenti</v>
      </c>
      <c r="F316" s="34" t="s">
        <v>1005</v>
      </c>
      <c r="G316" s="34" t="s">
        <v>124</v>
      </c>
      <c r="H316" s="34" t="str">
        <f>IF(Tabella4[[#This Row],[Componente]]="Documenti","10.","9.")&amp;Tabella4[[#This Row],[Criterio]]</f>
        <v>10.1.1.1</v>
      </c>
      <c r="I316" s="34" t="s">
        <v>1023</v>
      </c>
      <c r="J316" t="s">
        <v>1008</v>
      </c>
      <c r="K316" s="19" t="s">
        <v>1142</v>
      </c>
      <c r="L316" s="34" t="s">
        <v>1225</v>
      </c>
      <c r="M316" s="34" t="s">
        <v>1226</v>
      </c>
      <c r="N316" s="34"/>
      <c r="O316" s="34"/>
      <c r="P316" t="s">
        <v>475</v>
      </c>
      <c r="R316" s="34" t="str">
        <f>IF(Tabella4[[#This Row],[Componente]]="Documenti",_xlfn.XLOOKUP(Tabella4[[#This Row],[URL]],Tabella27[URL],Tabella27[PDF ID],,0),_xlfn.XLOOKUP(Tabella4[[#This Row],[URL]],Tabella1[URL],Tabella1[Page ID],,0))</f>
        <v>#P05</v>
      </c>
      <c r="S316" t="s">
        <v>93</v>
      </c>
      <c r="T316" s="34"/>
      <c r="V316" s="34">
        <v>0</v>
      </c>
      <c r="W316" s="34" t="s">
        <v>1227</v>
      </c>
      <c r="X316" s="34">
        <f>IFERROR(IF(Tabella4[[#This Row],[Tool]]="lighthouse",Tabella4[[#This Row],[Detail]],MID(Tabella4[[#This Row],[Detail]],1,FIND("&gt;",Tabella4[[#This Row],[Detail]]))),Tabella4[[#This Row],[Detail]])</f>
        <v>0</v>
      </c>
      <c r="Y316" s="34" t="str">
        <f>SUBSTITUTE(IF(Tabella4[[#This Row],[Tool]]="axe-core",MID(Tabella4[[#This Row],[Rejected Element]],3,LEN(Tabella4[[#This Row],[Rejected Element]])-4),Tabella4[[#This Row],[Rejected Element]]),"\","")</f>
        <v/>
      </c>
      <c r="Z316" s="34">
        <f>COUNTIFS(Tabella4[Detail univoco],Tabella4[[#This Row],[Detail univoco]],Tabella4[Rejected Element Univoco],Tabella4[[#This Row],[Rejected Element Univoco]],Tabella4[ItemsNodeLabel],Tabella4[[#This Row],[ItemsNodeLabel]])</f>
        <v>0</v>
      </c>
      <c r="AA316" s="34" t="str">
        <f>IF(Tabella4[[#This Row],[Componente]]="Documenti",VLOOKUP(Tabella4[[#This Row],[URL]],Tabella27[[URL]:[Servizio]],4,FALSE),VLOOKUP(Tabella4[[#This Row],[Page ID]],Tabella1[[Page ID]:[Servizio]],4,FALSE))</f>
        <v>D005 Set informativo</v>
      </c>
      <c r="AB316" s="34"/>
      <c r="AC316" s="34" t="str">
        <f>Tabella4[[#This Row],[User Impact]]</f>
        <v>2 - Serious</v>
      </c>
      <c r="AD316" s="34" t="str">
        <f>Copertina!C$2&amp;" - "&amp;Tabella4[[#This Row],[UNI CEI EN 301549]]&amp;" "&amp;VLOOKUP(Tabella4[[#This Row],[Criterio]],Tabella5[[ID]:[Criterio di successo]],2,FALSE)&amp;" - "&amp;Tabella4[[#This Row],[Servizio]]&amp;":"</f>
        <v>Insurance Brocker - 10.1.1.1 Contenuti non testuali - D005 Set informativo:</v>
      </c>
      <c r="AE31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- 10.1.1.1 Contenuti non testuali - D005 Set informativo: (#PDF0054)
D005 Set informativo
Requisito: WCAG 1.1.1
Disabilità afflitte: Blind;Deafblind
Impatto Utente: 2 - Serious
Descrizione: Descrizione alternativa mancante per un'annotazione - Descrizione alternativa mancante per un'annotazione (https://www.w3.org/WAI/WCAG22/Techniques/html/H30.html)
Esempio di violazione individuata sull'oggetto: 
https://www.media.poste.it/b782ad12-6195-4c88-be87-22554c8efa39/file/PosteGuidareSicuri_LN -  con selettore: 
Dettaglio + screenshot (accedere con le seguenti credenziali: user, axeposte@gmail.com; password, Poste2024!): 
Possibile metodologia risolutiva:
Quando un'immagine è l'unico contenuto di un link, il testo alternativo per l'immagine descrive la funzione unica del link.
Quando il contenuto di un link contiene sia testo che una o più immagini, se il testo è sufficiente a descrivere lo scopo del link, le immagini possono avere un'alternativa di testo vuota.
File di log (occorrenze rilevate: 2): https://posteitaliane.sharepoint.com/:x:/r/teams/ACCESSIBILITRISULTATIVERIFICHETECNICHE-PORTALEIMMIGRAZIONE/Shared%20Documents/PORTALE%20IMMIGRAZIONE/LOG/Log_2411.xlsx?d=wce770a595441461abc11f2c139111c73&amp;csf=1&amp;web=1&amp;e=tpdJfo
Link al dettaglio requisito WCAG: </v>
      </c>
      <c r="AF316">
        <f>_xlfn.XLOOKUP(Tabella4[[#This Row],[ID Silk]],outTable[ID Silk],outTable[Numero ticket  ],,0,1)</f>
        <v>5994</v>
      </c>
    </row>
    <row r="317" spans="1:32">
      <c r="A317" s="34" t="str">
        <f>MID(Tabella4[[#This Row],[Servizio]],1,4)&amp;Tabella4[[#This Row],[UNI CEI EN 301549]]</f>
        <v>D00510.1.3.1</v>
      </c>
      <c r="B317" s="34" t="str">
        <f>Tabella4[[#This Row],[ID Silk]]&amp;"_1"</f>
        <v>D00510.1.3.1_1</v>
      </c>
      <c r="C317" s="34" t="s">
        <v>1281</v>
      </c>
      <c r="D317" s="2" t="str">
        <f>"(#"&amp;Tabella4[[#This Row],['#ID]]&amp;")"</f>
        <v>(#PDF0055)</v>
      </c>
      <c r="E317" s="34" t="str">
        <f>IF(MID(Tabella4[[#This Row],['#ID]],1,1)="M","Mobile",IF(MID(Tabella4[[#This Row],['#ID]],1,1)="D","Desktop",IF(MID(Tabella4[[#This Row],['#ID]],1,2)="TM","Manuale","Documenti")))</f>
        <v>Documenti</v>
      </c>
      <c r="F317" s="34" t="s">
        <v>1005</v>
      </c>
      <c r="G317" s="34" t="s">
        <v>184</v>
      </c>
      <c r="H317" s="34" t="str">
        <f>IF(Tabella4[[#This Row],[Componente]]="Documenti","10.","9.")&amp;Tabella4[[#This Row],[Criterio]]</f>
        <v>10.1.3.1</v>
      </c>
      <c r="I317" s="34" t="s">
        <v>1023</v>
      </c>
      <c r="J317" t="s">
        <v>1169</v>
      </c>
      <c r="K317" s="19" t="s">
        <v>1128</v>
      </c>
      <c r="L317" s="34" t="s">
        <v>1217</v>
      </c>
      <c r="M317" s="34" t="s">
        <v>1218</v>
      </c>
      <c r="N317" s="34"/>
      <c r="O317" s="34"/>
      <c r="P317" t="s">
        <v>475</v>
      </c>
      <c r="R317" s="34" t="str">
        <f>IF(Tabella4[[#This Row],[Componente]]="Documenti",_xlfn.XLOOKUP(Tabella4[[#This Row],[URL]],Tabella27[URL],Tabella27[PDF ID],,0),_xlfn.XLOOKUP(Tabella4[[#This Row],[URL]],Tabella1[URL],Tabella1[Page ID],,0))</f>
        <v>#P05</v>
      </c>
      <c r="S317" t="s">
        <v>93</v>
      </c>
      <c r="T317" s="34"/>
      <c r="V317" s="34">
        <v>0</v>
      </c>
      <c r="W317" s="34" t="s">
        <v>1219</v>
      </c>
      <c r="X317" s="34">
        <f>IFERROR(IF(Tabella4[[#This Row],[Tool]]="lighthouse",Tabella4[[#This Row],[Detail]],MID(Tabella4[[#This Row],[Detail]],1,FIND("&gt;",Tabella4[[#This Row],[Detail]]))),Tabella4[[#This Row],[Detail]])</f>
        <v>0</v>
      </c>
      <c r="Y317" s="34" t="str">
        <f>SUBSTITUTE(IF(Tabella4[[#This Row],[Tool]]="axe-core",MID(Tabella4[[#This Row],[Rejected Element]],3,LEN(Tabella4[[#This Row],[Rejected Element]])-4),Tabella4[[#This Row],[Rejected Element]]),"\","")</f>
        <v/>
      </c>
      <c r="Z317" s="34">
        <f>COUNTIFS(Tabella4[Detail univoco],Tabella4[[#This Row],[Detail univoco]],Tabella4[Rejected Element Univoco],Tabella4[[#This Row],[Rejected Element Univoco]],Tabella4[ItemsNodeLabel],Tabella4[[#This Row],[ItemsNodeLabel]])</f>
        <v>0</v>
      </c>
      <c r="AA317" s="34" t="str">
        <f>IF(Tabella4[[#This Row],[Componente]]="Documenti",VLOOKUP(Tabella4[[#This Row],[URL]],Tabella27[[URL]:[Servizio]],4,FALSE),VLOOKUP(Tabella4[[#This Row],[Page ID]],Tabella1[[Page ID]:[Servizio]],4,FALSE))</f>
        <v>D005 Set informativo</v>
      </c>
      <c r="AB317" s="34"/>
      <c r="AC317" s="34" t="str">
        <f>Tabella4[[#This Row],[User Impact]]</f>
        <v>2 - Serious</v>
      </c>
      <c r="AD317" s="34" t="str">
        <f>Copertina!C$2&amp;" - "&amp;Tabella4[[#This Row],[UNI CEI EN 301549]]&amp;" "&amp;VLOOKUP(Tabella4[[#This Row],[Criterio]],Tabella5[[ID]:[Criterio di successo]],2,FALSE)&amp;" - "&amp;Tabella4[[#This Row],[Servizio]]&amp;":"</f>
        <v>Insurance Brocker - 10.1.3.1 Informazioni e correlazioni - D005 Set informativo:</v>
      </c>
      <c r="AE31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D005 Set informativo: (#PDF0055)
D005 Set informativo
Requisito: WCAG 1.3.1
Disabilità afflitte: Blind;Cognitive;Deafblind
Impatto Utente: 2 - Serious
Descrizione: Cella di intestazione della tabella senza celle associate - Cella di intestazione della tabella senza celle associate (https://www.w3.org/WAI/WCAG21/Techniques/html/H63)
Esempio di violazione individuata sull'oggetto: 
https://www.media.poste.it/b782ad12-6195-4c88-be87-22554c8efa39/file/PosteGuidareSicuri_LN -  con selettore: 
Dettaglio + screenshot (accedere con le seguenti credenziali: user, axeposte@gmail.com; password, Poste2024!): 
Possibile metodologia risolutiva:
Associare ciascuna cella di intestazione alle celle di dati corrispondenti utilizzando attributi scope o id. In Acrobat, aggiungere tag di intestazione nella struttura della tabella.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317">
        <f>_xlfn.XLOOKUP(Tabella4[[#This Row],[ID Silk]],outTable[ID Silk],outTable[Numero ticket  ],,0,1)</f>
        <v>5996</v>
      </c>
    </row>
    <row r="318" spans="1:32">
      <c r="A318" s="34" t="str">
        <f>MID(Tabella4[[#This Row],[Servizio]],1,4)&amp;Tabella4[[#This Row],[UNI CEI EN 301549]]</f>
        <v>D00510.1.3.1</v>
      </c>
      <c r="B318" s="34" t="str">
        <f>Tabella4[[#This Row],[ID Silk]]&amp;"_1"</f>
        <v>D00510.1.3.1_1</v>
      </c>
      <c r="C318" s="34" t="s">
        <v>1282</v>
      </c>
      <c r="D318" s="2" t="str">
        <f>"(#"&amp;Tabella4[[#This Row],['#ID]]&amp;")"</f>
        <v>(#PDF0056)</v>
      </c>
      <c r="E318" s="34" t="str">
        <f>IF(MID(Tabella4[[#This Row],['#ID]],1,1)="M","Mobile",IF(MID(Tabella4[[#This Row],['#ID]],1,1)="D","Desktop",IF(MID(Tabella4[[#This Row],['#ID]],1,2)="TM","Manuale","Documenti")))</f>
        <v>Documenti</v>
      </c>
      <c r="F318" s="34" t="s">
        <v>1005</v>
      </c>
      <c r="G318" s="34" t="s">
        <v>184</v>
      </c>
      <c r="H318" s="34" t="str">
        <f>IF(Tabella4[[#This Row],[Componente]]="Documenti","10.","9.")&amp;Tabella4[[#This Row],[Criterio]]</f>
        <v>10.1.3.1</v>
      </c>
      <c r="I318" s="34" t="s">
        <v>1036</v>
      </c>
      <c r="J318" t="s">
        <v>1008</v>
      </c>
      <c r="K318" s="19" t="s">
        <v>1102</v>
      </c>
      <c r="L318" s="34" t="s">
        <v>1209</v>
      </c>
      <c r="M318" s="34" t="s">
        <v>1210</v>
      </c>
      <c r="N318" s="34"/>
      <c r="O318" s="34"/>
      <c r="P318" t="s">
        <v>475</v>
      </c>
      <c r="R318" s="34" t="str">
        <f>IF(Tabella4[[#This Row],[Componente]]="Documenti",_xlfn.XLOOKUP(Tabella4[[#This Row],[URL]],Tabella27[URL],Tabella27[PDF ID],,0),_xlfn.XLOOKUP(Tabella4[[#This Row],[URL]],Tabella1[URL],Tabella1[Page ID],,0))</f>
        <v>#P05</v>
      </c>
      <c r="S318" t="s">
        <v>93</v>
      </c>
      <c r="T318" s="34"/>
      <c r="V318" s="34">
        <v>0</v>
      </c>
      <c r="W318" s="34" t="s">
        <v>1211</v>
      </c>
      <c r="X318" s="34">
        <f>IFERROR(IF(Tabella4[[#This Row],[Tool]]="lighthouse",Tabella4[[#This Row],[Detail]],MID(Tabella4[[#This Row],[Detail]],1,FIND("&gt;",Tabella4[[#This Row],[Detail]]))),Tabella4[[#This Row],[Detail]])</f>
        <v>0</v>
      </c>
      <c r="Y318" s="34" t="str">
        <f>SUBSTITUTE(IF(Tabella4[[#This Row],[Tool]]="axe-core",MID(Tabella4[[#This Row],[Rejected Element]],3,LEN(Tabella4[[#This Row],[Rejected Element]])-4),Tabella4[[#This Row],[Rejected Element]]),"\","")</f>
        <v/>
      </c>
      <c r="Z318" s="34">
        <f>COUNTIFS(Tabella4[Detail univoco],Tabella4[[#This Row],[Detail univoco]],Tabella4[Rejected Element Univoco],Tabella4[[#This Row],[Rejected Element Univoco]],Tabella4[ItemsNodeLabel],Tabella4[[#This Row],[ItemsNodeLabel]])</f>
        <v>0</v>
      </c>
      <c r="AA318" s="34" t="str">
        <f>IF(Tabella4[[#This Row],[Componente]]="Documenti",VLOOKUP(Tabella4[[#This Row],[URL]],Tabella27[[URL]:[Servizio]],4,FALSE),VLOOKUP(Tabella4[[#This Row],[Page ID]],Tabella1[[Page ID]:[Servizio]],4,FALSE))</f>
        <v>D005 Set informativo</v>
      </c>
      <c r="AB318" s="34"/>
      <c r="AC318" s="34" t="str">
        <f>Tabella4[[#This Row],[User Impact]]</f>
        <v>3 - Moderate</v>
      </c>
      <c r="AD318" s="34" t="str">
        <f>Copertina!C$2&amp;" - "&amp;Tabella4[[#This Row],[UNI CEI EN 301549]]&amp;" "&amp;VLOOKUP(Tabella4[[#This Row],[Criterio]],Tabella5[[ID]:[Criterio di successo]],2,FALSE)&amp;" - "&amp;Tabella4[[#This Row],[Servizio]]&amp;":"</f>
        <v>Insurance Brocker - 10.1.3.1 Informazioni e correlazioni - D005 Set informativo:</v>
      </c>
      <c r="AE31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- 10.1.3.1 Informazioni e correlazioni - D005 Set informativo: (#PDF0056)
D005 Set informativo
Requisito: WCAG 1.3.1
Disabilità afflitte: Blind;Deafblind
Impatto Utente: 3 - Moderate
Descrizione: Font non incorporato - Font non incorporato (https://www.w3.org/WAI/WCAG22/Techniques/general/G117.html)
Esempio di violazione individuata sull'oggetto: 
https://www.media.poste.it/b782ad12-6195-4c88-be87-22554c8efa39/file/PosteGuidareSicuri_LN -  con selettore: 
Dettaglio + screenshot (accedere con le seguenti credenziali: user, axeposte@gmail.com; password, Poste2024!): 
Possibile metodologia risolutiva:
Non comunicare informazioni solo tramite cambi visivi. Utilizzare font, bold face, font size, underline e altri attributi di testo necessita che le informazioni comunicate visivamente debbano essere comunicate altrove anche via testo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https://posteitaliane.sharepoint.com/:w:/r/teams/ACCESSIBILITRISULTATIVERIFICHETECNICHE/Shared%20Documents/Generale/SCHEDE_REQUISITI/10.1.3.1%20Informazioni%20e%20correlazioni.docx?d=w16f7613ad3554851b2c89a5ca010a7a2&amp;csf=1&amp;web=1&amp;e=AFWDmi</v>
      </c>
      <c r="AF318">
        <f>_xlfn.XLOOKUP(Tabella4[[#This Row],[ID Silk]],outTable[ID Silk],outTable[Numero ticket  ],,0,1)</f>
        <v>5996</v>
      </c>
    </row>
    <row r="319" spans="1:32">
      <c r="A319" s="34" t="str">
        <f>MID(Tabella4[[#This Row],[Servizio]],1,4)&amp;Tabella4[[#This Row],[UNI CEI EN 301549]]</f>
        <v>D00510.1.4.3</v>
      </c>
      <c r="B319" s="34" t="str">
        <f>Tabella4[[#This Row],[ID Silk]]&amp;"_1"</f>
        <v>D00510.1.4.3_1</v>
      </c>
      <c r="C319" s="34" t="s">
        <v>1283</v>
      </c>
      <c r="D319" s="2" t="str">
        <f>"(#"&amp;Tabella4[[#This Row],['#ID]]&amp;")"</f>
        <v>(#PDF0057)</v>
      </c>
      <c r="E319" s="34" t="str">
        <f>IF(MID(Tabella4[[#This Row],['#ID]],1,1)="M","Mobile",IF(MID(Tabella4[[#This Row],['#ID]],1,1)="D","Desktop",IF(MID(Tabella4[[#This Row],['#ID]],1,2)="TM","Manuale","Documenti")))</f>
        <v>Documenti</v>
      </c>
      <c r="F319" s="34" t="s">
        <v>1006</v>
      </c>
      <c r="G319" s="34" t="s">
        <v>228</v>
      </c>
      <c r="H319" s="34" t="str">
        <f>IF(Tabella4[[#This Row],[Componente]]="Documenti","10.","9.")&amp;Tabella4[[#This Row],[Criterio]]</f>
        <v>10.1.4.3</v>
      </c>
      <c r="I319" s="34" t="s">
        <v>1023</v>
      </c>
      <c r="J319" t="s">
        <v>1169</v>
      </c>
      <c r="K319" s="19" t="s">
        <v>1086</v>
      </c>
      <c r="L319" s="34" t="s">
        <v>1187</v>
      </c>
      <c r="M319" s="34" t="s">
        <v>1188</v>
      </c>
      <c r="N319" s="34"/>
      <c r="O319" s="34"/>
      <c r="P319" t="s">
        <v>475</v>
      </c>
      <c r="R319" s="34" t="str">
        <f>IF(Tabella4[[#This Row],[Componente]]="Documenti",_xlfn.XLOOKUP(Tabella4[[#This Row],[URL]],Tabella27[URL],Tabella27[PDF ID],,0),_xlfn.XLOOKUP(Tabella4[[#This Row],[URL]],Tabella1[URL],Tabella1[Page ID],,0))</f>
        <v>#P05</v>
      </c>
      <c r="S319" t="s">
        <v>93</v>
      </c>
      <c r="T319" s="34"/>
      <c r="V319" s="34">
        <v>0</v>
      </c>
      <c r="W319" s="34" t="s">
        <v>1189</v>
      </c>
      <c r="X319" s="34">
        <f>IFERROR(IF(Tabella4[[#This Row],[Tool]]="lighthouse",Tabella4[[#This Row],[Detail]],MID(Tabella4[[#This Row],[Detail]],1,FIND("&gt;",Tabella4[[#This Row],[Detail]]))),Tabella4[[#This Row],[Detail]])</f>
        <v>0</v>
      </c>
      <c r="Y319" s="34" t="str">
        <f>SUBSTITUTE(IF(Tabella4[[#This Row],[Tool]]="axe-core",MID(Tabella4[[#This Row],[Rejected Element]],3,LEN(Tabella4[[#This Row],[Rejected Element]])-4),Tabella4[[#This Row],[Rejected Element]]),"\","")</f>
        <v/>
      </c>
      <c r="Z319" s="34">
        <f>COUNTIFS(Tabella4[Detail univoco],Tabella4[[#This Row],[Detail univoco]],Tabella4[Rejected Element Univoco],Tabella4[[#This Row],[Rejected Element Univoco]],Tabella4[ItemsNodeLabel],Tabella4[[#This Row],[ItemsNodeLabel]])</f>
        <v>0</v>
      </c>
      <c r="AA319" s="34" t="str">
        <f>IF(Tabella4[[#This Row],[Componente]]="Documenti",VLOOKUP(Tabella4[[#This Row],[URL]],Tabella27[[URL]:[Servizio]],4,FALSE),VLOOKUP(Tabella4[[#This Row],[Page ID]],Tabella1[[Page ID]:[Servizio]],4,FALSE))</f>
        <v>D005 Set informativo</v>
      </c>
      <c r="AB319" s="34"/>
      <c r="AC319" s="34" t="str">
        <f>Tabella4[[#This Row],[User Impact]]</f>
        <v>2 - Serious</v>
      </c>
      <c r="AD319" s="34" t="str">
        <f>Copertina!C$2&amp;" - "&amp;Tabella4[[#This Row],[UNI CEI EN 301549]]&amp;" "&amp;VLOOKUP(Tabella4[[#This Row],[Criterio]],Tabella5[[ID]:[Criterio di successo]],2,FALSE)&amp;" - "&amp;Tabella4[[#This Row],[Servizio]]&amp;":"</f>
        <v>Insurance Brocker - 10.1.4.3 Contrasto (minimo) - D005 Set informativo:</v>
      </c>
      <c r="AE31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- 10.1.4.3 Contrasto (minimo) - D005 Set informativo: (#PDF0057)
D005 Set informativo
Requisito: WCAG 1.4.3
Disabilità afflitte: Blind;Cognitive;Deafblind
Impatto Utente: 2 - Serious
Descrizione: Testo con contrasto insufficiente - Testo con contrasto insufficiente (https://www.w3.org/WAI/WCAG21/Techniques/general/G18)
Esempio di violazione individuata sull'oggetto: 
https://www.media.poste.it/b782ad12-6195-4c88-be87-22554c8efa39/file/PosteGuidareSicuri_LN -  con selettore: 
Dettaglio + screenshot (accedere con le seguenti credenziali: user, axeposte@gmail.com; password, Poste2024!): 
Possibile metodologia risolutiva:
Regolare il contrasto tra testo e sfondo, assicurandosi che rispetti il rapporto minimo di contrasto di 4.5:1. Modificare il colore del testo o dello sfondo nel software di editing.
File di log (occorrenze rilevate: 1):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https://posteitaliane.sharepoint.com/:w:/r/teams/ACCESSIBILITRISULTATIVERIFICHETECNICHE/Shared%20Documents/Generale/SCHEDE_REQUISITI/10.1.4.3%20Contrasto%20(minimo).docx?d=wb5da035a086249bca8fc7050a31c158c&amp;csf=1&amp;web=1&amp;e=SVKGXy</v>
      </c>
      <c r="AF319">
        <f>_xlfn.XLOOKUP(Tabella4[[#This Row],[ID Silk]],outTable[ID Silk],outTable[Numero ticket  ],,0,1)</f>
        <v>5998</v>
      </c>
    </row>
    <row r="320" spans="1:32">
      <c r="A320" s="34" t="str">
        <f>MID(Tabella4[[#This Row],[Servizio]],1,4)&amp;Tabella4[[#This Row],[UNI CEI EN 301549]]</f>
        <v>D00510.2.4.2</v>
      </c>
      <c r="B320" s="34" t="str">
        <f>Tabella4[[#This Row],[ID Silk]]&amp;"_1"</f>
        <v>D00510.2.4.2_1</v>
      </c>
      <c r="C320" s="34" t="s">
        <v>1284</v>
      </c>
      <c r="D320" s="2" t="str">
        <f>"(#"&amp;Tabella4[[#This Row],['#ID]]&amp;")"</f>
        <v>(#PDF0058)</v>
      </c>
      <c r="E320" s="34" t="str">
        <f>IF(MID(Tabella4[[#This Row],['#ID]],1,1)="M","Mobile",IF(MID(Tabella4[[#This Row],['#ID]],1,1)="D","Desktop",IF(MID(Tabella4[[#This Row],['#ID]],1,2)="TM","Manuale","Documenti")))</f>
        <v>Documenti</v>
      </c>
      <c r="F320" s="34" t="s">
        <v>1005</v>
      </c>
      <c r="G320" s="34" t="s">
        <v>302</v>
      </c>
      <c r="H320" s="34" t="str">
        <f>IF(Tabella4[[#This Row],[Componente]]="Documenti","10.","9.")&amp;Tabella4[[#This Row],[Criterio]]</f>
        <v>10.2.4.2</v>
      </c>
      <c r="I320" s="34" t="s">
        <v>1036</v>
      </c>
      <c r="J320" t="s">
        <v>1191</v>
      </c>
      <c r="K320" s="19" t="s">
        <v>1087</v>
      </c>
      <c r="L320" s="34" t="s">
        <v>1192</v>
      </c>
      <c r="M320" s="34" t="s">
        <v>1193</v>
      </c>
      <c r="N320" s="34"/>
      <c r="O320" s="34"/>
      <c r="P320" t="s">
        <v>475</v>
      </c>
      <c r="R320" s="34" t="str">
        <f>IF(Tabella4[[#This Row],[Componente]]="Documenti",_xlfn.XLOOKUP(Tabella4[[#This Row],[URL]],Tabella27[URL],Tabella27[PDF ID],,0),_xlfn.XLOOKUP(Tabella4[[#This Row],[URL]],Tabella1[URL],Tabella1[Page ID],,0))</f>
        <v>#P05</v>
      </c>
      <c r="S320" t="s">
        <v>93</v>
      </c>
      <c r="T320" s="34"/>
      <c r="V320" s="34">
        <v>0</v>
      </c>
      <c r="W320" s="34" t="s">
        <v>1194</v>
      </c>
      <c r="X320" s="34">
        <f>IFERROR(IF(Tabella4[[#This Row],[Tool]]="lighthouse",Tabella4[[#This Row],[Detail]],MID(Tabella4[[#This Row],[Detail]],1,FIND("&gt;",Tabella4[[#This Row],[Detail]]))),Tabella4[[#This Row],[Detail]])</f>
        <v>0</v>
      </c>
      <c r="Y320" s="34" t="str">
        <f>SUBSTITUTE(IF(Tabella4[[#This Row],[Tool]]="axe-core",MID(Tabella4[[#This Row],[Rejected Element]],3,LEN(Tabella4[[#This Row],[Rejected Element]])-4),Tabella4[[#This Row],[Rejected Element]]),"\","")</f>
        <v/>
      </c>
      <c r="Z320" s="34">
        <f>COUNTIFS(Tabella4[Detail univoco],Tabella4[[#This Row],[Detail univoco]],Tabella4[Rejected Element Univoco],Tabella4[[#This Row],[Rejected Element Univoco]],Tabella4[ItemsNodeLabel],Tabella4[[#This Row],[ItemsNodeLabel]])</f>
        <v>0</v>
      </c>
      <c r="AA320" s="34" t="str">
        <f>IF(Tabella4[[#This Row],[Componente]]="Documenti",VLOOKUP(Tabella4[[#This Row],[URL]],Tabella27[[URL]:[Servizio]],4,FALSE),VLOOKUP(Tabella4[[#This Row],[Page ID]],Tabella1[[Page ID]:[Servizio]],4,FALSE))</f>
        <v>D005 Set informativo</v>
      </c>
      <c r="AB320" s="34"/>
      <c r="AC320" s="34" t="str">
        <f>Tabella4[[#This Row],[User Impact]]</f>
        <v>3 - Moderate</v>
      </c>
      <c r="AD320" s="34" t="str">
        <f>Copertina!C$2&amp;" - "&amp;Tabella4[[#This Row],[UNI CEI EN 301549]]&amp;" "&amp;VLOOKUP(Tabella4[[#This Row],[Criterio]],Tabella5[[ID]:[Criterio di successo]],2,FALSE)&amp;" - "&amp;Tabella4[[#This Row],[Servizio]]&amp;":"</f>
        <v>Insurance Brocker - 10.2.4.2 Titolazione della pagina - D005 Set informativo:</v>
      </c>
      <c r="AE32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- 10.2.4.2 Titolazione della pagina - D005 Set informativo: (#PDF0058)
D005 Set informativo
Requisito: WCAG 2.4.2
Disabilità afflitte: Cognitive;Mobility;Sighted Keyboard Users
Impatto Utente: 3 - Moderate
Descrizione: Titolo mancante nei metadati XMP del documento - Titolo mancante nei metadati XMP del documento (https://www.w3.org/WAI/WCAG21/Techniques/general/G88)
Esempio di violazione individuata sull'oggetto: 
https://www.media.poste.it/b782ad12-6195-4c88-be87-22554c8efa39/file/PosteGuidareSicuri_LN -  con selettore: 
Dettaglio + screenshot (accedere con le seguenti credenziali: user, axeposte@gmail.com; password, Poste2024!): 
Possibile metodologia risolutiva:
Aggiungere un titolo descrittivo nei metadati del documento (XMP), che aiuti gli utenti a identificare facilmente il contenuto. In Adobe Acrobat, andare su File &gt; Proprietà &gt; Descrizione e inserire un titolo.
File di log (occorrenze rilevate: 2):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https://posteitaliane.sharepoint.com/:w:/r/teams/ACCESSIBILITRISULTATIVERIFICHETECNICHE/Shared%20Documents/Generale/SCHEDE_REQUISITI/10.2.4.2%20Titolazione%20del%20documento.docx?d=wd1431799a8524b148514a35ac1863838&amp;csf=1&amp;web=1&amp;e=9MpdKG</v>
      </c>
      <c r="AF320">
        <f>_xlfn.XLOOKUP(Tabella4[[#This Row],[ID Silk]],outTable[ID Silk],outTable[Numero ticket  ],,0,1)</f>
        <v>6000</v>
      </c>
    </row>
    <row r="321" spans="1:32">
      <c r="A321" s="34" t="str">
        <f>MID(Tabella4[[#This Row],[Servizio]],1,4)&amp;Tabella4[[#This Row],[UNI CEI EN 301549]]</f>
        <v>S0029.2.5.3</v>
      </c>
      <c r="B321" s="34" t="str">
        <f>Tabella4[[#This Row],[ID Silk]]&amp;"_1"</f>
        <v>S0029.2.5.3_1</v>
      </c>
      <c r="C321" s="34" t="s">
        <v>1292</v>
      </c>
      <c r="D321" s="2" t="str">
        <f>"(#"&amp;Tabella4[[#This Row],['#ID]]&amp;")"</f>
        <v>(#TM0224)</v>
      </c>
      <c r="E321" s="34" t="str">
        <f>IF(MID(Tabella4[[#This Row],['#ID]],1,1)="M","Mobile",IF(MID(Tabella4[[#This Row],['#ID]],1,1)="D","Desktop",IF(MID(Tabella4[[#This Row],['#ID]],1,2)="TM","Manuale","Documenti")))</f>
        <v>Manuale</v>
      </c>
      <c r="F321" s="34" t="s">
        <v>1005</v>
      </c>
      <c r="G321" s="34" t="s">
        <v>324</v>
      </c>
      <c r="H321" s="34" t="str">
        <f>IF(Tabella4[[#This Row],[Componente]]="Documenti","10.","9.")&amp;Tabella4[[#This Row],[Criterio]]</f>
        <v>9.2.5.3</v>
      </c>
      <c r="I321" s="34" t="s">
        <v>1023</v>
      </c>
      <c r="J321" s="34" t="s">
        <v>1024</v>
      </c>
      <c r="K321" s="34" t="s">
        <v>1025</v>
      </c>
      <c r="L321" s="34" t="s">
        <v>1026</v>
      </c>
      <c r="M321" s="34" t="s">
        <v>1027</v>
      </c>
      <c r="N321" t="s">
        <v>483</v>
      </c>
      <c r="O321" t="s">
        <v>485</v>
      </c>
      <c r="P321" t="s">
        <v>388</v>
      </c>
      <c r="R321" s="34" t="str">
        <f>IF(Tabella4[[#This Row],[Componente]]="Documenti",_xlfn.XLOOKUP(Tabella4[[#This Row],[URL]],Tabella27[URL],Tabella27[PDF ID],,0),_xlfn.XLOOKUP(Tabella4[[#This Row],[URL]],Tabella1[URL],Tabella1[Page ID],,0))</f>
        <v>#8</v>
      </c>
      <c r="S321" s="34" t="s">
        <v>1004</v>
      </c>
      <c r="T321" t="s">
        <v>481</v>
      </c>
      <c r="V321" t="s">
        <v>484</v>
      </c>
      <c r="W321" s="34" t="s">
        <v>1066</v>
      </c>
      <c r="X321" s="34" t="str">
        <f>IFERROR(IF(Tabella4[[#This Row],[Tool]]="lighthouse",Tabella4[[#This Row],[Detail]],MID(Tabella4[[#This Row],[Detail]],1,FIND("&gt;",Tabella4[[#This Row],[Detail]]))),Tabella4[[#This Row],[Detail]])</f>
        <v>&lt;button id="business-button-open" class="offcanvas-toggle pi-targetarea" aria-label="Business" type="button" aria-haspopup="true" aria-controls="menu-siti" aria-expanded="false"&gt;</v>
      </c>
      <c r="Y321" s="34" t="str">
        <f>SUBSTITUTE(IF(Tabella4[[#This Row],[Tool]]="axe-core",MID(Tabella4[[#This Row],[Rejected Element]],3,LEN(Tabella4[[#This Row],[Rejected Element]])-4),Tabella4[[#This Row],[Rejected Element]]),"\","")</f>
        <v>#business-button-open</v>
      </c>
      <c r="Z321" s="34">
        <f>COUNTIFS(Tabella4[Detail univoco],Tabella4[[#This Row],[Detail univoco]],Tabella4[Rejected Element Univoco],Tabella4[[#This Row],[Rejected Element Univoco]],Tabella4[ItemsNodeLabel],Tabella4[[#This Row],[ItemsNodeLabel]])</f>
        <v>0</v>
      </c>
      <c r="AA321" s="34" t="str">
        <f>IF(Tabella4[[#This Row],[Componente]]="Documenti",VLOOKUP(Tabella4[[#This Row],[URL]],Tabella27[[URL]:[Servizio]],4,FALSE),VLOOKUP(Tabella4[[#This Row],[Page ID]],Tabella1[[Page ID]:[Servizio]],4,FALSE))</f>
        <v>S002 Poste Guidare Sicuri</v>
      </c>
      <c r="AB321" t="s">
        <v>1293</v>
      </c>
      <c r="AC321" s="34" t="str">
        <f>Tabella4[[#This Row],[User Impact]]</f>
        <v>2 - Serious</v>
      </c>
      <c r="AD321" s="34" t="str">
        <f>Copertina!C$2&amp;" - "&amp;Tabella4[[#This Row],[UNI CEI EN 301549]]&amp;" "&amp;VLOOKUP(Tabella4[[#This Row],[Criterio]],Tabella5[[ID]:[Criterio di successo]],2,FALSE)&amp;" - "&amp;Tabella4[[#This Row],[Servizio]]&amp;":"</f>
        <v>Insurance Brocker - 9.2.5.3 Etichetta nel nome - S002 Poste Guidare Sicuri:</v>
      </c>
      <c r="AE32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S002 Poste Guidare Sicuri: (#TM0224)
S002 Poste Guidare Sicuri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https://posteinsurancebroker.poste.it/faq-poste-guidare-sicuri/ - &lt;button id="business-button-open" class="offcanvas-toggle pi-targetarea" aria-label="Business" type="button" aria-haspopup="true" aria-controls="menu-siti" aria-expanded="false"&gt; con selettore: 
["#business-button-open"]
Dettaglio + screenshot (accedere con le seguenti credenziali: user, axeposte@gmail.com; password, Poste2024!): https://axe.deque.com/issues/da082352-9ede-4981-b435-9b0575aaec1a
Possibile metodologia risolutiva:
Correggi uno dei seguenti problemi:
Il testo all'interno dell'elemento non è incluso nel nome accessibile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321">
        <f>_xlfn.XLOOKUP(Tabella4[[#This Row],[ID Silk]],outTable[ID Silk],outTable[Numero ticket  ],,0,1)</f>
        <v>6014</v>
      </c>
    </row>
    <row r="322" spans="1:32">
      <c r="A322" s="34" t="str">
        <f>MID(Tabella4[[#This Row],[Servizio]],1,4)&amp;Tabella4[[#This Row],[UNI CEI EN 301549]]</f>
        <v>S0029.2.5.3</v>
      </c>
      <c r="B322" s="34" t="str">
        <f>Tabella4[[#This Row],[ID Silk]]&amp;"_1"</f>
        <v>S0029.2.5.3_1</v>
      </c>
      <c r="C322" s="34" t="s">
        <v>1667</v>
      </c>
      <c r="D322" s="2" t="str">
        <f>"(#"&amp;Tabella4[[#This Row],['#ID]]&amp;")"</f>
        <v>(#TM0225)</v>
      </c>
      <c r="E322" s="34" t="str">
        <f>IF(MID(Tabella4[[#This Row],['#ID]],1,1)="M","Mobile",IF(MID(Tabella4[[#This Row],['#ID]],1,1)="D","Desktop",IF(MID(Tabella4[[#This Row],['#ID]],1,2)="TM","Manuale","Documenti")))</f>
        <v>Manuale</v>
      </c>
      <c r="F322" s="34" t="s">
        <v>1005</v>
      </c>
      <c r="G322" s="34" t="s">
        <v>324</v>
      </c>
      <c r="H322" s="34" t="str">
        <f>IF(Tabella4[[#This Row],[Componente]]="Documenti","10.","9.")&amp;Tabella4[[#This Row],[Criterio]]</f>
        <v>9.2.5.3</v>
      </c>
      <c r="I322" s="34" t="s">
        <v>1023</v>
      </c>
      <c r="J322" s="34" t="s">
        <v>1024</v>
      </c>
      <c r="K322" s="34" t="s">
        <v>1025</v>
      </c>
      <c r="L322" s="34" t="s">
        <v>1026</v>
      </c>
      <c r="M322" s="34" t="s">
        <v>1027</v>
      </c>
      <c r="N322" t="s">
        <v>486</v>
      </c>
      <c r="O322" t="s">
        <v>487</v>
      </c>
      <c r="P322" t="s">
        <v>388</v>
      </c>
      <c r="R322" s="34" t="str">
        <f>IF(Tabella4[[#This Row],[Componente]]="Documenti",_xlfn.XLOOKUP(Tabella4[[#This Row],[URL]],Tabella27[URL],Tabella27[PDF ID],,0),_xlfn.XLOOKUP(Tabella4[[#This Row],[URL]],Tabella1[URL],Tabella1[Page ID],,0))</f>
        <v>#8</v>
      </c>
      <c r="S322" s="34" t="s">
        <v>1004</v>
      </c>
      <c r="T322" t="s">
        <v>481</v>
      </c>
      <c r="V322" t="s">
        <v>484</v>
      </c>
      <c r="W322" s="34" t="s">
        <v>1066</v>
      </c>
      <c r="X322" s="34" t="str">
        <f>IFERROR(IF(Tabella4[[#This Row],[Tool]]="lighthouse",Tabella4[[#This Row],[Detail]],MID(Tabella4[[#This Row],[Detail]],1,FIND("&gt;",Tabella4[[#This Row],[Detail]]))),Tabella4[[#This Row],[Detail]])</f>
        <v>&lt;button id="assistenza-cta" class="fedbar-object offcanvas-toggle" aria-label="assistenza" aria-controls="assistenza-side" aria-expanded="false" data-menu-pnl="assistenza-default-panel" aria-haspopup="true" title="Assistenza" data-activity-linkid="header-assistenza-btn"&gt;</v>
      </c>
      <c r="Y322" s="34" t="str">
        <f>SUBSTITUTE(IF(Tabella4[[#This Row],[Tool]]="axe-core",MID(Tabella4[[#This Row],[Rejected Element]],3,LEN(Tabella4[[#This Row],[Rejected Element]])-4),Tabella4[[#This Row],[Rejected Element]]),"\","")</f>
        <v>#assistenza-cta</v>
      </c>
      <c r="Z322" s="34">
        <f>COUNTIFS(Tabella4[Detail univoco],Tabella4[[#This Row],[Detail univoco]],Tabella4[Rejected Element Univoco],Tabella4[[#This Row],[Rejected Element Univoco]],Tabella4[ItemsNodeLabel],Tabella4[[#This Row],[ItemsNodeLabel]])</f>
        <v>0</v>
      </c>
      <c r="AA322" s="34" t="str">
        <f>IF(Tabella4[[#This Row],[Componente]]="Documenti",VLOOKUP(Tabella4[[#This Row],[URL]],Tabella27[[URL]:[Servizio]],4,FALSE),VLOOKUP(Tabella4[[#This Row],[Page ID]],Tabella1[[Page ID]:[Servizio]],4,FALSE))</f>
        <v>S002 Poste Guidare Sicuri</v>
      </c>
      <c r="AB322" t="s">
        <v>1294</v>
      </c>
      <c r="AC322" s="34" t="str">
        <f>Tabella4[[#This Row],[User Impact]]</f>
        <v>2 - Serious</v>
      </c>
      <c r="AD322" s="34" t="str">
        <f>Copertina!C$2&amp;" - "&amp;Tabella4[[#This Row],[UNI CEI EN 301549]]&amp;" "&amp;VLOOKUP(Tabella4[[#This Row],[Criterio]],Tabella5[[ID]:[Criterio di successo]],2,FALSE)&amp;" - "&amp;Tabella4[[#This Row],[Servizio]]&amp;":"</f>
        <v>Insurance Brocker - 9.2.5.3 Etichetta nel nome - S002 Poste Guidare Sicuri:</v>
      </c>
      <c r="AE32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S002 Poste Guidare Sicuri: (#TM0225)
S002 Poste Guidare Sicuri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https://posteinsurancebroker.poste.it/faq-poste-guidare-sicuri/ - &lt;button id="assistenza-cta" class="fedbar-object offcanvas-toggle" aria-label="assistenza" aria-controls="assistenza-side" aria-expanded="false" data-menu-pnl="assistenza-default-panel" aria-haspopup="true" title="Assistenza" data-activity-linkid="header-assistenza-btn"&gt; con selettore: 
["#assistenza-cta"]
Dettaglio + screenshot (accedere con le seguenti credenziali: user, axeposte@gmail.com; password, Poste2024!): https://axe.deque.com/issues/e1d6b05f-02e5-4c24-91d5-d74dc0a660e3
Possibile metodologia risolutiva:
Correggi uno dei seguenti problemi:
Il testo all'interno dell'elemento non è incluso nel nome accessibile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322">
        <f>_xlfn.XLOOKUP(Tabella4[[#This Row],[ID Silk]],outTable[ID Silk],outTable[Numero ticket  ],,0,1)</f>
        <v>6014</v>
      </c>
    </row>
    <row r="323" spans="1:32">
      <c r="A323" s="34" t="str">
        <f>MID(Tabella4[[#This Row],[Servizio]],1,4)&amp;Tabella4[[#This Row],[UNI CEI EN 301549]]</f>
        <v>S0029.2.5.3</v>
      </c>
      <c r="B323" s="34" t="str">
        <f>Tabella4[[#This Row],[ID Silk]]&amp;"_1"</f>
        <v>S0029.2.5.3_1</v>
      </c>
      <c r="C323" s="34" t="s">
        <v>1668</v>
      </c>
      <c r="D323" s="2" t="str">
        <f>"(#"&amp;Tabella4[[#This Row],['#ID]]&amp;")"</f>
        <v>(#TM0226)</v>
      </c>
      <c r="E323" s="34" t="str">
        <f>IF(MID(Tabella4[[#This Row],['#ID]],1,1)="M","Mobile",IF(MID(Tabella4[[#This Row],['#ID]],1,1)="D","Desktop",IF(MID(Tabella4[[#This Row],['#ID]],1,2)="TM","Manuale","Documenti")))</f>
        <v>Manuale</v>
      </c>
      <c r="F323" s="34" t="s">
        <v>1005</v>
      </c>
      <c r="G323" s="34" t="s">
        <v>324</v>
      </c>
      <c r="H323" s="34" t="str">
        <f>IF(Tabella4[[#This Row],[Componente]]="Documenti","10.","9.")&amp;Tabella4[[#This Row],[Criterio]]</f>
        <v>9.2.5.3</v>
      </c>
      <c r="I323" s="34" t="s">
        <v>1023</v>
      </c>
      <c r="J323" s="34" t="s">
        <v>1024</v>
      </c>
      <c r="K323" s="34" t="s">
        <v>1025</v>
      </c>
      <c r="L323" s="34" t="s">
        <v>1026</v>
      </c>
      <c r="M323" s="34" t="s">
        <v>1027</v>
      </c>
      <c r="N323" t="s">
        <v>488</v>
      </c>
      <c r="O323" t="s">
        <v>489</v>
      </c>
      <c r="P323" t="s">
        <v>388</v>
      </c>
      <c r="R323" s="34" t="str">
        <f>IF(Tabella4[[#This Row],[Componente]]="Documenti",_xlfn.XLOOKUP(Tabella4[[#This Row],[URL]],Tabella27[URL],Tabella27[PDF ID],,0),_xlfn.XLOOKUP(Tabella4[[#This Row],[URL]],Tabella1[URL],Tabella1[Page ID],,0))</f>
        <v>#8</v>
      </c>
      <c r="S323" s="34" t="s">
        <v>1004</v>
      </c>
      <c r="T323" t="s">
        <v>481</v>
      </c>
      <c r="V323" t="s">
        <v>484</v>
      </c>
      <c r="W323" s="34" t="s">
        <v>1066</v>
      </c>
      <c r="X323" s="34" t="str">
        <f>IFERROR(IF(Tabella4[[#This Row],[Tool]]="lighthouse",Tabella4[[#This Row],[Detail]],MID(Tabella4[[#This Row],[Detail]],1,FIND("&gt;",Tabella4[[#This Row],[Detail]]))),Tabella4[[#This Row],[Detail]])</f>
        <v>&lt;button class="navbar-object offcanvas-toggle" id="mn-ctrl" type="button" aria-haspopup="true" aria-controls="menu-navigazione" aria-expanded="false" aria-label="Apre il menu di navigazione" data-activity-linkid="Btn Menu Mobile"&gt;</v>
      </c>
      <c r="Y323" s="34" t="str">
        <f>SUBSTITUTE(IF(Tabella4[[#This Row],[Tool]]="axe-core",MID(Tabella4[[#This Row],[Rejected Element]],3,LEN(Tabella4[[#This Row],[Rejected Element]])-4),Tabella4[[#This Row],[Rejected Element]]),"\","")</f>
        <v>#mn-ctrl</v>
      </c>
      <c r="Z323" s="34">
        <f>COUNTIFS(Tabella4[Detail univoco],Tabella4[[#This Row],[Detail univoco]],Tabella4[Rejected Element Univoco],Tabella4[[#This Row],[Rejected Element Univoco]],Tabella4[ItemsNodeLabel],Tabella4[[#This Row],[ItemsNodeLabel]])</f>
        <v>0</v>
      </c>
      <c r="AA323" s="34" t="str">
        <f>IF(Tabella4[[#This Row],[Componente]]="Documenti",VLOOKUP(Tabella4[[#This Row],[URL]],Tabella27[[URL]:[Servizio]],4,FALSE),VLOOKUP(Tabella4[[#This Row],[Page ID]],Tabella1[[Page ID]:[Servizio]],4,FALSE))</f>
        <v>S002 Poste Guidare Sicuri</v>
      </c>
      <c r="AB323" t="s">
        <v>1295</v>
      </c>
      <c r="AC323" s="34" t="str">
        <f>Tabella4[[#This Row],[User Impact]]</f>
        <v>2 - Serious</v>
      </c>
      <c r="AD323" s="34" t="str">
        <f>Copertina!C$2&amp;" - "&amp;Tabella4[[#This Row],[UNI CEI EN 301549]]&amp;" "&amp;VLOOKUP(Tabella4[[#This Row],[Criterio]],Tabella5[[ID]:[Criterio di successo]],2,FALSE)&amp;" - "&amp;Tabella4[[#This Row],[Servizio]]&amp;":"</f>
        <v>Insurance Brocker - 9.2.5.3 Etichetta nel nome - S002 Poste Guidare Sicuri:</v>
      </c>
      <c r="AE32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- 9.2.5.3 Etichetta nel nome - S002 Poste Guidare Sicuri: (#TM0226)
S002 Poste Guidare Sicuri
Requisito: WCAG 2.5.3
Disabilità afflitte: Blind;Deafblind;Low Vision;Mobility
Impatto Utente: 2 - Serious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https://posteinsurancebroker.poste.it/faq-poste-guidare-sicuri/ - &lt;button class="navbar-object offcanvas-toggle" id="mn-ctrl" type="button" aria-haspopup="true" aria-controls="menu-navigazione" aria-expanded="false" aria-label="Apre il menu di navigazione" data-activity-linkid="Btn Menu Mobile"&gt; con selettore: 
["#mn-ctrl"]
Dettaglio + screenshot (accedere con le seguenti credenziali: user, axeposte@gmail.com; password, Poste2024!): https://axe.deque.com/issues/0dffff42-1945-4753-8c98-f8ab51dba56c
Possibile metodologia risolutiva:
Correggi uno dei seguenti problemi:
Il testo all'interno dell'elemento non è incluso nel nome accessibile
File di log (occorrenze rilevate: 6):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https://posteitaliane.sharepoint.com/:w:/r/teams/ACCESSIBILITRISULTATIVERIFICHETECNICHE/Shared%20Documents/Generale/SCHEDE_REQUISITI/9.2.5.3%20Etichetta%20nel%20nome.docx?d=w7044ef49b041441cb975967bc49a7316&amp;csf=1&amp;web=1&amp;e=20GbnH</v>
      </c>
      <c r="AF323">
        <f>_xlfn.XLOOKUP(Tabella4[[#This Row],[ID Silk]],outTable[ID Silk],outTable[Numero ticket  ],,0,1)</f>
        <v>6014</v>
      </c>
    </row>
    <row r="324" spans="1:32">
      <c r="A324" s="34" t="str">
        <f>MID(Tabella4[[#This Row],[Servizio]],1,4)&amp;Tabella4[[#This Row],[UNI CEI EN 301549]]</f>
        <v>S0029.4.1.2</v>
      </c>
      <c r="B324" s="34" t="str">
        <f>Tabella4[[#This Row],[ID Silk]]&amp;"_1"</f>
        <v>S0029.4.1.2_1</v>
      </c>
      <c r="C324" s="34" t="s">
        <v>1669</v>
      </c>
      <c r="D324" s="2" t="str">
        <f>"(#"&amp;Tabella4[[#This Row],['#ID]]&amp;")"</f>
        <v>(#TM0227)</v>
      </c>
      <c r="E324" s="34" t="str">
        <f>IF(MID(Tabella4[[#This Row],['#ID]],1,1)="M","Mobile",IF(MID(Tabella4[[#This Row],['#ID]],1,1)="D","Desktop",IF(MID(Tabella4[[#This Row],['#ID]],1,2)="TM","Manuale","Documenti")))</f>
        <v>Manuale</v>
      </c>
      <c r="F324" s="34" t="s">
        <v>1005</v>
      </c>
      <c r="G324" s="34" t="s">
        <v>368</v>
      </c>
      <c r="H324" s="34" t="str">
        <f>IF(Tabella4[[#This Row],[Componente]]="Documenti","10.","9.")&amp;Tabella4[[#This Row],[Criterio]]</f>
        <v>9.4.1.2</v>
      </c>
      <c r="I324" s="34" t="s">
        <v>1023</v>
      </c>
      <c r="J324" s="34" t="s">
        <v>1028</v>
      </c>
      <c r="K324" s="34" t="s">
        <v>1029</v>
      </c>
      <c r="L324" s="34" t="s">
        <v>1030</v>
      </c>
      <c r="M324" s="34" t="s">
        <v>1031</v>
      </c>
      <c r="N324" t="s">
        <v>1296</v>
      </c>
      <c r="O324" t="s">
        <v>1297</v>
      </c>
      <c r="P324" t="s">
        <v>388</v>
      </c>
      <c r="R324" s="34" t="str">
        <f>IF(Tabella4[[#This Row],[Componente]]="Documenti",_xlfn.XLOOKUP(Tabella4[[#This Row],[URL]],Tabella27[URL],Tabella27[PDF ID],,0),_xlfn.XLOOKUP(Tabella4[[#This Row],[URL]],Tabella1[URL],Tabella1[Page ID],,0))</f>
        <v>#8</v>
      </c>
      <c r="S324" s="34" t="s">
        <v>1004</v>
      </c>
      <c r="T324" t="s">
        <v>490</v>
      </c>
      <c r="V324" t="s">
        <v>492</v>
      </c>
      <c r="W324" s="34" t="s">
        <v>1067</v>
      </c>
      <c r="X324"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id="heading-item-posteinsurancebrokerposteinsurancebroker-moduliguidare-sicuri-fase-di-vendita-faq-accordion-perottenereunaquotazioneonlinecherequisitidevoavere-0-0"&gt;</v>
      </c>
      <c r="Y324" s="34" t="str">
        <f>SUBSTITUTE(IF(Tabella4[[#This Row],[Tool]]="axe-core",MID(Tabella4[[#This Row],[Rejected Element]],3,LEN(Tabella4[[#This Row],[Rejected Element]])-4),Tabella4[[#This Row],[Rejected Element]]),"\","")</f>
        <v>#heading-item-posteinsurancebrokerposteinsurancebroker-moduliguidare-sicuri-fase-di-vendita-faq-accordion-perottenereunaquotazioneonlinecherequisitidevoavere-0-0</v>
      </c>
      <c r="Z324" s="34">
        <f>COUNTIFS(Tabella4[Detail univoco],Tabella4[[#This Row],[Detail univoco]],Tabella4[Rejected Element Univoco],Tabella4[[#This Row],[Rejected Element Univoco]],Tabella4[ItemsNodeLabel],Tabella4[[#This Row],[ItemsNodeLabel]])</f>
        <v>0</v>
      </c>
      <c r="AA324" s="34" t="str">
        <f>IF(Tabella4[[#This Row],[Componente]]="Documenti",VLOOKUP(Tabella4[[#This Row],[URL]],Tabella27[[URL]:[Servizio]],4,FALSE),VLOOKUP(Tabella4[[#This Row],[Page ID]],Tabella1[[Page ID]:[Servizio]],4,FALSE))</f>
        <v>S002 Poste Guidare Sicuri</v>
      </c>
      <c r="AB324" t="s">
        <v>1298</v>
      </c>
      <c r="AC324" s="34" t="str">
        <f>Tabella4[[#This Row],[User Impact]]</f>
        <v>2 - Serious</v>
      </c>
      <c r="AD324" s="34" t="str">
        <f>Copertina!C$2&amp;" - "&amp;Tabella4[[#This Row],[UNI CEI EN 301549]]&amp;" "&amp;VLOOKUP(Tabella4[[#This Row],[Criterio]],Tabella5[[ID]:[Criterio di successo]],2,FALSE)&amp;" - "&amp;Tabella4[[#This Row],[Servizio]]&amp;":"</f>
        <v>Insurance Brocker - 9.4.1.2 Nome, ruolo, valore - S002 Poste Guidare Sicuri:</v>
      </c>
      <c r="AE32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(#TM0227)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id="heading-item-posteinsurancebrokerposteinsurancebroker-moduliguidare-sicuri-fase-di-vendita-faq-accordion-perottenereunaquotazioneonlinecherequisitidevoavere-0-0"&gt; con selettore: 
["#heading-item-posteinsurancebrokerposteinsurancebroker-moduliguidare-sicuri-fase-di-vendita-faq-accordion-perottenereunaquotazioneonlinecherequisitidevoavere-0-0"]
Dettaglio + screenshot (accedere con le seguenti credenziali: user, axeposte@gmail.com; password, Poste2024!): https://axe.deque.com/issues/42880515-9a89-4007-987f-c4b76dcc3ffb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24">
        <f>_xlfn.XLOOKUP(Tabella4[[#This Row],[ID Silk]],outTable[ID Silk],outTable[Numero ticket  ],,0,1)</f>
        <v>6016</v>
      </c>
    </row>
    <row r="325" spans="1:32">
      <c r="A325" s="34" t="str">
        <f>MID(Tabella4[[#This Row],[Servizio]],1,4)&amp;Tabella4[[#This Row],[UNI CEI EN 301549]]</f>
        <v>S0029.4.1.2</v>
      </c>
      <c r="B325" s="34" t="str">
        <f>Tabella4[[#This Row],[ID Silk]]&amp;"_1"</f>
        <v>S0029.4.1.2_1</v>
      </c>
      <c r="C325" s="34" t="s">
        <v>1670</v>
      </c>
      <c r="D325" s="2" t="str">
        <f>"(#"&amp;Tabella4[[#This Row],['#ID]]&amp;")"</f>
        <v>(#TM0228)</v>
      </c>
      <c r="E325" s="34" t="str">
        <f>IF(MID(Tabella4[[#This Row],['#ID]],1,1)="M","Mobile",IF(MID(Tabella4[[#This Row],['#ID]],1,1)="D","Desktop",IF(MID(Tabella4[[#This Row],['#ID]],1,2)="TM","Manuale","Documenti")))</f>
        <v>Manuale</v>
      </c>
      <c r="F325" s="34" t="s">
        <v>1005</v>
      </c>
      <c r="G325" s="34" t="s">
        <v>368</v>
      </c>
      <c r="H325" s="34" t="str">
        <f>IF(Tabella4[[#This Row],[Componente]]="Documenti","10.","9.")&amp;Tabella4[[#This Row],[Criterio]]</f>
        <v>9.4.1.2</v>
      </c>
      <c r="I325" s="34" t="s">
        <v>1023</v>
      </c>
      <c r="J325" s="34" t="s">
        <v>1028</v>
      </c>
      <c r="K325" s="34" t="s">
        <v>1029</v>
      </c>
      <c r="L325" s="34" t="s">
        <v>1030</v>
      </c>
      <c r="M325" s="34" t="s">
        <v>1031</v>
      </c>
      <c r="N325" t="s">
        <v>1299</v>
      </c>
      <c r="O325" t="s">
        <v>1300</v>
      </c>
      <c r="P325" t="s">
        <v>388</v>
      </c>
      <c r="R325" s="34" t="str">
        <f>IF(Tabella4[[#This Row],[Componente]]="Documenti",_xlfn.XLOOKUP(Tabella4[[#This Row],[URL]],Tabella27[URL],Tabella27[PDF ID],,0),_xlfn.XLOOKUP(Tabella4[[#This Row],[URL]],Tabella1[URL],Tabella1[Page ID],,0))</f>
        <v>#8</v>
      </c>
      <c r="S325" s="34" t="s">
        <v>1004</v>
      </c>
      <c r="T325" t="s">
        <v>490</v>
      </c>
      <c r="V325" t="s">
        <v>492</v>
      </c>
      <c r="W325" s="34" t="s">
        <v>1067</v>
      </c>
      <c r="X32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id="heading-item-posteinsurancebrokerposteinsurancebroker-moduliguidare-sicuri-fase-di-vendita-faq-accordion-semprepossibileottenereunaquotazioneonlinesesonounutenteregistratoposteit-1-1"&gt;</v>
      </c>
      <c r="Y325" s="34" t="str">
        <f>SUBSTITUTE(IF(Tabella4[[#This Row],[Tool]]="axe-core",MID(Tabella4[[#This Row],[Rejected Element]],3,LEN(Tabella4[[#This Row],[Rejected Element]])-4),Tabella4[[#This Row],[Rejected Element]]),"\","")</f>
        <v>#heading-item-posteinsurancebrokerposteinsurancebroker-moduliguidare-sicuri-fase-di-vendita-faq-accordion-semprepossibileottenereunaquotazioneonlinesesonounutenteregistratoposteit-1-1</v>
      </c>
      <c r="Z325" s="34">
        <f>COUNTIFS(Tabella4[Detail univoco],Tabella4[[#This Row],[Detail univoco]],Tabella4[Rejected Element Univoco],Tabella4[[#This Row],[Rejected Element Univoco]],Tabella4[ItemsNodeLabel],Tabella4[[#This Row],[ItemsNodeLabel]])</f>
        <v>0</v>
      </c>
      <c r="AA325" s="34" t="str">
        <f>IF(Tabella4[[#This Row],[Componente]]="Documenti",VLOOKUP(Tabella4[[#This Row],[URL]],Tabella27[[URL]:[Servizio]],4,FALSE),VLOOKUP(Tabella4[[#This Row],[Page ID]],Tabella1[[Page ID]:[Servizio]],4,FALSE))</f>
        <v>S002 Poste Guidare Sicuri</v>
      </c>
      <c r="AB325" t="s">
        <v>1301</v>
      </c>
      <c r="AC325" s="34" t="str">
        <f>Tabella4[[#This Row],[User Impact]]</f>
        <v>2 - Serious</v>
      </c>
      <c r="AD325" s="34" t="str">
        <f>Copertina!C$2&amp;" - "&amp;Tabella4[[#This Row],[UNI CEI EN 301549]]&amp;" "&amp;VLOOKUP(Tabella4[[#This Row],[Criterio]],Tabella5[[ID]:[Criterio di successo]],2,FALSE)&amp;" - "&amp;Tabella4[[#This Row],[Servizio]]&amp;":"</f>
        <v>Insurance Brocker - 9.4.1.2 Nome, ruolo, valore - S002 Poste Guidare Sicuri:</v>
      </c>
      <c r="AE32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(#TM0228)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id="heading-item-posteinsurancebrokerposteinsurancebroker-moduliguidare-sicuri-fase-di-vendita-faq-accordion-semprepossibileottenereunaquotazioneonlinesesonounutenteregistratoposteit-1-1"&gt; con selettore: 
["#heading-item-posteinsurancebrokerposteinsurancebroker-moduliguidare-sicuri-fase-di-vendita-faq-accordion-semprepossibileottenereunaquotazioneonlinesesonounutenteregistratoposteit-1-1"]
Dettaglio + screenshot (accedere con le seguenti credenziali: user, axeposte@gmail.com; password, Poste2024!): https://axe.deque.com/issues/9c05b4cb-8d9b-485a-a689-ae21d76bdac8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25">
        <f>_xlfn.XLOOKUP(Tabella4[[#This Row],[ID Silk]],outTable[ID Silk],outTable[Numero ticket  ],,0,1)</f>
        <v>6016</v>
      </c>
    </row>
    <row r="326" spans="1:32">
      <c r="A326" s="34" t="str">
        <f>MID(Tabella4[[#This Row],[Servizio]],1,4)&amp;Tabella4[[#This Row],[UNI CEI EN 301549]]</f>
        <v>S0029.4.1.2</v>
      </c>
      <c r="B326" s="34" t="str">
        <f>Tabella4[[#This Row],[ID Silk]]&amp;"_1"</f>
        <v>S0029.4.1.2_1</v>
      </c>
      <c r="C326" s="34" t="s">
        <v>1671</v>
      </c>
      <c r="D326" s="2" t="str">
        <f>"(#"&amp;Tabella4[[#This Row],['#ID]]&amp;")"</f>
        <v>(#TM0229)</v>
      </c>
      <c r="E326" s="34" t="str">
        <f>IF(MID(Tabella4[[#This Row],['#ID]],1,1)="M","Mobile",IF(MID(Tabella4[[#This Row],['#ID]],1,1)="D","Desktop",IF(MID(Tabella4[[#This Row],['#ID]],1,2)="TM","Manuale","Documenti")))</f>
        <v>Manuale</v>
      </c>
      <c r="F326" s="34" t="s">
        <v>1005</v>
      </c>
      <c r="G326" s="34" t="s">
        <v>368</v>
      </c>
      <c r="H326" s="34" t="str">
        <f>IF(Tabella4[[#This Row],[Componente]]="Documenti","10.","9.")&amp;Tabella4[[#This Row],[Criterio]]</f>
        <v>9.4.1.2</v>
      </c>
      <c r="I326" s="34" t="s">
        <v>1023</v>
      </c>
      <c r="J326" s="34" t="s">
        <v>1028</v>
      </c>
      <c r="K326" s="34" t="s">
        <v>1029</v>
      </c>
      <c r="L326" s="34" t="s">
        <v>1030</v>
      </c>
      <c r="M326" s="34" t="s">
        <v>1031</v>
      </c>
      <c r="N326" t="s">
        <v>1302</v>
      </c>
      <c r="O326" t="s">
        <v>1303</v>
      </c>
      <c r="P326" t="s">
        <v>388</v>
      </c>
      <c r="R326" s="34" t="str">
        <f>IF(Tabella4[[#This Row],[Componente]]="Documenti",_xlfn.XLOOKUP(Tabella4[[#This Row],[URL]],Tabella27[URL],Tabella27[PDF ID],,0),_xlfn.XLOOKUP(Tabella4[[#This Row],[URL]],Tabella1[URL],Tabella1[Page ID],,0))</f>
        <v>#8</v>
      </c>
      <c r="S326" s="34" t="s">
        <v>1004</v>
      </c>
      <c r="T326" t="s">
        <v>490</v>
      </c>
      <c r="V326" t="s">
        <v>492</v>
      </c>
      <c r="W326" s="34" t="s">
        <v>1067</v>
      </c>
      <c r="X326"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id="heading-item-posteinsurancebrokerposteinsurancebroker-moduliguidare-sicuri-fase-di-vendita-faq-accordion-possoaggiungereulteriorigaranzieoltrequellepresentinellaquotazioneonline-2-2"&gt;</v>
      </c>
      <c r="Y326" s="34" t="str">
        <f>SUBSTITUTE(IF(Tabella4[[#This Row],[Tool]]="axe-core",MID(Tabella4[[#This Row],[Rejected Element]],3,LEN(Tabella4[[#This Row],[Rejected Element]])-4),Tabella4[[#This Row],[Rejected Element]]),"\","")</f>
        <v>#heading-item-posteinsurancebrokerposteinsurancebroker-moduliguidare-sicuri-fase-di-vendita-faq-accordion-possoaggiungereulteriorigaranzieoltrequellepresentinellaquotazioneonline-2-2</v>
      </c>
      <c r="Z326" s="34">
        <f>COUNTIFS(Tabella4[Detail univoco],Tabella4[[#This Row],[Detail univoco]],Tabella4[Rejected Element Univoco],Tabella4[[#This Row],[Rejected Element Univoco]],Tabella4[ItemsNodeLabel],Tabella4[[#This Row],[ItemsNodeLabel]])</f>
        <v>0</v>
      </c>
      <c r="AA326" s="34" t="str">
        <f>IF(Tabella4[[#This Row],[Componente]]="Documenti",VLOOKUP(Tabella4[[#This Row],[URL]],Tabella27[[URL]:[Servizio]],4,FALSE),VLOOKUP(Tabella4[[#This Row],[Page ID]],Tabella1[[Page ID]:[Servizio]],4,FALSE))</f>
        <v>S002 Poste Guidare Sicuri</v>
      </c>
      <c r="AB326" t="s">
        <v>1304</v>
      </c>
      <c r="AC326" s="34" t="str">
        <f>Tabella4[[#This Row],[User Impact]]</f>
        <v>2 - Serious</v>
      </c>
      <c r="AD326" s="34" t="str">
        <f>Copertina!C$2&amp;" - "&amp;Tabella4[[#This Row],[UNI CEI EN 301549]]&amp;" "&amp;VLOOKUP(Tabella4[[#This Row],[Criterio]],Tabella5[[ID]:[Criterio di successo]],2,FALSE)&amp;" - "&amp;Tabella4[[#This Row],[Servizio]]&amp;":"</f>
        <v>Insurance Brocker - 9.4.1.2 Nome, ruolo, valore - S002 Poste Guidare Sicuri:</v>
      </c>
      <c r="AE32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(#TM0229)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id="heading-item-posteinsurancebrokerposteinsurancebroker-moduliguidare-sicuri-fase-di-vendita-faq-accordion-possoaggiungereulteriorigaranzieoltrequellepresentinellaquotazioneonline-2-2"&gt; con selettore: 
["#heading-item-posteinsurancebrokerposteinsurancebroker-moduliguidare-sicuri-fase-di-vendita-faq-accordion-possoaggiungereulteriorigaranzieoltrequellepresentinellaquotazioneonline-2-2"]
Dettaglio + screenshot (accedere con le seguenti credenziali: user, axeposte@gmail.com; password, Poste2024!): https://axe.deque.com/issues/32fd5a3a-7e70-4adc-9f20-1b51c1b154a8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26">
        <f>_xlfn.XLOOKUP(Tabella4[[#This Row],[ID Silk]],outTable[ID Silk],outTable[Numero ticket  ],,0,1)</f>
        <v>6016</v>
      </c>
    </row>
    <row r="327" spans="1:32">
      <c r="A327" s="34" t="str">
        <f>MID(Tabella4[[#This Row],[Servizio]],1,4)&amp;Tabella4[[#This Row],[UNI CEI EN 301549]]</f>
        <v>S0029.4.1.2</v>
      </c>
      <c r="B327" s="34" t="str">
        <f>Tabella4[[#This Row],[ID Silk]]&amp;"_1"</f>
        <v>S0029.4.1.2_1</v>
      </c>
      <c r="C327" s="34" t="s">
        <v>1672</v>
      </c>
      <c r="D327" s="2" t="str">
        <f>"(#"&amp;Tabella4[[#This Row],['#ID]]&amp;")"</f>
        <v>(#TM0230)</v>
      </c>
      <c r="E327" s="34" t="str">
        <f>IF(MID(Tabella4[[#This Row],['#ID]],1,1)="M","Mobile",IF(MID(Tabella4[[#This Row],['#ID]],1,1)="D","Desktop",IF(MID(Tabella4[[#This Row],['#ID]],1,2)="TM","Manuale","Documenti")))</f>
        <v>Manuale</v>
      </c>
      <c r="F327" s="34" t="s">
        <v>1005</v>
      </c>
      <c r="G327" s="34" t="s">
        <v>368</v>
      </c>
      <c r="H327" s="34" t="str">
        <f>IF(Tabella4[[#This Row],[Componente]]="Documenti","10.","9.")&amp;Tabella4[[#This Row],[Criterio]]</f>
        <v>9.4.1.2</v>
      </c>
      <c r="I327" s="34" t="s">
        <v>1023</v>
      </c>
      <c r="J327" s="34" t="s">
        <v>1028</v>
      </c>
      <c r="K327" s="34" t="s">
        <v>1029</v>
      </c>
      <c r="L327" s="34" t="s">
        <v>1030</v>
      </c>
      <c r="M327" s="34" t="s">
        <v>1031</v>
      </c>
      <c r="N327" t="s">
        <v>1305</v>
      </c>
      <c r="O327" t="s">
        <v>1306</v>
      </c>
      <c r="P327" t="s">
        <v>388</v>
      </c>
      <c r="R327" s="34" t="str">
        <f>IF(Tabella4[[#This Row],[Componente]]="Documenti",_xlfn.XLOOKUP(Tabella4[[#This Row],[URL]],Tabella27[URL],Tabella27[PDF ID],,0),_xlfn.XLOOKUP(Tabella4[[#This Row],[URL]],Tabella1[URL],Tabella1[Page ID],,0))</f>
        <v>#8</v>
      </c>
      <c r="S327" s="34" t="s">
        <v>1004</v>
      </c>
      <c r="T327" t="s">
        <v>490</v>
      </c>
      <c r="V327" t="s">
        <v>492</v>
      </c>
      <c r="W327" s="34" t="s">
        <v>1067</v>
      </c>
      <c r="X32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id="heading-item-posteinsurancebrokerposteinsurancebroker-moduliguidare-sicuri-fase-di-vendita-faq-accordion-contantecompagniecheoffronopolizzeautoperchacquistarelapolizzaalleposte-3-3"&gt;</v>
      </c>
      <c r="Y327" s="34" t="str">
        <f>SUBSTITUTE(IF(Tabella4[[#This Row],[Tool]]="axe-core",MID(Tabella4[[#This Row],[Rejected Element]],3,LEN(Tabella4[[#This Row],[Rejected Element]])-4),Tabella4[[#This Row],[Rejected Element]]),"\","")</f>
        <v>#heading-item-posteinsurancebrokerposteinsurancebroker-moduliguidare-sicuri-fase-di-vendita-faq-accordion-contantecompagniecheoffronopolizzeautoperchacquistarelapolizzaalleposte-3-3</v>
      </c>
      <c r="Z327" s="34">
        <f>COUNTIFS(Tabella4[Detail univoco],Tabella4[[#This Row],[Detail univoco]],Tabella4[Rejected Element Univoco],Tabella4[[#This Row],[Rejected Element Univoco]],Tabella4[ItemsNodeLabel],Tabella4[[#This Row],[ItemsNodeLabel]])</f>
        <v>0</v>
      </c>
      <c r="AA327" s="34" t="str">
        <f>IF(Tabella4[[#This Row],[Componente]]="Documenti",VLOOKUP(Tabella4[[#This Row],[URL]],Tabella27[[URL]:[Servizio]],4,FALSE),VLOOKUP(Tabella4[[#This Row],[Page ID]],Tabella1[[Page ID]:[Servizio]],4,FALSE))</f>
        <v>S002 Poste Guidare Sicuri</v>
      </c>
      <c r="AB327" t="s">
        <v>1307</v>
      </c>
      <c r="AC327" s="34" t="str">
        <f>Tabella4[[#This Row],[User Impact]]</f>
        <v>2 - Serious</v>
      </c>
      <c r="AD327" s="34" t="str">
        <f>Copertina!C$2&amp;" - "&amp;Tabella4[[#This Row],[UNI CEI EN 301549]]&amp;" "&amp;VLOOKUP(Tabella4[[#This Row],[Criterio]],Tabella5[[ID]:[Criterio di successo]],2,FALSE)&amp;" - "&amp;Tabella4[[#This Row],[Servizio]]&amp;":"</f>
        <v>Insurance Brocker - 9.4.1.2 Nome, ruolo, valore - S002 Poste Guidare Sicuri:</v>
      </c>
      <c r="AE32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(#TM0230)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id="heading-item-posteinsurancebrokerposteinsurancebroker-moduliguidare-sicuri-fase-di-vendita-faq-accordion-contantecompagniecheoffronopolizzeautoperchacquistarelapolizzaalleposte-3-3"&gt; con selettore: 
["#heading-item-posteinsurancebrokerposteinsurancebroker-moduliguidare-sicuri-fase-di-vendita-faq-accordion-contantecompagniecheoffronopolizzeautoperchacquistarelapolizzaalleposte-3-3"]
Dettaglio + screenshot (accedere con le seguenti credenziali: user, axeposte@gmail.com; password, Poste2024!): https://axe.deque.com/issues/36895502-55f9-4b1c-842f-d9e87f88d0f2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27">
        <f>_xlfn.XLOOKUP(Tabella4[[#This Row],[ID Silk]],outTable[ID Silk],outTable[Numero ticket  ],,0,1)</f>
        <v>6016</v>
      </c>
    </row>
    <row r="328" spans="1:32">
      <c r="A328" s="34" t="str">
        <f>MID(Tabella4[[#This Row],[Servizio]],1,4)&amp;Tabella4[[#This Row],[UNI CEI EN 301549]]</f>
        <v>S0029.4.1.2</v>
      </c>
      <c r="B328" s="34" t="str">
        <f>Tabella4[[#This Row],[ID Silk]]&amp;"_1"</f>
        <v>S0029.4.1.2_1</v>
      </c>
      <c r="C328" s="34" t="s">
        <v>1673</v>
      </c>
      <c r="D328" s="2" t="str">
        <f>"(#"&amp;Tabella4[[#This Row],['#ID]]&amp;")"</f>
        <v>(#TM0231)</v>
      </c>
      <c r="E328" s="34" t="str">
        <f>IF(MID(Tabella4[[#This Row],['#ID]],1,1)="M","Mobile",IF(MID(Tabella4[[#This Row],['#ID]],1,1)="D","Desktop",IF(MID(Tabella4[[#This Row],['#ID]],1,2)="TM","Manuale","Documenti")))</f>
        <v>Manuale</v>
      </c>
      <c r="F328" s="34" t="s">
        <v>1005</v>
      </c>
      <c r="G328" s="34" t="s">
        <v>368</v>
      </c>
      <c r="H328" s="34" t="str">
        <f>IF(Tabella4[[#This Row],[Componente]]="Documenti","10.","9.")&amp;Tabella4[[#This Row],[Criterio]]</f>
        <v>9.4.1.2</v>
      </c>
      <c r="I328" s="34" t="s">
        <v>1023</v>
      </c>
      <c r="J328" s="34" t="s">
        <v>1028</v>
      </c>
      <c r="K328" s="34" t="s">
        <v>1029</v>
      </c>
      <c r="L328" s="34" t="s">
        <v>1030</v>
      </c>
      <c r="M328" s="34" t="s">
        <v>1031</v>
      </c>
      <c r="N328" t="s">
        <v>1308</v>
      </c>
      <c r="O328" t="s">
        <v>1309</v>
      </c>
      <c r="P328" t="s">
        <v>388</v>
      </c>
      <c r="R328" s="34" t="str">
        <f>IF(Tabella4[[#This Row],[Componente]]="Documenti",_xlfn.XLOOKUP(Tabella4[[#This Row],[URL]],Tabella27[URL],Tabella27[PDF ID],,0),_xlfn.XLOOKUP(Tabella4[[#This Row],[URL]],Tabella1[URL],Tabella1[Page ID],,0))</f>
        <v>#8</v>
      </c>
      <c r="S328" s="34" t="s">
        <v>1004</v>
      </c>
      <c r="T328" t="s">
        <v>490</v>
      </c>
      <c r="V328" t="s">
        <v>492</v>
      </c>
      <c r="W328" s="34" t="s">
        <v>1067</v>
      </c>
      <c r="X328"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id="heading-item-posteinsurancebrokerposteinsurancebroker-moduliguidare-sicuri-fase-di-vendita-faq-accordion-checosasiintendeperrcfamiliare-4-4"&gt;</v>
      </c>
      <c r="Y328" s="34" t="str">
        <f>SUBSTITUTE(IF(Tabella4[[#This Row],[Tool]]="axe-core",MID(Tabella4[[#This Row],[Rejected Element]],3,LEN(Tabella4[[#This Row],[Rejected Element]])-4),Tabella4[[#This Row],[Rejected Element]]),"\","")</f>
        <v>#heading-item-posteinsurancebrokerposteinsurancebroker-moduliguidare-sicuri-fase-di-vendita-faq-accordion-checosasiintendeperrcfamiliare-4-4</v>
      </c>
      <c r="Z328" s="34">
        <f>COUNTIFS(Tabella4[Detail univoco],Tabella4[[#This Row],[Detail univoco]],Tabella4[Rejected Element Univoco],Tabella4[[#This Row],[Rejected Element Univoco]],Tabella4[ItemsNodeLabel],Tabella4[[#This Row],[ItemsNodeLabel]])</f>
        <v>0</v>
      </c>
      <c r="AA328" s="34" t="str">
        <f>IF(Tabella4[[#This Row],[Componente]]="Documenti",VLOOKUP(Tabella4[[#This Row],[URL]],Tabella27[[URL]:[Servizio]],4,FALSE),VLOOKUP(Tabella4[[#This Row],[Page ID]],Tabella1[[Page ID]:[Servizio]],4,FALSE))</f>
        <v>S002 Poste Guidare Sicuri</v>
      </c>
      <c r="AB328" t="s">
        <v>1310</v>
      </c>
      <c r="AC328" s="34" t="str">
        <f>Tabella4[[#This Row],[User Impact]]</f>
        <v>2 - Serious</v>
      </c>
      <c r="AD328" s="34" t="str">
        <f>Copertina!C$2&amp;" - "&amp;Tabella4[[#This Row],[UNI CEI EN 301549]]&amp;" "&amp;VLOOKUP(Tabella4[[#This Row],[Criterio]],Tabella5[[ID]:[Criterio di successo]],2,FALSE)&amp;" - "&amp;Tabella4[[#This Row],[Servizio]]&amp;":"</f>
        <v>Insurance Brocker - 9.4.1.2 Nome, ruolo, valore - S002 Poste Guidare Sicuri:</v>
      </c>
      <c r="AE32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(#TM0231)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id="heading-item-posteinsurancebrokerposteinsurancebroker-moduliguidare-sicuri-fase-di-vendita-faq-accordion-checosasiintendeperrcfamiliare-4-4"&gt; con selettore: 
["#heading-item-posteinsurancebrokerposteinsurancebroker-moduliguidare-sicuri-fase-di-vendita-faq-accordion-checosasiintendeperrcfamiliare-4-4"]
Dettaglio + screenshot (accedere con le seguenti credenziali: user, axeposte@gmail.com; password, Poste2024!): https://axe.deque.com/issues/8ea373c3-4580-4881-82d4-775168b15000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28">
        <f>_xlfn.XLOOKUP(Tabella4[[#This Row],[ID Silk]],outTable[ID Silk],outTable[Numero ticket  ],,0,1)</f>
        <v>6016</v>
      </c>
    </row>
    <row r="329" spans="1:32">
      <c r="A329" s="34" t="str">
        <f>MID(Tabella4[[#This Row],[Servizio]],1,4)&amp;Tabella4[[#This Row],[UNI CEI EN 301549]]</f>
        <v>S0029.4.1.2</v>
      </c>
      <c r="B329" s="34" t="str">
        <f>Tabella4[[#This Row],[ID Silk]]&amp;"_1"</f>
        <v>S0029.4.1.2_1</v>
      </c>
      <c r="C329" s="34" t="s">
        <v>1674</v>
      </c>
      <c r="D329" s="2" t="str">
        <f>"(#"&amp;Tabella4[[#This Row],['#ID]]&amp;")"</f>
        <v>(#TM0232)</v>
      </c>
      <c r="E329" s="34" t="str">
        <f>IF(MID(Tabella4[[#This Row],['#ID]],1,1)="M","Mobile",IF(MID(Tabella4[[#This Row],['#ID]],1,1)="D","Desktop",IF(MID(Tabella4[[#This Row],['#ID]],1,2)="TM","Manuale","Documenti")))</f>
        <v>Manuale</v>
      </c>
      <c r="F329" s="34" t="s">
        <v>1005</v>
      </c>
      <c r="G329" s="34" t="s">
        <v>368</v>
      </c>
      <c r="H329" s="34" t="str">
        <f>IF(Tabella4[[#This Row],[Componente]]="Documenti","10.","9.")&amp;Tabella4[[#This Row],[Criterio]]</f>
        <v>9.4.1.2</v>
      </c>
      <c r="I329" s="34" t="s">
        <v>1023</v>
      </c>
      <c r="J329" s="34" t="s">
        <v>1028</v>
      </c>
      <c r="K329" s="34" t="s">
        <v>1029</v>
      </c>
      <c r="L329" s="34" t="s">
        <v>1030</v>
      </c>
      <c r="M329" s="34" t="s">
        <v>1031</v>
      </c>
      <c r="N329" t="s">
        <v>1311</v>
      </c>
      <c r="O329" t="s">
        <v>1312</v>
      </c>
      <c r="P329" t="s">
        <v>388</v>
      </c>
      <c r="R329" s="34" t="str">
        <f>IF(Tabella4[[#This Row],[Componente]]="Documenti",_xlfn.XLOOKUP(Tabella4[[#This Row],[URL]],Tabella27[URL],Tabella27[PDF ID],,0),_xlfn.XLOOKUP(Tabella4[[#This Row],[URL]],Tabella1[URL],Tabella1[Page ID],,0))</f>
        <v>#8</v>
      </c>
      <c r="S329" s="34" t="s">
        <v>1004</v>
      </c>
      <c r="T329" t="s">
        <v>490</v>
      </c>
      <c r="V329" t="s">
        <v>492</v>
      </c>
      <c r="W329" s="34" t="s">
        <v>1067</v>
      </c>
      <c r="X32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id="heading-item-posteinsurancebrokerposteinsurancebroker-moduliguidare-sicuri-fase-di-vendita-faq-accordion-cosasiintendeperclassedimeritoconversioneuniversale-5-5"&gt;</v>
      </c>
      <c r="Y329" s="34" t="str">
        <f>SUBSTITUTE(IF(Tabella4[[#This Row],[Tool]]="axe-core",MID(Tabella4[[#This Row],[Rejected Element]],3,LEN(Tabella4[[#This Row],[Rejected Element]])-4),Tabella4[[#This Row],[Rejected Element]]),"\","")</f>
        <v>#heading-item-posteinsurancebrokerposteinsurancebroker-moduliguidare-sicuri-fase-di-vendita-faq-accordion-cosasiintendeperclassedimeritoconversioneuniversale-5-5</v>
      </c>
      <c r="Z329" s="34">
        <f>COUNTIFS(Tabella4[Detail univoco],Tabella4[[#This Row],[Detail univoco]],Tabella4[Rejected Element Univoco],Tabella4[[#This Row],[Rejected Element Univoco]],Tabella4[ItemsNodeLabel],Tabella4[[#This Row],[ItemsNodeLabel]])</f>
        <v>0</v>
      </c>
      <c r="AA329" s="34" t="str">
        <f>IF(Tabella4[[#This Row],[Componente]]="Documenti",VLOOKUP(Tabella4[[#This Row],[URL]],Tabella27[[URL]:[Servizio]],4,FALSE),VLOOKUP(Tabella4[[#This Row],[Page ID]],Tabella1[[Page ID]:[Servizio]],4,FALSE))</f>
        <v>S002 Poste Guidare Sicuri</v>
      </c>
      <c r="AB329" t="s">
        <v>1313</v>
      </c>
      <c r="AC329" s="34" t="str">
        <f>Tabella4[[#This Row],[User Impact]]</f>
        <v>2 - Serious</v>
      </c>
      <c r="AD329" s="34" t="str">
        <f>Copertina!C$2&amp;" - "&amp;Tabella4[[#This Row],[UNI CEI EN 301549]]&amp;" "&amp;VLOOKUP(Tabella4[[#This Row],[Criterio]],Tabella5[[ID]:[Criterio di successo]],2,FALSE)&amp;" - "&amp;Tabella4[[#This Row],[Servizio]]&amp;":"</f>
        <v>Insurance Brocker - 9.4.1.2 Nome, ruolo, valore - S002 Poste Guidare Sicuri:</v>
      </c>
      <c r="AE32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(#TM0232)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id="heading-item-posteinsurancebrokerposteinsurancebroker-moduliguidare-sicuri-fase-di-vendita-faq-accordion-cosasiintendeperclassedimeritoconversioneuniversale-5-5"&gt; con selettore: 
["#heading-item-posteinsurancebrokerposteinsurancebroker-moduliguidare-sicuri-fase-di-vendita-faq-accordion-cosasiintendeperclassedimeritoconversioneuniversale-5-5"]
Dettaglio + screenshot (accedere con le seguenti credenziali: user, axeposte@gmail.com; password, Poste2024!): https://axe.deque.com/issues/59d2dda1-96f6-46f7-b194-2ae14db5ffbe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29">
        <f>_xlfn.XLOOKUP(Tabella4[[#This Row],[ID Silk]],outTable[ID Silk],outTable[Numero ticket  ],,0,1)</f>
        <v>6016</v>
      </c>
    </row>
    <row r="330" spans="1:32">
      <c r="A330" s="34" t="str">
        <f>MID(Tabella4[[#This Row],[Servizio]],1,4)&amp;Tabella4[[#This Row],[UNI CEI EN 301549]]</f>
        <v>S0029.4.1.2</v>
      </c>
      <c r="B330" s="34" t="str">
        <f>Tabella4[[#This Row],[ID Silk]]&amp;"_1"</f>
        <v>S0029.4.1.2_1</v>
      </c>
      <c r="C330" s="34" t="s">
        <v>1675</v>
      </c>
      <c r="D330" s="2" t="str">
        <f>"(#"&amp;Tabella4[[#This Row],['#ID]]&amp;")"</f>
        <v>(#TM0233)</v>
      </c>
      <c r="E330" s="34" t="str">
        <f>IF(MID(Tabella4[[#This Row],['#ID]],1,1)="M","Mobile",IF(MID(Tabella4[[#This Row],['#ID]],1,1)="D","Desktop",IF(MID(Tabella4[[#This Row],['#ID]],1,2)="TM","Manuale","Documenti")))</f>
        <v>Manuale</v>
      </c>
      <c r="F330" s="34" t="s">
        <v>1005</v>
      </c>
      <c r="G330" s="34" t="s">
        <v>368</v>
      </c>
      <c r="H330" s="34" t="str">
        <f>IF(Tabella4[[#This Row],[Componente]]="Documenti","10.","9.")&amp;Tabella4[[#This Row],[Criterio]]</f>
        <v>9.4.1.2</v>
      </c>
      <c r="I330" s="34" t="s">
        <v>1023</v>
      </c>
      <c r="J330" s="34" t="s">
        <v>1028</v>
      </c>
      <c r="K330" s="34" t="s">
        <v>1029</v>
      </c>
      <c r="L330" s="34" t="s">
        <v>1030</v>
      </c>
      <c r="M330" s="34" t="s">
        <v>1031</v>
      </c>
      <c r="N330" t="s">
        <v>1314</v>
      </c>
      <c r="O330" t="s">
        <v>1315</v>
      </c>
      <c r="P330" t="s">
        <v>388</v>
      </c>
      <c r="R330" s="34" t="str">
        <f>IF(Tabella4[[#This Row],[Componente]]="Documenti",_xlfn.XLOOKUP(Tabella4[[#This Row],[URL]],Tabella27[URL],Tabella27[PDF ID],,0),_xlfn.XLOOKUP(Tabella4[[#This Row],[URL]],Tabella1[URL],Tabella1[Page ID],,0))</f>
        <v>#8</v>
      </c>
      <c r="S330" s="34" t="s">
        <v>1004</v>
      </c>
      <c r="T330" t="s">
        <v>490</v>
      </c>
      <c r="V330" t="s">
        <v>492</v>
      </c>
      <c r="W330" s="34" t="s">
        <v>1067</v>
      </c>
      <c r="X330"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id="heading-item-posteinsurancebrokerposteinsurancebroker-moduliguidare-sicuri-fase-di-vendita-faq-accordion-cosasiintendepersistemadibonusmalus-6-6"&gt;</v>
      </c>
      <c r="Y330" s="34" t="str">
        <f>SUBSTITUTE(IF(Tabella4[[#This Row],[Tool]]="axe-core",MID(Tabella4[[#This Row],[Rejected Element]],3,LEN(Tabella4[[#This Row],[Rejected Element]])-4),Tabella4[[#This Row],[Rejected Element]]),"\","")</f>
        <v>#heading-item-posteinsurancebrokerposteinsurancebroker-moduliguidare-sicuri-fase-di-vendita-faq-accordion-cosasiintendepersistemadibonusmalus-6-6</v>
      </c>
      <c r="Z330" s="34">
        <f>COUNTIFS(Tabella4[Detail univoco],Tabella4[[#This Row],[Detail univoco]],Tabella4[Rejected Element Univoco],Tabella4[[#This Row],[Rejected Element Univoco]],Tabella4[ItemsNodeLabel],Tabella4[[#This Row],[ItemsNodeLabel]])</f>
        <v>0</v>
      </c>
      <c r="AA330" s="34" t="str">
        <f>IF(Tabella4[[#This Row],[Componente]]="Documenti",VLOOKUP(Tabella4[[#This Row],[URL]],Tabella27[[URL]:[Servizio]],4,FALSE),VLOOKUP(Tabella4[[#This Row],[Page ID]],Tabella1[[Page ID]:[Servizio]],4,FALSE))</f>
        <v>S002 Poste Guidare Sicuri</v>
      </c>
      <c r="AB330" t="s">
        <v>1316</v>
      </c>
      <c r="AC330" s="34" t="str">
        <f>Tabella4[[#This Row],[User Impact]]</f>
        <v>2 - Serious</v>
      </c>
      <c r="AD330" s="34" t="str">
        <f>Copertina!C$2&amp;" - "&amp;Tabella4[[#This Row],[UNI CEI EN 301549]]&amp;" "&amp;VLOOKUP(Tabella4[[#This Row],[Criterio]],Tabella5[[ID]:[Criterio di successo]],2,FALSE)&amp;" - "&amp;Tabella4[[#This Row],[Servizio]]&amp;":"</f>
        <v>Insurance Brocker - 9.4.1.2 Nome, ruolo, valore - S002 Poste Guidare Sicuri:</v>
      </c>
      <c r="AE33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(#TM0233)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id="heading-item-posteinsurancebrokerposteinsurancebroker-moduliguidare-sicuri-fase-di-vendita-faq-accordion-cosasiintendepersistemadibonusmalus-6-6"&gt; con selettore: 
["#heading-item-posteinsurancebrokerposteinsurancebroker-moduliguidare-sicuri-fase-di-vendita-faq-accordion-cosasiintendepersistemadibonusmalus-6-6"]
Dettaglio + screenshot (accedere con le seguenti credenziali: user, axeposte@gmail.com; password, Poste2024!): https://axe.deque.com/issues/93f3f4f3-5d26-4897-9050-a49b6b6691bd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30">
        <f>_xlfn.XLOOKUP(Tabella4[[#This Row],[ID Silk]],outTable[ID Silk],outTable[Numero ticket  ],,0,1)</f>
        <v>6016</v>
      </c>
    </row>
    <row r="331" spans="1:32">
      <c r="A331" s="34" t="str">
        <f>MID(Tabella4[[#This Row],[Servizio]],1,4)&amp;Tabella4[[#This Row],[UNI CEI EN 301549]]</f>
        <v>S0029.4.1.2</v>
      </c>
      <c r="B331" s="34" t="str">
        <f>Tabella4[[#This Row],[ID Silk]]&amp;"_1"</f>
        <v>S0029.4.1.2_1</v>
      </c>
      <c r="C331" s="34" t="s">
        <v>1676</v>
      </c>
      <c r="D331" s="2" t="str">
        <f>"(#"&amp;Tabella4[[#This Row],['#ID]]&amp;")"</f>
        <v>(#TM0234)</v>
      </c>
      <c r="E331" s="34" t="str">
        <f>IF(MID(Tabella4[[#This Row],['#ID]],1,1)="M","Mobile",IF(MID(Tabella4[[#This Row],['#ID]],1,1)="D","Desktop",IF(MID(Tabella4[[#This Row],['#ID]],1,2)="TM","Manuale","Documenti")))</f>
        <v>Manuale</v>
      </c>
      <c r="F331" s="34" t="s">
        <v>1005</v>
      </c>
      <c r="G331" s="34" t="s">
        <v>368</v>
      </c>
      <c r="H331" s="34" t="str">
        <f>IF(Tabella4[[#This Row],[Componente]]="Documenti","10.","9.")&amp;Tabella4[[#This Row],[Criterio]]</f>
        <v>9.4.1.2</v>
      </c>
      <c r="I331" s="34" t="s">
        <v>1023</v>
      </c>
      <c r="J331" s="34" t="s">
        <v>1028</v>
      </c>
      <c r="K331" s="34" t="s">
        <v>1029</v>
      </c>
      <c r="L331" s="34" t="s">
        <v>1030</v>
      </c>
      <c r="M331" s="34" t="s">
        <v>1031</v>
      </c>
      <c r="N331" t="s">
        <v>1317</v>
      </c>
      <c r="O331" t="s">
        <v>1318</v>
      </c>
      <c r="P331" t="s">
        <v>388</v>
      </c>
      <c r="R331" s="34" t="str">
        <f>IF(Tabella4[[#This Row],[Componente]]="Documenti",_xlfn.XLOOKUP(Tabella4[[#This Row],[URL]],Tabella27[URL],Tabella27[PDF ID],,0),_xlfn.XLOOKUP(Tabella4[[#This Row],[URL]],Tabella1[URL],Tabella1[Page ID],,0))</f>
        <v>#8</v>
      </c>
      <c r="S331" s="34" t="s">
        <v>1004</v>
      </c>
      <c r="T331" t="s">
        <v>490</v>
      </c>
      <c r="V331" t="s">
        <v>492</v>
      </c>
      <c r="W331" s="34" t="s">
        <v>1067</v>
      </c>
      <c r="X33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id="heading-item-posteinsurancebrokerposteinsurancebroker-moduliguidare-sicuri-fase-di-vendita-faq-accordion-possibileassicurarelautodiunfamiliareusufruendodelloscontodedicatoaiclientibancoposta-7-7"&gt;</v>
      </c>
      <c r="Y331" s="34" t="str">
        <f>SUBSTITUTE(IF(Tabella4[[#This Row],[Tool]]="axe-core",MID(Tabella4[[#This Row],[Rejected Element]],3,LEN(Tabella4[[#This Row],[Rejected Element]])-4),Tabella4[[#This Row],[Rejected Element]]),"\","")</f>
        <v>#heading-item-posteinsurancebrokerposteinsurancebroker-moduliguidare-sicuri-fase-di-vendita-faq-accordion-possibileassicurarelautodiunfamiliareusufruendodelloscontodedicatoaiclientibancoposta-7-7</v>
      </c>
      <c r="Z331" s="34">
        <f>COUNTIFS(Tabella4[Detail univoco],Tabella4[[#This Row],[Detail univoco]],Tabella4[Rejected Element Univoco],Tabella4[[#This Row],[Rejected Element Univoco]],Tabella4[ItemsNodeLabel],Tabella4[[#This Row],[ItemsNodeLabel]])</f>
        <v>0</v>
      </c>
      <c r="AA331" s="34" t="str">
        <f>IF(Tabella4[[#This Row],[Componente]]="Documenti",VLOOKUP(Tabella4[[#This Row],[URL]],Tabella27[[URL]:[Servizio]],4,FALSE),VLOOKUP(Tabella4[[#This Row],[Page ID]],Tabella1[[Page ID]:[Servizio]],4,FALSE))</f>
        <v>S002 Poste Guidare Sicuri</v>
      </c>
      <c r="AB331" t="s">
        <v>1319</v>
      </c>
      <c r="AC331" s="34" t="str">
        <f>Tabella4[[#This Row],[User Impact]]</f>
        <v>2 - Serious</v>
      </c>
      <c r="AD331" s="34" t="str">
        <f>Copertina!C$2&amp;" - "&amp;Tabella4[[#This Row],[UNI CEI EN 301549]]&amp;" "&amp;VLOOKUP(Tabella4[[#This Row],[Criterio]],Tabella5[[ID]:[Criterio di successo]],2,FALSE)&amp;" - "&amp;Tabella4[[#This Row],[Servizio]]&amp;":"</f>
        <v>Insurance Brocker - 9.4.1.2 Nome, ruolo, valore - S002 Poste Guidare Sicuri:</v>
      </c>
      <c r="AE33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(#TM0234)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id="heading-item-posteinsurancebrokerposteinsurancebroker-moduliguidare-sicuri-fase-di-vendita-faq-accordion-possibileassicurarelautodiunfamiliareusufruendodelloscontodedicatoaiclientibancoposta-7-7"&gt; con selettore: 
["#heading-item-posteinsurancebrokerposteinsurancebroker-moduliguidare-sicuri-fase-di-vendita-faq-accordion-possibileassicurarelautodiunfamiliareusufruendodelloscontodedicatoaiclientibancoposta-7-7"]
Dettaglio + screenshot (accedere con le seguenti credenziali: user, axeposte@gmail.com; password, Poste2024!): https://axe.deque.com/issues/0ffa3fd1-d50c-488f-bafb-3f0888b4dff8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31">
        <f>_xlfn.XLOOKUP(Tabella4[[#This Row],[ID Silk]],outTable[ID Silk],outTable[Numero ticket  ],,0,1)</f>
        <v>6016</v>
      </c>
    </row>
    <row r="332" spans="1:32">
      <c r="A332" s="34" t="str">
        <f>MID(Tabella4[[#This Row],[Servizio]],1,4)&amp;Tabella4[[#This Row],[UNI CEI EN 301549]]</f>
        <v>S0029.4.1.2</v>
      </c>
      <c r="B332" s="34" t="str">
        <f>Tabella4[[#This Row],[ID Silk]]&amp;"_1"</f>
        <v>S0029.4.1.2_1</v>
      </c>
      <c r="C332" s="34" t="s">
        <v>1677</v>
      </c>
      <c r="D332" s="2" t="str">
        <f>"(#"&amp;Tabella4[[#This Row],['#ID]]&amp;")"</f>
        <v>(#TM0235)</v>
      </c>
      <c r="E332" s="34" t="str">
        <f>IF(MID(Tabella4[[#This Row],['#ID]],1,1)="M","Mobile",IF(MID(Tabella4[[#This Row],['#ID]],1,1)="D","Desktop",IF(MID(Tabella4[[#This Row],['#ID]],1,2)="TM","Manuale","Documenti")))</f>
        <v>Manuale</v>
      </c>
      <c r="F332" s="34" t="s">
        <v>1005</v>
      </c>
      <c r="G332" s="34" t="s">
        <v>368</v>
      </c>
      <c r="H332" s="34" t="str">
        <f>IF(Tabella4[[#This Row],[Componente]]="Documenti","10.","9.")&amp;Tabella4[[#This Row],[Criterio]]</f>
        <v>9.4.1.2</v>
      </c>
      <c r="I332" s="34" t="s">
        <v>1023</v>
      </c>
      <c r="J332" s="34" t="s">
        <v>1028</v>
      </c>
      <c r="K332" s="34" t="s">
        <v>1029</v>
      </c>
      <c r="L332" s="34" t="s">
        <v>1030</v>
      </c>
      <c r="M332" s="34" t="s">
        <v>1031</v>
      </c>
      <c r="N332" t="s">
        <v>1320</v>
      </c>
      <c r="O332" t="s">
        <v>1321</v>
      </c>
      <c r="P332" t="s">
        <v>388</v>
      </c>
      <c r="R332" s="34" t="str">
        <f>IF(Tabella4[[#This Row],[Componente]]="Documenti",_xlfn.XLOOKUP(Tabella4[[#This Row],[URL]],Tabella27[URL],Tabella27[PDF ID],,0),_xlfn.XLOOKUP(Tabella4[[#This Row],[URL]],Tabella1[URL],Tabella1[Page ID],,0))</f>
        <v>#8</v>
      </c>
      <c r="S332" s="34" t="s">
        <v>1004</v>
      </c>
      <c r="T332" t="s">
        <v>490</v>
      </c>
      <c r="V332" t="s">
        <v>492</v>
      </c>
      <c r="W332" s="34" t="s">
        <v>1067</v>
      </c>
      <c r="X332"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id="heading-item-posteinsurancebrokerposteinsurancebroker-moduliguidare-sicuri-fase-di-vendita-faq-accordion-possibileutilizzarelattestatodirischiodiunveicolovendutodemolitorottamatoesportatoallesterorubatopostoincontovendita-8-8"&gt;</v>
      </c>
      <c r="Y332" s="34" t="str">
        <f>SUBSTITUTE(IF(Tabella4[[#This Row],[Tool]]="axe-core",MID(Tabella4[[#This Row],[Rejected Element]],3,LEN(Tabella4[[#This Row],[Rejected Element]])-4),Tabella4[[#This Row],[Rejected Element]]),"\","")</f>
        <v>#heading-item-posteinsurancebrokerposteinsurancebroker-moduliguidare-sicuri-fase-di-vendita-faq-accordion-possibileutilizzarelattestatodirischiodiunveicolovendutodemolitorottamatoesportatoallesterorubatopostoincontovendita-8-8</v>
      </c>
      <c r="Z332" s="34">
        <f>COUNTIFS(Tabella4[Detail univoco],Tabella4[[#This Row],[Detail univoco]],Tabella4[Rejected Element Univoco],Tabella4[[#This Row],[Rejected Element Univoco]],Tabella4[ItemsNodeLabel],Tabella4[[#This Row],[ItemsNodeLabel]])</f>
        <v>0</v>
      </c>
      <c r="AA332" s="34" t="str">
        <f>IF(Tabella4[[#This Row],[Componente]]="Documenti",VLOOKUP(Tabella4[[#This Row],[URL]],Tabella27[[URL]:[Servizio]],4,FALSE),VLOOKUP(Tabella4[[#This Row],[Page ID]],Tabella1[[Page ID]:[Servizio]],4,FALSE))</f>
        <v>S002 Poste Guidare Sicuri</v>
      </c>
      <c r="AB332" t="s">
        <v>1322</v>
      </c>
      <c r="AC332" s="34" t="str">
        <f>Tabella4[[#This Row],[User Impact]]</f>
        <v>2 - Serious</v>
      </c>
      <c r="AD332" s="34" t="str">
        <f>Copertina!C$2&amp;" - "&amp;Tabella4[[#This Row],[UNI CEI EN 301549]]&amp;" "&amp;VLOOKUP(Tabella4[[#This Row],[Criterio]],Tabella5[[ID]:[Criterio di successo]],2,FALSE)&amp;" - "&amp;Tabella4[[#This Row],[Servizio]]&amp;":"</f>
        <v>Insurance Brocker - 9.4.1.2 Nome, ruolo, valore - S002 Poste Guidare Sicuri:</v>
      </c>
      <c r="AE33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(#TM0235)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id="heading-item-posteinsurancebrokerposteinsurancebroker-moduliguidare-sicuri-fase-di-vendita-faq-accordion-possibileutilizzarelattestatodirischiodiunveicolovendutodemolitorottamatoesportatoallesterorubatopostoincontovendita-8-8"&gt; con selettore: 
["#heading-item-posteinsurancebrokerposteinsurancebroker-moduliguidare-sicuri-fase-di-vendita-faq-accordion-possibileutilizzarelattestatodirischiodiunveicolovendutodemolitorottamatoesportatoallesterorubatopostoincontovendita-8-8"]
Dettaglio + screenshot (accedere con le seguenti credenziali: user, axeposte@gmail.com; password, Poste2024!): https://axe.deque.com/issues/2d81dd6e-5dc7-46ee-9a3b-64131585aae4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32">
        <f>_xlfn.XLOOKUP(Tabella4[[#This Row],[ID Silk]],outTable[ID Silk],outTable[Numero ticket  ],,0,1)</f>
        <v>6016</v>
      </c>
    </row>
    <row r="333" spans="1:32">
      <c r="A333" s="34" t="str">
        <f>MID(Tabella4[[#This Row],[Servizio]],1,4)&amp;Tabella4[[#This Row],[UNI CEI EN 301549]]</f>
        <v>S0029.4.1.2</v>
      </c>
      <c r="B333" s="34" t="str">
        <f>Tabella4[[#This Row],[ID Silk]]&amp;"_1"</f>
        <v>S0029.4.1.2_1</v>
      </c>
      <c r="C333" s="34" t="s">
        <v>1678</v>
      </c>
      <c r="D333" s="2" t="str">
        <f>"(#"&amp;Tabella4[[#This Row],['#ID]]&amp;")"</f>
        <v>(#TM0236)</v>
      </c>
      <c r="E333" s="34" t="str">
        <f>IF(MID(Tabella4[[#This Row],['#ID]],1,1)="M","Mobile",IF(MID(Tabella4[[#This Row],['#ID]],1,1)="D","Desktop",IF(MID(Tabella4[[#This Row],['#ID]],1,2)="TM","Manuale","Documenti")))</f>
        <v>Manuale</v>
      </c>
      <c r="F333" s="34" t="s">
        <v>1005</v>
      </c>
      <c r="G333" s="34" t="s">
        <v>368</v>
      </c>
      <c r="H333" s="34" t="str">
        <f>IF(Tabella4[[#This Row],[Componente]]="Documenti","10.","9.")&amp;Tabella4[[#This Row],[Criterio]]</f>
        <v>9.4.1.2</v>
      </c>
      <c r="I333" s="34" t="s">
        <v>1023</v>
      </c>
      <c r="J333" s="34" t="s">
        <v>1028</v>
      </c>
      <c r="K333" s="34" t="s">
        <v>1029</v>
      </c>
      <c r="L333" s="34" t="s">
        <v>1030</v>
      </c>
      <c r="M333" s="34" t="s">
        <v>1031</v>
      </c>
      <c r="N333" t="s">
        <v>1323</v>
      </c>
      <c r="O333" t="s">
        <v>1324</v>
      </c>
      <c r="P333" t="s">
        <v>388</v>
      </c>
      <c r="R333" s="34" t="str">
        <f>IF(Tabella4[[#This Row],[Componente]]="Documenti",_xlfn.XLOOKUP(Tabella4[[#This Row],[URL]],Tabella27[URL],Tabella27[PDF ID],,0),_xlfn.XLOOKUP(Tabella4[[#This Row],[URL]],Tabella1[URL],Tabella1[Page ID],,0))</f>
        <v>#8</v>
      </c>
      <c r="S333" s="34" t="s">
        <v>1004</v>
      </c>
      <c r="T333" t="s">
        <v>490</v>
      </c>
      <c r="V333" t="s">
        <v>492</v>
      </c>
      <c r="W333" s="34" t="s">
        <v>1067</v>
      </c>
      <c r="X33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id="heading-item-posteinsurancebrokerposteinsurancebroker-moduliguidare-sicuri-fase-di-vendita-faq-accordion-possoutilizzarelattestatodirischiodiunmiofamiliare-9-9"&gt;</v>
      </c>
      <c r="Y333" s="34" t="str">
        <f>SUBSTITUTE(IF(Tabella4[[#This Row],[Tool]]="axe-core",MID(Tabella4[[#This Row],[Rejected Element]],3,LEN(Tabella4[[#This Row],[Rejected Element]])-4),Tabella4[[#This Row],[Rejected Element]]),"\","")</f>
        <v>#heading-item-posteinsurancebrokerposteinsurancebroker-moduliguidare-sicuri-fase-di-vendita-faq-accordion-possoutilizzarelattestatodirischiodiunmiofamiliare-9-9</v>
      </c>
      <c r="Z333" s="34">
        <f>COUNTIFS(Tabella4[Detail univoco],Tabella4[[#This Row],[Detail univoco]],Tabella4[Rejected Element Univoco],Tabella4[[#This Row],[Rejected Element Univoco]],Tabella4[ItemsNodeLabel],Tabella4[[#This Row],[ItemsNodeLabel]])</f>
        <v>0</v>
      </c>
      <c r="AA333" s="34" t="str">
        <f>IF(Tabella4[[#This Row],[Componente]]="Documenti",VLOOKUP(Tabella4[[#This Row],[URL]],Tabella27[[URL]:[Servizio]],4,FALSE),VLOOKUP(Tabella4[[#This Row],[Page ID]],Tabella1[[Page ID]:[Servizio]],4,FALSE))</f>
        <v>S002 Poste Guidare Sicuri</v>
      </c>
      <c r="AB333" t="s">
        <v>1325</v>
      </c>
      <c r="AC333" s="34" t="str">
        <f>Tabella4[[#This Row],[User Impact]]</f>
        <v>2 - Serious</v>
      </c>
      <c r="AD333" s="34" t="str">
        <f>Copertina!C$2&amp;" - "&amp;Tabella4[[#This Row],[UNI CEI EN 301549]]&amp;" "&amp;VLOOKUP(Tabella4[[#This Row],[Criterio]],Tabella5[[ID]:[Criterio di successo]],2,FALSE)&amp;" - "&amp;Tabella4[[#This Row],[Servizio]]&amp;":"</f>
        <v>Insurance Brocker - 9.4.1.2 Nome, ruolo, valore - S002 Poste Guidare Sicuri:</v>
      </c>
      <c r="AE33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(#TM0236)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id="heading-item-posteinsurancebrokerposteinsurancebroker-moduliguidare-sicuri-fase-di-vendita-faq-accordion-possoutilizzarelattestatodirischiodiunmiofamiliare-9-9"&gt; con selettore: 
["#heading-item-posteinsurancebrokerposteinsurancebroker-moduliguidare-sicuri-fase-di-vendita-faq-accordion-possoutilizzarelattestatodirischiodiunmiofamiliare-9-9"]
Dettaglio + screenshot (accedere con le seguenti credenziali: user, axeposte@gmail.com; password, Poste2024!): https://axe.deque.com/issues/50baf828-a7cd-44ba-96c0-996bf93f173c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33">
        <f>_xlfn.XLOOKUP(Tabella4[[#This Row],[ID Silk]],outTable[ID Silk],outTable[Numero ticket  ],,0,1)</f>
        <v>6016</v>
      </c>
    </row>
    <row r="334" spans="1:32">
      <c r="A334" s="34" t="str">
        <f>MID(Tabella4[[#This Row],[Servizio]],1,4)&amp;Tabella4[[#This Row],[UNI CEI EN 301549]]</f>
        <v>S0029.4.1.2</v>
      </c>
      <c r="B334" s="34" t="str">
        <f>Tabella4[[#This Row],[ID Silk]]&amp;"_1"</f>
        <v>S0029.4.1.2_1</v>
      </c>
      <c r="C334" s="34" t="s">
        <v>1679</v>
      </c>
      <c r="D334" s="2" t="str">
        <f>"(#"&amp;Tabella4[[#This Row],['#ID]]&amp;")"</f>
        <v>(#TM0237)</v>
      </c>
      <c r="E334" s="34" t="str">
        <f>IF(MID(Tabella4[[#This Row],['#ID]],1,1)="M","Mobile",IF(MID(Tabella4[[#This Row],['#ID]],1,1)="D","Desktop",IF(MID(Tabella4[[#This Row],['#ID]],1,2)="TM","Manuale","Documenti")))</f>
        <v>Manuale</v>
      </c>
      <c r="F334" s="34" t="s">
        <v>1005</v>
      </c>
      <c r="G334" s="34" t="s">
        <v>368</v>
      </c>
      <c r="H334" s="34" t="str">
        <f>IF(Tabella4[[#This Row],[Componente]]="Documenti","10.","9.")&amp;Tabella4[[#This Row],[Criterio]]</f>
        <v>9.4.1.2</v>
      </c>
      <c r="I334" s="34" t="s">
        <v>1023</v>
      </c>
      <c r="J334" s="34" t="s">
        <v>1028</v>
      </c>
      <c r="K334" s="34" t="s">
        <v>1029</v>
      </c>
      <c r="L334" s="34" t="s">
        <v>1030</v>
      </c>
      <c r="M334" s="34" t="s">
        <v>1031</v>
      </c>
      <c r="N334" t="s">
        <v>1326</v>
      </c>
      <c r="O334" t="s">
        <v>1327</v>
      </c>
      <c r="P334" t="s">
        <v>388</v>
      </c>
      <c r="R334" s="34" t="str">
        <f>IF(Tabella4[[#This Row],[Componente]]="Documenti",_xlfn.XLOOKUP(Tabella4[[#This Row],[URL]],Tabella27[URL],Tabella27[PDF ID],,0),_xlfn.XLOOKUP(Tabella4[[#This Row],[URL]],Tabella1[URL],Tabella1[Page ID],,0))</f>
        <v>#8</v>
      </c>
      <c r="S334" s="34" t="s">
        <v>1004</v>
      </c>
      <c r="T334" t="s">
        <v>490</v>
      </c>
      <c r="V334" t="s">
        <v>492</v>
      </c>
      <c r="W334" s="34" t="s">
        <v>1067</v>
      </c>
      <c r="X334"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id="heading-item-posteinsurancebrokerposteinsurancebroker-moduliguidare-sicuri-fase-di-vendita-faq-accordion-possibileassicurareunveicolodiversodallauto-10-10"&gt;</v>
      </c>
      <c r="Y334" s="34" t="str">
        <f>SUBSTITUTE(IF(Tabella4[[#This Row],[Tool]]="axe-core",MID(Tabella4[[#This Row],[Rejected Element]],3,LEN(Tabella4[[#This Row],[Rejected Element]])-4),Tabella4[[#This Row],[Rejected Element]]),"\","")</f>
        <v>#heading-item-posteinsurancebrokerposteinsurancebroker-moduliguidare-sicuri-fase-di-vendita-faq-accordion-possibileassicurareunveicolodiversodallauto-10-10</v>
      </c>
      <c r="Z334" s="34">
        <f>COUNTIFS(Tabella4[Detail univoco],Tabella4[[#This Row],[Detail univoco]],Tabella4[Rejected Element Univoco],Tabella4[[#This Row],[Rejected Element Univoco]],Tabella4[ItemsNodeLabel],Tabella4[[#This Row],[ItemsNodeLabel]])</f>
        <v>0</v>
      </c>
      <c r="AA334" s="34" t="str">
        <f>IF(Tabella4[[#This Row],[Componente]]="Documenti",VLOOKUP(Tabella4[[#This Row],[URL]],Tabella27[[URL]:[Servizio]],4,FALSE),VLOOKUP(Tabella4[[#This Row],[Page ID]],Tabella1[[Page ID]:[Servizio]],4,FALSE))</f>
        <v>S002 Poste Guidare Sicuri</v>
      </c>
      <c r="AB334" t="s">
        <v>1328</v>
      </c>
      <c r="AC334" s="34" t="str">
        <f>Tabella4[[#This Row],[User Impact]]</f>
        <v>2 - Serious</v>
      </c>
      <c r="AD334" s="34" t="str">
        <f>Copertina!C$2&amp;" - "&amp;Tabella4[[#This Row],[UNI CEI EN 301549]]&amp;" "&amp;VLOOKUP(Tabella4[[#This Row],[Criterio]],Tabella5[[ID]:[Criterio di successo]],2,FALSE)&amp;" - "&amp;Tabella4[[#This Row],[Servizio]]&amp;":"</f>
        <v>Insurance Brocker - 9.4.1.2 Nome, ruolo, valore - S002 Poste Guidare Sicuri:</v>
      </c>
      <c r="AE33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(#TM0237)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id="heading-item-posteinsurancebrokerposteinsurancebroker-moduliguidare-sicuri-fase-di-vendita-faq-accordion-possibileassicurareunveicolodiversodallauto-10-10"&gt; con selettore: 
["#heading-item-posteinsurancebrokerposteinsurancebroker-moduliguidare-sicuri-fase-di-vendita-faq-accordion-possibileassicurareunveicolodiversodallauto-10-10"]
Dettaglio + screenshot (accedere con le seguenti credenziali: user, axeposte@gmail.com; password, Poste2024!): https://axe.deque.com/issues/c3e4d77e-79db-4886-91e7-f5df98cb63ce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34">
        <f>_xlfn.XLOOKUP(Tabella4[[#This Row],[ID Silk]],outTable[ID Silk],outTable[Numero ticket  ],,0,1)</f>
        <v>6016</v>
      </c>
    </row>
    <row r="335" spans="1:32">
      <c r="A335" s="34" t="str">
        <f>MID(Tabella4[[#This Row],[Servizio]],1,4)&amp;Tabella4[[#This Row],[UNI CEI EN 301549]]</f>
        <v>S0029.4.1.2</v>
      </c>
      <c r="B335" s="34" t="str">
        <f>Tabella4[[#This Row],[ID Silk]]&amp;"_1"</f>
        <v>S0029.4.1.2_1</v>
      </c>
      <c r="C335" s="34" t="s">
        <v>1680</v>
      </c>
      <c r="D335" s="2" t="str">
        <f>"(#"&amp;Tabella4[[#This Row],['#ID]]&amp;")"</f>
        <v>(#TM0238)</v>
      </c>
      <c r="E335" s="34" t="str">
        <f>IF(MID(Tabella4[[#This Row],['#ID]],1,1)="M","Mobile",IF(MID(Tabella4[[#This Row],['#ID]],1,1)="D","Desktop",IF(MID(Tabella4[[#This Row],['#ID]],1,2)="TM","Manuale","Documenti")))</f>
        <v>Manuale</v>
      </c>
      <c r="F335" s="34" t="s">
        <v>1005</v>
      </c>
      <c r="G335" s="34" t="s">
        <v>368</v>
      </c>
      <c r="H335" s="34" t="str">
        <f>IF(Tabella4[[#This Row],[Componente]]="Documenti","10.","9.")&amp;Tabella4[[#This Row],[Criterio]]</f>
        <v>9.4.1.2</v>
      </c>
      <c r="I335" s="34" t="s">
        <v>1023</v>
      </c>
      <c r="J335" s="34" t="s">
        <v>1028</v>
      </c>
      <c r="K335" s="34" t="s">
        <v>1029</v>
      </c>
      <c r="L335" s="34" t="s">
        <v>1030</v>
      </c>
      <c r="M335" s="34" t="s">
        <v>1031</v>
      </c>
      <c r="N335" t="s">
        <v>1329</v>
      </c>
      <c r="O335" t="s">
        <v>1330</v>
      </c>
      <c r="P335" t="s">
        <v>388</v>
      </c>
      <c r="R335" s="34" t="str">
        <f>IF(Tabella4[[#This Row],[Componente]]="Documenti",_xlfn.XLOOKUP(Tabella4[[#This Row],[URL]],Tabella27[URL],Tabella27[PDF ID],,0),_xlfn.XLOOKUP(Tabella4[[#This Row],[URL]],Tabella1[URL],Tabella1[Page ID],,0))</f>
        <v>#8</v>
      </c>
      <c r="S335" s="34" t="s">
        <v>1004</v>
      </c>
      <c r="T335" t="s">
        <v>490</v>
      </c>
      <c r="V335" t="s">
        <v>492</v>
      </c>
      <c r="W335" s="34" t="s">
        <v>1067</v>
      </c>
      <c r="X33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id="heading-item-posteinsurancebrokerposteinsurancebroker-moduliguidare-sicuri-fase-di-vendita-faq-accordion-checosilquestionariodiadeguatezzaobbligatorio-11-11"&gt;</v>
      </c>
      <c r="Y335" s="34" t="str">
        <f>SUBSTITUTE(IF(Tabella4[[#This Row],[Tool]]="axe-core",MID(Tabella4[[#This Row],[Rejected Element]],3,LEN(Tabella4[[#This Row],[Rejected Element]])-4),Tabella4[[#This Row],[Rejected Element]]),"\","")</f>
        <v>#heading-item-posteinsurancebrokerposteinsurancebroker-moduliguidare-sicuri-fase-di-vendita-faq-accordion-checosilquestionariodiadeguatezzaobbligatorio-11-11</v>
      </c>
      <c r="Z335" s="34">
        <f>COUNTIFS(Tabella4[Detail univoco],Tabella4[[#This Row],[Detail univoco]],Tabella4[Rejected Element Univoco],Tabella4[[#This Row],[Rejected Element Univoco]],Tabella4[ItemsNodeLabel],Tabella4[[#This Row],[ItemsNodeLabel]])</f>
        <v>0</v>
      </c>
      <c r="AA335" s="34" t="str">
        <f>IF(Tabella4[[#This Row],[Componente]]="Documenti",VLOOKUP(Tabella4[[#This Row],[URL]],Tabella27[[URL]:[Servizio]],4,FALSE),VLOOKUP(Tabella4[[#This Row],[Page ID]],Tabella1[[Page ID]:[Servizio]],4,FALSE))</f>
        <v>S002 Poste Guidare Sicuri</v>
      </c>
      <c r="AB335" t="s">
        <v>1331</v>
      </c>
      <c r="AC335" s="34" t="str">
        <f>Tabella4[[#This Row],[User Impact]]</f>
        <v>2 - Serious</v>
      </c>
      <c r="AD335" s="34" t="str">
        <f>Copertina!C$2&amp;" - "&amp;Tabella4[[#This Row],[UNI CEI EN 301549]]&amp;" "&amp;VLOOKUP(Tabella4[[#This Row],[Criterio]],Tabella5[[ID]:[Criterio di successo]],2,FALSE)&amp;" - "&amp;Tabella4[[#This Row],[Servizio]]&amp;":"</f>
        <v>Insurance Brocker - 9.4.1.2 Nome, ruolo, valore - S002 Poste Guidare Sicuri:</v>
      </c>
      <c r="AE33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(#TM0238)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id="heading-item-posteinsurancebrokerposteinsurancebroker-moduliguidare-sicuri-fase-di-vendita-faq-accordion-checosilquestionariodiadeguatezzaobbligatorio-11-11"&gt; con selettore: 
["#heading-item-posteinsurancebrokerposteinsurancebroker-moduliguidare-sicuri-fase-di-vendita-faq-accordion-checosilquestionariodiadeguatezzaobbligatorio-11-11"]
Dettaglio + screenshot (accedere con le seguenti credenziali: user, axeposte@gmail.com; password, Poste2024!): https://axe.deque.com/issues/1f062645-6539-4ecc-8019-265fa67023cf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35">
        <f>_xlfn.XLOOKUP(Tabella4[[#This Row],[ID Silk]],outTable[ID Silk],outTable[Numero ticket  ],,0,1)</f>
        <v>6016</v>
      </c>
    </row>
    <row r="336" spans="1:32">
      <c r="A336" s="34" t="str">
        <f>MID(Tabella4[[#This Row],[Servizio]],1,4)&amp;Tabella4[[#This Row],[UNI CEI EN 301549]]</f>
        <v>S0029.4.1.2</v>
      </c>
      <c r="B336" s="34" t="str">
        <f>Tabella4[[#This Row],[ID Silk]]&amp;"_1"</f>
        <v>S0029.4.1.2_1</v>
      </c>
      <c r="C336" s="34" t="s">
        <v>1681</v>
      </c>
      <c r="D336" s="2" t="str">
        <f>"(#"&amp;Tabella4[[#This Row],['#ID]]&amp;")"</f>
        <v>(#TM0239)</v>
      </c>
      <c r="E336" s="34" t="str">
        <f>IF(MID(Tabella4[[#This Row],['#ID]],1,1)="M","Mobile",IF(MID(Tabella4[[#This Row],['#ID]],1,1)="D","Desktop",IF(MID(Tabella4[[#This Row],['#ID]],1,2)="TM","Manuale","Documenti")))</f>
        <v>Manuale</v>
      </c>
      <c r="F336" s="34" t="s">
        <v>1005</v>
      </c>
      <c r="G336" s="34" t="s">
        <v>368</v>
      </c>
      <c r="H336" s="34" t="str">
        <f>IF(Tabella4[[#This Row],[Componente]]="Documenti","10.","9.")&amp;Tabella4[[#This Row],[Criterio]]</f>
        <v>9.4.1.2</v>
      </c>
      <c r="I336" s="34" t="s">
        <v>1023</v>
      </c>
      <c r="J336" s="34" t="s">
        <v>1028</v>
      </c>
      <c r="K336" s="34" t="s">
        <v>1029</v>
      </c>
      <c r="L336" s="34" t="s">
        <v>1030</v>
      </c>
      <c r="M336" s="34" t="s">
        <v>1031</v>
      </c>
      <c r="N336" t="s">
        <v>1332</v>
      </c>
      <c r="O336" t="s">
        <v>1333</v>
      </c>
      <c r="P336" t="s">
        <v>388</v>
      </c>
      <c r="R336" s="34" t="str">
        <f>IF(Tabella4[[#This Row],[Componente]]="Documenti",_xlfn.XLOOKUP(Tabella4[[#This Row],[URL]],Tabella27[URL],Tabella27[PDF ID],,0),_xlfn.XLOOKUP(Tabella4[[#This Row],[URL]],Tabella1[URL],Tabella1[Page ID],,0))</f>
        <v>#8</v>
      </c>
      <c r="S336" s="34" t="s">
        <v>1004</v>
      </c>
      <c r="T336" t="s">
        <v>490</v>
      </c>
      <c r="V336" t="s">
        <v>492</v>
      </c>
      <c r="W336" s="34" t="s">
        <v>1067</v>
      </c>
      <c r="X336"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id="heading-item-posteinsurancebrokerposteinsurancebroker-moduliguidare-sicuri-fase-di-vendita-faq-accordion-hodirittoaqualchescontosullamiapolizzacomeclientebancoposta-12-12"&gt;</v>
      </c>
      <c r="Y336" s="34" t="str">
        <f>SUBSTITUTE(IF(Tabella4[[#This Row],[Tool]]="axe-core",MID(Tabella4[[#This Row],[Rejected Element]],3,LEN(Tabella4[[#This Row],[Rejected Element]])-4),Tabella4[[#This Row],[Rejected Element]]),"\","")</f>
        <v>#heading-item-posteinsurancebrokerposteinsurancebroker-moduliguidare-sicuri-fase-di-vendita-faq-accordion-hodirittoaqualchescontosullamiapolizzacomeclientebancoposta-12-12</v>
      </c>
      <c r="Z336" s="34">
        <f>COUNTIFS(Tabella4[Detail univoco],Tabella4[[#This Row],[Detail univoco]],Tabella4[Rejected Element Univoco],Tabella4[[#This Row],[Rejected Element Univoco]],Tabella4[ItemsNodeLabel],Tabella4[[#This Row],[ItemsNodeLabel]])</f>
        <v>0</v>
      </c>
      <c r="AA336" s="34" t="str">
        <f>IF(Tabella4[[#This Row],[Componente]]="Documenti",VLOOKUP(Tabella4[[#This Row],[URL]],Tabella27[[URL]:[Servizio]],4,FALSE),VLOOKUP(Tabella4[[#This Row],[Page ID]],Tabella1[[Page ID]:[Servizio]],4,FALSE))</f>
        <v>S002 Poste Guidare Sicuri</v>
      </c>
      <c r="AB336" t="s">
        <v>1334</v>
      </c>
      <c r="AC336" s="34" t="str">
        <f>Tabella4[[#This Row],[User Impact]]</f>
        <v>2 - Serious</v>
      </c>
      <c r="AD336" s="34" t="str">
        <f>Copertina!C$2&amp;" - "&amp;Tabella4[[#This Row],[UNI CEI EN 301549]]&amp;" "&amp;VLOOKUP(Tabella4[[#This Row],[Criterio]],Tabella5[[ID]:[Criterio di successo]],2,FALSE)&amp;" - "&amp;Tabella4[[#This Row],[Servizio]]&amp;":"</f>
        <v>Insurance Brocker - 9.4.1.2 Nome, ruolo, valore - S002 Poste Guidare Sicuri:</v>
      </c>
      <c r="AE33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(#TM0239)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id="heading-item-posteinsurancebrokerposteinsurancebroker-moduliguidare-sicuri-fase-di-vendita-faq-accordion-hodirittoaqualchescontosullamiapolizzacomeclientebancoposta-12-12"&gt; con selettore: 
["#heading-item-posteinsurancebrokerposteinsurancebroker-moduliguidare-sicuri-fase-di-vendita-faq-accordion-hodirittoaqualchescontosullamiapolizzacomeclientebancoposta-12-12"]
Dettaglio + screenshot (accedere con le seguenti credenziali: user, axeposte@gmail.com; password, Poste2024!): https://axe.deque.com/issues/b258a2ac-3f66-4ef5-8a62-21e1a0504286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36">
        <f>_xlfn.XLOOKUP(Tabella4[[#This Row],[ID Silk]],outTable[ID Silk],outTable[Numero ticket  ],,0,1)</f>
        <v>6016</v>
      </c>
    </row>
    <row r="337" spans="1:32">
      <c r="A337" s="34" t="str">
        <f>MID(Tabella4[[#This Row],[Servizio]],1,4)&amp;Tabella4[[#This Row],[UNI CEI EN 301549]]</f>
        <v>S0029.4.1.2</v>
      </c>
      <c r="B337" s="34" t="str">
        <f>Tabella4[[#This Row],[ID Silk]]&amp;"_1"</f>
        <v>S0029.4.1.2_1</v>
      </c>
      <c r="C337" s="34" t="s">
        <v>1682</v>
      </c>
      <c r="D337" s="2" t="str">
        <f>"(#"&amp;Tabella4[[#This Row],['#ID]]&amp;")"</f>
        <v>(#TM0240)</v>
      </c>
      <c r="E337" s="34" t="str">
        <f>IF(MID(Tabella4[[#This Row],['#ID]],1,1)="M","Mobile",IF(MID(Tabella4[[#This Row],['#ID]],1,1)="D","Desktop",IF(MID(Tabella4[[#This Row],['#ID]],1,2)="TM","Manuale","Documenti")))</f>
        <v>Manuale</v>
      </c>
      <c r="F337" s="34" t="s">
        <v>1005</v>
      </c>
      <c r="G337" s="34" t="s">
        <v>368</v>
      </c>
      <c r="H337" s="34" t="str">
        <f>IF(Tabella4[[#This Row],[Componente]]="Documenti","10.","9.")&amp;Tabella4[[#This Row],[Criterio]]</f>
        <v>9.4.1.2</v>
      </c>
      <c r="I337" s="34" t="s">
        <v>1023</v>
      </c>
      <c r="J337" s="34" t="s">
        <v>1028</v>
      </c>
      <c r="K337" s="34" t="s">
        <v>1029</v>
      </c>
      <c r="L337" s="34" t="s">
        <v>1030</v>
      </c>
      <c r="M337" s="34" t="s">
        <v>1031</v>
      </c>
      <c r="N337" t="s">
        <v>1335</v>
      </c>
      <c r="O337" t="s">
        <v>1336</v>
      </c>
      <c r="P337" t="s">
        <v>388</v>
      </c>
      <c r="R337" s="34" t="str">
        <f>IF(Tabella4[[#This Row],[Componente]]="Documenti",_xlfn.XLOOKUP(Tabella4[[#This Row],[URL]],Tabella27[URL],Tabella27[PDF ID],,0),_xlfn.XLOOKUP(Tabella4[[#This Row],[URL]],Tabella1[URL],Tabella1[Page ID],,0))</f>
        <v>#8</v>
      </c>
      <c r="S337" s="34" t="s">
        <v>1004</v>
      </c>
      <c r="T337" t="s">
        <v>490</v>
      </c>
      <c r="V337" t="s">
        <v>492</v>
      </c>
      <c r="W337" s="34" t="s">
        <v>1067</v>
      </c>
      <c r="X33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id="heading-item-posteinsurancebrokerposteinsurancebroker-moduliguidare-sicuri-fase-di-vendita-faq-accordion-quantotempocivuoleperfinalizzarelapolizzadopoaverconsegnatoladocumentazionenecessaria-13-13"&gt;</v>
      </c>
      <c r="Y337" s="34" t="str">
        <f>SUBSTITUTE(IF(Tabella4[[#This Row],[Tool]]="axe-core",MID(Tabella4[[#This Row],[Rejected Element]],3,LEN(Tabella4[[#This Row],[Rejected Element]])-4),Tabella4[[#This Row],[Rejected Element]]),"\","")</f>
        <v>#heading-item-posteinsurancebrokerposteinsurancebroker-moduliguidare-sicuri-fase-di-vendita-faq-accordion-quantotempocivuoleperfinalizzarelapolizzadopoaverconsegnatoladocumentazionenecessaria-13-13</v>
      </c>
      <c r="Z337" s="34">
        <f>COUNTIFS(Tabella4[Detail univoco],Tabella4[[#This Row],[Detail univoco]],Tabella4[Rejected Element Univoco],Tabella4[[#This Row],[Rejected Element Univoco]],Tabella4[ItemsNodeLabel],Tabella4[[#This Row],[ItemsNodeLabel]])</f>
        <v>0</v>
      </c>
      <c r="AA337" s="34" t="str">
        <f>IF(Tabella4[[#This Row],[Componente]]="Documenti",VLOOKUP(Tabella4[[#This Row],[URL]],Tabella27[[URL]:[Servizio]],4,FALSE),VLOOKUP(Tabella4[[#This Row],[Page ID]],Tabella1[[Page ID]:[Servizio]],4,FALSE))</f>
        <v>S002 Poste Guidare Sicuri</v>
      </c>
      <c r="AB337" t="s">
        <v>1337</v>
      </c>
      <c r="AC337" s="34" t="str">
        <f>Tabella4[[#This Row],[User Impact]]</f>
        <v>2 - Serious</v>
      </c>
      <c r="AD337" s="34" t="str">
        <f>Copertina!C$2&amp;" - "&amp;Tabella4[[#This Row],[UNI CEI EN 301549]]&amp;" "&amp;VLOOKUP(Tabella4[[#This Row],[Criterio]],Tabella5[[ID]:[Criterio di successo]],2,FALSE)&amp;" - "&amp;Tabella4[[#This Row],[Servizio]]&amp;":"</f>
        <v>Insurance Brocker - 9.4.1.2 Nome, ruolo, valore - S002 Poste Guidare Sicuri:</v>
      </c>
      <c r="AE33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(#TM0240)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id="heading-item-posteinsurancebrokerposteinsurancebroker-moduliguidare-sicuri-fase-di-vendita-faq-accordion-quantotempocivuoleperfinalizzarelapolizzadopoaverconsegnatoladocumentazionenecessaria-13-13"&gt; con selettore: 
["#heading-item-posteinsurancebrokerposteinsurancebroker-moduliguidare-sicuri-fase-di-vendita-faq-accordion-quantotempocivuoleperfinalizzarelapolizzadopoaverconsegnatoladocumentazionenecessaria-13-13"]
Dettaglio + screenshot (accedere con le seguenti credenziali: user, axeposte@gmail.com; password, Poste2024!): https://axe.deque.com/issues/d5816085-cfe9-45f0-b1f9-ebcd704f28e7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37">
        <f>_xlfn.XLOOKUP(Tabella4[[#This Row],[ID Silk]],outTable[ID Silk],outTable[Numero ticket  ],,0,1)</f>
        <v>6016</v>
      </c>
    </row>
    <row r="338" spans="1:32">
      <c r="A338" s="34" t="str">
        <f>MID(Tabella4[[#This Row],[Servizio]],1,4)&amp;Tabella4[[#This Row],[UNI CEI EN 301549]]</f>
        <v>S0029.4.1.2</v>
      </c>
      <c r="B338" s="34" t="str">
        <f>Tabella4[[#This Row],[ID Silk]]&amp;"_1"</f>
        <v>S0029.4.1.2_1</v>
      </c>
      <c r="C338" s="34" t="s">
        <v>1683</v>
      </c>
      <c r="D338" s="2" t="str">
        <f>"(#"&amp;Tabella4[[#This Row],['#ID]]&amp;")"</f>
        <v>(#TM0241)</v>
      </c>
      <c r="E338" s="34" t="str">
        <f>IF(MID(Tabella4[[#This Row],['#ID]],1,1)="M","Mobile",IF(MID(Tabella4[[#This Row],['#ID]],1,1)="D","Desktop",IF(MID(Tabella4[[#This Row],['#ID]],1,2)="TM","Manuale","Documenti")))</f>
        <v>Manuale</v>
      </c>
      <c r="F338" s="34" t="s">
        <v>1005</v>
      </c>
      <c r="G338" s="34" t="s">
        <v>368</v>
      </c>
      <c r="H338" s="34" t="str">
        <f>IF(Tabella4[[#This Row],[Componente]]="Documenti","10.","9.")&amp;Tabella4[[#This Row],[Criterio]]</f>
        <v>9.4.1.2</v>
      </c>
      <c r="I338" s="34" t="s">
        <v>1023</v>
      </c>
      <c r="J338" s="34" t="s">
        <v>1028</v>
      </c>
      <c r="K338" s="34" t="s">
        <v>1029</v>
      </c>
      <c r="L338" s="34" t="s">
        <v>1030</v>
      </c>
      <c r="M338" s="34" t="s">
        <v>1031</v>
      </c>
      <c r="N338" t="s">
        <v>1338</v>
      </c>
      <c r="O338" t="s">
        <v>1339</v>
      </c>
      <c r="P338" t="s">
        <v>388</v>
      </c>
      <c r="R338" s="34" t="str">
        <f>IF(Tabella4[[#This Row],[Componente]]="Documenti",_xlfn.XLOOKUP(Tabella4[[#This Row],[URL]],Tabella27[URL],Tabella27[PDF ID],,0),_xlfn.XLOOKUP(Tabella4[[#This Row],[URL]],Tabella1[URL],Tabella1[Page ID],,0))</f>
        <v>#8</v>
      </c>
      <c r="S338" s="34" t="s">
        <v>1004</v>
      </c>
      <c r="T338" t="s">
        <v>490</v>
      </c>
      <c r="V338" t="s">
        <v>492</v>
      </c>
      <c r="W338" s="34" t="s">
        <v>1067</v>
      </c>
      <c r="X338"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id="heading-item-posteinsurancebrokerposteinsurancebroker-moduliguidare-sicuri-fase-di-vendita-faq-accordion-perquantorimanevalidoilpreventivo-14-14"&gt;</v>
      </c>
      <c r="Y338" s="34" t="str">
        <f>SUBSTITUTE(IF(Tabella4[[#This Row],[Tool]]="axe-core",MID(Tabella4[[#This Row],[Rejected Element]],3,LEN(Tabella4[[#This Row],[Rejected Element]])-4),Tabella4[[#This Row],[Rejected Element]]),"\","")</f>
        <v>#heading-item-posteinsurancebrokerposteinsurancebroker-moduliguidare-sicuri-fase-di-vendita-faq-accordion-perquantorimanevalidoilpreventivo-14-14</v>
      </c>
      <c r="Z338" s="34">
        <f>COUNTIFS(Tabella4[Detail univoco],Tabella4[[#This Row],[Detail univoco]],Tabella4[Rejected Element Univoco],Tabella4[[#This Row],[Rejected Element Univoco]],Tabella4[ItemsNodeLabel],Tabella4[[#This Row],[ItemsNodeLabel]])</f>
        <v>0</v>
      </c>
      <c r="AA338" s="34" t="str">
        <f>IF(Tabella4[[#This Row],[Componente]]="Documenti",VLOOKUP(Tabella4[[#This Row],[URL]],Tabella27[[URL]:[Servizio]],4,FALSE),VLOOKUP(Tabella4[[#This Row],[Page ID]],Tabella1[[Page ID]:[Servizio]],4,FALSE))</f>
        <v>S002 Poste Guidare Sicuri</v>
      </c>
      <c r="AB338" t="s">
        <v>1340</v>
      </c>
      <c r="AC338" s="34" t="str">
        <f>Tabella4[[#This Row],[User Impact]]</f>
        <v>2 - Serious</v>
      </c>
      <c r="AD338" s="34" t="str">
        <f>Copertina!C$2&amp;" - "&amp;Tabella4[[#This Row],[UNI CEI EN 301549]]&amp;" "&amp;VLOOKUP(Tabella4[[#This Row],[Criterio]],Tabella5[[ID]:[Criterio di successo]],2,FALSE)&amp;" - "&amp;Tabella4[[#This Row],[Servizio]]&amp;":"</f>
        <v>Insurance Brocker - 9.4.1.2 Nome, ruolo, valore - S002 Poste Guidare Sicuri:</v>
      </c>
      <c r="AE33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(#TM0241)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id="heading-item-posteinsurancebrokerposteinsurancebroker-moduliguidare-sicuri-fase-di-vendita-faq-accordion-perquantorimanevalidoilpreventivo-14-14"&gt; con selettore: 
["#heading-item-posteinsurancebrokerposteinsurancebroker-moduliguidare-sicuri-fase-di-vendita-faq-accordion-perquantorimanevalidoilpreventivo-14-14"]
Dettaglio + screenshot (accedere con le seguenti credenziali: user, axeposte@gmail.com; password, Poste2024!): https://axe.deque.com/issues/ff7ba6ab-a525-42fa-bf0f-d49354ca24d0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38">
        <f>_xlfn.XLOOKUP(Tabella4[[#This Row],[ID Silk]],outTable[ID Silk],outTable[Numero ticket  ],,0,1)</f>
        <v>6016</v>
      </c>
    </row>
    <row r="339" spans="1:32">
      <c r="A339" s="34" t="str">
        <f>MID(Tabella4[[#This Row],[Servizio]],1,4)&amp;Tabella4[[#This Row],[UNI CEI EN 301549]]</f>
        <v>S0029.4.1.2</v>
      </c>
      <c r="B339" s="34" t="str">
        <f>Tabella4[[#This Row],[ID Silk]]&amp;"_1"</f>
        <v>S0029.4.1.2_1</v>
      </c>
      <c r="C339" s="34" t="s">
        <v>1684</v>
      </c>
      <c r="D339" s="2" t="str">
        <f>"(#"&amp;Tabella4[[#This Row],['#ID]]&amp;")"</f>
        <v>(#TM0242)</v>
      </c>
      <c r="E339" s="34" t="str">
        <f>IF(MID(Tabella4[[#This Row],['#ID]],1,1)="M","Mobile",IF(MID(Tabella4[[#This Row],['#ID]],1,1)="D","Desktop",IF(MID(Tabella4[[#This Row],['#ID]],1,2)="TM","Manuale","Documenti")))</f>
        <v>Manuale</v>
      </c>
      <c r="F339" s="34" t="s">
        <v>1005</v>
      </c>
      <c r="G339" s="34" t="s">
        <v>368</v>
      </c>
      <c r="H339" s="34" t="str">
        <f>IF(Tabella4[[#This Row],[Componente]]="Documenti","10.","9.")&amp;Tabella4[[#This Row],[Criterio]]</f>
        <v>9.4.1.2</v>
      </c>
      <c r="I339" s="34" t="s">
        <v>1023</v>
      </c>
      <c r="J339" s="34" t="s">
        <v>1028</v>
      </c>
      <c r="K339" s="34" t="s">
        <v>1029</v>
      </c>
      <c r="L339" s="34" t="s">
        <v>1030</v>
      </c>
      <c r="M339" s="34" t="s">
        <v>1031</v>
      </c>
      <c r="N339" t="s">
        <v>1341</v>
      </c>
      <c r="O339" t="s">
        <v>1342</v>
      </c>
      <c r="P339" t="s">
        <v>388</v>
      </c>
      <c r="R339" s="34" t="str">
        <f>IF(Tabella4[[#This Row],[Componente]]="Documenti",_xlfn.XLOOKUP(Tabella4[[#This Row],[URL]],Tabella27[URL],Tabella27[PDF ID],,0),_xlfn.XLOOKUP(Tabella4[[#This Row],[URL]],Tabella1[URL],Tabella1[Page ID],,0))</f>
        <v>#8</v>
      </c>
      <c r="S339" s="34" t="s">
        <v>1004</v>
      </c>
      <c r="T339" t="s">
        <v>490</v>
      </c>
      <c r="V339" t="s">
        <v>492</v>
      </c>
      <c r="W339" s="34" t="s">
        <v>1067</v>
      </c>
      <c r="X33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id="heading-item-posteinsurancebrokerposteinsurancebroker-moduliguidare-sicuri-fase-di-vendita-faq-accordion-laumentodellaclassebonusmalusdipendedallentitdeldannoprovocato-15-15"&gt;</v>
      </c>
      <c r="Y339" s="34" t="str">
        <f>SUBSTITUTE(IF(Tabella4[[#This Row],[Tool]]="axe-core",MID(Tabella4[[#This Row],[Rejected Element]],3,LEN(Tabella4[[#This Row],[Rejected Element]])-4),Tabella4[[#This Row],[Rejected Element]]),"\","")</f>
        <v>#heading-item-posteinsurancebrokerposteinsurancebroker-moduliguidare-sicuri-fase-di-vendita-faq-accordion-laumentodellaclassebonusmalusdipendedallentitdeldannoprovocato-15-15</v>
      </c>
      <c r="Z339" s="34">
        <f>COUNTIFS(Tabella4[Detail univoco],Tabella4[[#This Row],[Detail univoco]],Tabella4[Rejected Element Univoco],Tabella4[[#This Row],[Rejected Element Univoco]],Tabella4[ItemsNodeLabel],Tabella4[[#This Row],[ItemsNodeLabel]])</f>
        <v>0</v>
      </c>
      <c r="AA339" s="34" t="str">
        <f>IF(Tabella4[[#This Row],[Componente]]="Documenti",VLOOKUP(Tabella4[[#This Row],[URL]],Tabella27[[URL]:[Servizio]],4,FALSE),VLOOKUP(Tabella4[[#This Row],[Page ID]],Tabella1[[Page ID]:[Servizio]],4,FALSE))</f>
        <v>S002 Poste Guidare Sicuri</v>
      </c>
      <c r="AB339" t="s">
        <v>1343</v>
      </c>
      <c r="AC339" s="34" t="str">
        <f>Tabella4[[#This Row],[User Impact]]</f>
        <v>2 - Serious</v>
      </c>
      <c r="AD339" s="34" t="str">
        <f>Copertina!C$2&amp;" - "&amp;Tabella4[[#This Row],[UNI CEI EN 301549]]&amp;" "&amp;VLOOKUP(Tabella4[[#This Row],[Criterio]],Tabella5[[ID]:[Criterio di successo]],2,FALSE)&amp;" - "&amp;Tabella4[[#This Row],[Servizio]]&amp;":"</f>
        <v>Insurance Brocker - 9.4.1.2 Nome, ruolo, valore - S002 Poste Guidare Sicuri:</v>
      </c>
      <c r="AE33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(#TM0242)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id="heading-item-posteinsurancebrokerposteinsurancebroker-moduliguidare-sicuri-fase-di-vendita-faq-accordion-laumentodellaclassebonusmalusdipendedallentitdeldannoprovocato-15-15"&gt; con selettore: 
["#heading-item-posteinsurancebrokerposteinsurancebroker-moduliguidare-sicuri-fase-di-vendita-faq-accordion-laumentodellaclassebonusmalusdipendedallentitdeldannoprovocato-15-15"]
Dettaglio + screenshot (accedere con le seguenti credenziali: user, axeposte@gmail.com; password, Poste2024!): https://axe.deque.com/issues/2a5c0b84-6184-40e7-9e39-6a7d0a38c7bd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39">
        <f>_xlfn.XLOOKUP(Tabella4[[#This Row],[ID Silk]],outTable[ID Silk],outTable[Numero ticket  ],,0,1)</f>
        <v>6016</v>
      </c>
    </row>
    <row r="340" spans="1:32">
      <c r="A340" s="34" t="str">
        <f>MID(Tabella4[[#This Row],[Servizio]],1,4)&amp;Tabella4[[#This Row],[UNI CEI EN 301549]]</f>
        <v>S0029.4.1.2</v>
      </c>
      <c r="B340" s="34" t="str">
        <f>Tabella4[[#This Row],[ID Silk]]&amp;"_1"</f>
        <v>S0029.4.1.2_1</v>
      </c>
      <c r="C340" s="34" t="s">
        <v>1685</v>
      </c>
      <c r="D340" s="2" t="str">
        <f>"(#"&amp;Tabella4[[#This Row],['#ID]]&amp;")"</f>
        <v>(#TM0243)</v>
      </c>
      <c r="E340" s="34" t="str">
        <f>IF(MID(Tabella4[[#This Row],['#ID]],1,1)="M","Mobile",IF(MID(Tabella4[[#This Row],['#ID]],1,1)="D","Desktop",IF(MID(Tabella4[[#This Row],['#ID]],1,2)="TM","Manuale","Documenti")))</f>
        <v>Manuale</v>
      </c>
      <c r="F340" s="34" t="s">
        <v>1005</v>
      </c>
      <c r="G340" s="34" t="s">
        <v>368</v>
      </c>
      <c r="H340" s="34" t="str">
        <f>IF(Tabella4[[#This Row],[Componente]]="Documenti","10.","9.")&amp;Tabella4[[#This Row],[Criterio]]</f>
        <v>9.4.1.2</v>
      </c>
      <c r="I340" s="34" t="s">
        <v>1023</v>
      </c>
      <c r="J340" s="34" t="s">
        <v>1028</v>
      </c>
      <c r="K340" s="34" t="s">
        <v>1029</v>
      </c>
      <c r="L340" s="34" t="s">
        <v>1030</v>
      </c>
      <c r="M340" s="34" t="s">
        <v>1031</v>
      </c>
      <c r="N340" t="s">
        <v>1344</v>
      </c>
      <c r="O340" t="s">
        <v>1345</v>
      </c>
      <c r="P340" t="s">
        <v>388</v>
      </c>
      <c r="R340" s="34" t="str">
        <f>IF(Tabella4[[#This Row],[Componente]]="Documenti",_xlfn.XLOOKUP(Tabella4[[#This Row],[URL]],Tabella27[URL],Tabella27[PDF ID],,0),_xlfn.XLOOKUP(Tabella4[[#This Row],[URL]],Tabella1[URL],Tabella1[Page ID],,0))</f>
        <v>#8</v>
      </c>
      <c r="S340" s="34" t="s">
        <v>1004</v>
      </c>
      <c r="T340" t="s">
        <v>490</v>
      </c>
      <c r="V340" t="s">
        <v>492</v>
      </c>
      <c r="W340" s="34" t="s">
        <v>1067</v>
      </c>
      <c r="X340"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id="heading-item-posteinsurancebrokerposteinsurancebroker-moduliguidare-sicuri-fase-di-vendita-faq-accordion-necessarioindicareilconducenteabitualedellauto-16-16"&gt;</v>
      </c>
      <c r="Y340" s="34" t="str">
        <f>SUBSTITUTE(IF(Tabella4[[#This Row],[Tool]]="axe-core",MID(Tabella4[[#This Row],[Rejected Element]],3,LEN(Tabella4[[#This Row],[Rejected Element]])-4),Tabella4[[#This Row],[Rejected Element]]),"\","")</f>
        <v>#heading-item-posteinsurancebrokerposteinsurancebroker-moduliguidare-sicuri-fase-di-vendita-faq-accordion-necessarioindicareilconducenteabitualedellauto-16-16</v>
      </c>
      <c r="Z340" s="34">
        <f>COUNTIFS(Tabella4[Detail univoco],Tabella4[[#This Row],[Detail univoco]],Tabella4[Rejected Element Univoco],Tabella4[[#This Row],[Rejected Element Univoco]],Tabella4[ItemsNodeLabel],Tabella4[[#This Row],[ItemsNodeLabel]])</f>
        <v>0</v>
      </c>
      <c r="AA340" s="34" t="str">
        <f>IF(Tabella4[[#This Row],[Componente]]="Documenti",VLOOKUP(Tabella4[[#This Row],[URL]],Tabella27[[URL]:[Servizio]],4,FALSE),VLOOKUP(Tabella4[[#This Row],[Page ID]],Tabella1[[Page ID]:[Servizio]],4,FALSE))</f>
        <v>S002 Poste Guidare Sicuri</v>
      </c>
      <c r="AB340" t="s">
        <v>1346</v>
      </c>
      <c r="AC340" s="34" t="str">
        <f>Tabella4[[#This Row],[User Impact]]</f>
        <v>2 - Serious</v>
      </c>
      <c r="AD340" s="34" t="str">
        <f>Copertina!C$2&amp;" - "&amp;Tabella4[[#This Row],[UNI CEI EN 301549]]&amp;" "&amp;VLOOKUP(Tabella4[[#This Row],[Criterio]],Tabella5[[ID]:[Criterio di successo]],2,FALSE)&amp;" - "&amp;Tabella4[[#This Row],[Servizio]]&amp;":"</f>
        <v>Insurance Brocker - 9.4.1.2 Nome, ruolo, valore - S002 Poste Guidare Sicuri:</v>
      </c>
      <c r="AE34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(#TM0243)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id="heading-item-posteinsurancebrokerposteinsurancebroker-moduliguidare-sicuri-fase-di-vendita-faq-accordion-necessarioindicareilconducenteabitualedellauto-16-16"&gt; con selettore: 
["#heading-item-posteinsurancebrokerposteinsurancebroker-moduliguidare-sicuri-fase-di-vendita-faq-accordion-necessarioindicareilconducenteabitualedellauto-16-16"]
Dettaglio + screenshot (accedere con le seguenti credenziali: user, axeposte@gmail.com; password, Poste2024!): https://axe.deque.com/issues/1694c7e7-e4c2-4340-a736-28e37d374005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40">
        <f>_xlfn.XLOOKUP(Tabella4[[#This Row],[ID Silk]],outTable[ID Silk],outTable[Numero ticket  ],,0,1)</f>
        <v>6016</v>
      </c>
    </row>
    <row r="341" spans="1:32">
      <c r="A341" s="34" t="str">
        <f>MID(Tabella4[[#This Row],[Servizio]],1,4)&amp;Tabella4[[#This Row],[UNI CEI EN 301549]]</f>
        <v>S0029.4.1.2</v>
      </c>
      <c r="B341" s="34" t="str">
        <f>Tabella4[[#This Row],[ID Silk]]&amp;"_1"</f>
        <v>S0029.4.1.2_1</v>
      </c>
      <c r="C341" s="34" t="s">
        <v>1686</v>
      </c>
      <c r="D341" s="2" t="str">
        <f>"(#"&amp;Tabella4[[#This Row],['#ID]]&amp;")"</f>
        <v>(#TM0244)</v>
      </c>
      <c r="E341" s="34" t="str">
        <f>IF(MID(Tabella4[[#This Row],['#ID]],1,1)="M","Mobile",IF(MID(Tabella4[[#This Row],['#ID]],1,1)="D","Desktop",IF(MID(Tabella4[[#This Row],['#ID]],1,2)="TM","Manuale","Documenti")))</f>
        <v>Manuale</v>
      </c>
      <c r="F341" s="34" t="s">
        <v>1005</v>
      </c>
      <c r="G341" s="34" t="s">
        <v>368</v>
      </c>
      <c r="H341" s="34" t="str">
        <f>IF(Tabella4[[#This Row],[Componente]]="Documenti","10.","9.")&amp;Tabella4[[#This Row],[Criterio]]</f>
        <v>9.4.1.2</v>
      </c>
      <c r="I341" s="34" t="s">
        <v>1023</v>
      </c>
      <c r="J341" s="34" t="s">
        <v>1028</v>
      </c>
      <c r="K341" s="34" t="s">
        <v>1029</v>
      </c>
      <c r="L341" s="34" t="s">
        <v>1030</v>
      </c>
      <c r="M341" s="34" t="s">
        <v>1031</v>
      </c>
      <c r="N341" t="s">
        <v>1347</v>
      </c>
      <c r="O341" t="s">
        <v>1348</v>
      </c>
      <c r="P341" t="s">
        <v>388</v>
      </c>
      <c r="R341" s="34" t="str">
        <f>IF(Tabella4[[#This Row],[Componente]]="Documenti",_xlfn.XLOOKUP(Tabella4[[#This Row],[URL]],Tabella27[URL],Tabella27[PDF ID],,0),_xlfn.XLOOKUP(Tabella4[[#This Row],[URL]],Tabella1[URL],Tabella1[Page ID],,0))</f>
        <v>#8</v>
      </c>
      <c r="S341" s="34" t="s">
        <v>1004</v>
      </c>
      <c r="T341" t="s">
        <v>490</v>
      </c>
      <c r="V341" t="s">
        <v>492</v>
      </c>
      <c r="W341" s="34" t="s">
        <v>1067</v>
      </c>
      <c r="X34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id="heading-item-posteinsurancebrokerposteinsurancebroker-moduliguidare-sicuri-fase-di-vendita-faq-accordion-possibilemodificareilpreventivoemessoinufficiopostaleunavoltagenerato-17-17"&gt;</v>
      </c>
      <c r="Y341" s="34" t="str">
        <f>SUBSTITUTE(IF(Tabella4[[#This Row],[Tool]]="axe-core",MID(Tabella4[[#This Row],[Rejected Element]],3,LEN(Tabella4[[#This Row],[Rejected Element]])-4),Tabella4[[#This Row],[Rejected Element]]),"\","")</f>
        <v>#heading-item-posteinsurancebrokerposteinsurancebroker-moduliguidare-sicuri-fase-di-vendita-faq-accordion-possibilemodificareilpreventivoemessoinufficiopostaleunavoltagenerato-17-17</v>
      </c>
      <c r="Z341" s="34">
        <f>COUNTIFS(Tabella4[Detail univoco],Tabella4[[#This Row],[Detail univoco]],Tabella4[Rejected Element Univoco],Tabella4[[#This Row],[Rejected Element Univoco]],Tabella4[ItemsNodeLabel],Tabella4[[#This Row],[ItemsNodeLabel]])</f>
        <v>0</v>
      </c>
      <c r="AA341" s="34" t="str">
        <f>IF(Tabella4[[#This Row],[Componente]]="Documenti",VLOOKUP(Tabella4[[#This Row],[URL]],Tabella27[[URL]:[Servizio]],4,FALSE),VLOOKUP(Tabella4[[#This Row],[Page ID]],Tabella1[[Page ID]:[Servizio]],4,FALSE))</f>
        <v>S002 Poste Guidare Sicuri</v>
      </c>
      <c r="AB341" t="s">
        <v>1349</v>
      </c>
      <c r="AC341" s="34" t="str">
        <f>Tabella4[[#This Row],[User Impact]]</f>
        <v>2 - Serious</v>
      </c>
      <c r="AD341" s="34" t="str">
        <f>Copertina!C$2&amp;" - "&amp;Tabella4[[#This Row],[UNI CEI EN 301549]]&amp;" "&amp;VLOOKUP(Tabella4[[#This Row],[Criterio]],Tabella5[[ID]:[Criterio di successo]],2,FALSE)&amp;" - "&amp;Tabella4[[#This Row],[Servizio]]&amp;":"</f>
        <v>Insurance Brocker - 9.4.1.2 Nome, ruolo, valore - S002 Poste Guidare Sicuri:</v>
      </c>
      <c r="AE34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(#TM0244)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id="heading-item-posteinsurancebrokerposteinsurancebroker-moduliguidare-sicuri-fase-di-vendita-faq-accordion-possibilemodificareilpreventivoemessoinufficiopostaleunavoltagenerato-17-17"&gt; con selettore: 
["#heading-item-posteinsurancebrokerposteinsurancebroker-moduliguidare-sicuri-fase-di-vendita-faq-accordion-possibilemodificareilpreventivoemessoinufficiopostaleunavoltagenerato-17-17"]
Dettaglio + screenshot (accedere con le seguenti credenziali: user, axeposte@gmail.com; password, Poste2024!): https://axe.deque.com/issues/7bf8cfa6-b004-4cd7-ad6c-b81544ddc79f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41">
        <f>_xlfn.XLOOKUP(Tabella4[[#This Row],[ID Silk]],outTable[ID Silk],outTable[Numero ticket  ],,0,1)</f>
        <v>6016</v>
      </c>
    </row>
    <row r="342" spans="1:32">
      <c r="A342" s="34" t="str">
        <f>MID(Tabella4[[#This Row],[Servizio]],1,4)&amp;Tabella4[[#This Row],[UNI CEI EN 301549]]</f>
        <v>S0029.4.1.2</v>
      </c>
      <c r="B342" s="34" t="str">
        <f>Tabella4[[#This Row],[ID Silk]]&amp;"_1"</f>
        <v>S0029.4.1.2_1</v>
      </c>
      <c r="C342" s="34" t="s">
        <v>1687</v>
      </c>
      <c r="D342" s="2" t="str">
        <f>"(#"&amp;Tabella4[[#This Row],['#ID]]&amp;")"</f>
        <v>(#TM0245)</v>
      </c>
      <c r="E342" s="34" t="str">
        <f>IF(MID(Tabella4[[#This Row],['#ID]],1,1)="M","Mobile",IF(MID(Tabella4[[#This Row],['#ID]],1,1)="D","Desktop",IF(MID(Tabella4[[#This Row],['#ID]],1,2)="TM","Manuale","Documenti")))</f>
        <v>Manuale</v>
      </c>
      <c r="F342" s="34" t="s">
        <v>1005</v>
      </c>
      <c r="G342" s="34" t="s">
        <v>368</v>
      </c>
      <c r="H342" s="34" t="str">
        <f>IF(Tabella4[[#This Row],[Componente]]="Documenti","10.","9.")&amp;Tabella4[[#This Row],[Criterio]]</f>
        <v>9.4.1.2</v>
      </c>
      <c r="I342" s="34" t="s">
        <v>1023</v>
      </c>
      <c r="J342" s="34" t="s">
        <v>1028</v>
      </c>
      <c r="K342" s="34" t="s">
        <v>1029</v>
      </c>
      <c r="L342" s="34" t="s">
        <v>1030</v>
      </c>
      <c r="M342" s="34" t="s">
        <v>1031</v>
      </c>
      <c r="N342" t="s">
        <v>1350</v>
      </c>
      <c r="O342" t="s">
        <v>1351</v>
      </c>
      <c r="P342" t="s">
        <v>388</v>
      </c>
      <c r="R342" s="34" t="str">
        <f>IF(Tabella4[[#This Row],[Componente]]="Documenti",_xlfn.XLOOKUP(Tabella4[[#This Row],[URL]],Tabella27[URL],Tabella27[PDF ID],,0),_xlfn.XLOOKUP(Tabella4[[#This Row],[URL]],Tabella1[URL],Tabella1[Page ID],,0))</f>
        <v>#8</v>
      </c>
      <c r="S342" s="34" t="s">
        <v>1004</v>
      </c>
      <c r="T342" t="s">
        <v>490</v>
      </c>
      <c r="V342" t="s">
        <v>492</v>
      </c>
      <c r="W342" s="34" t="s">
        <v>1067</v>
      </c>
      <c r="X342"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id="heading-item-posteinsurancebrokerposteinsurancebroker-moduliguidare-sicuri-fase-di-vendita-faq-accordion-possibileassicurareilganciotrainoedilrimorchio-18-18"&gt;</v>
      </c>
      <c r="Y342" s="34" t="str">
        <f>SUBSTITUTE(IF(Tabella4[[#This Row],[Tool]]="axe-core",MID(Tabella4[[#This Row],[Rejected Element]],3,LEN(Tabella4[[#This Row],[Rejected Element]])-4),Tabella4[[#This Row],[Rejected Element]]),"\","")</f>
        <v>#heading-item-posteinsurancebrokerposteinsurancebroker-moduliguidare-sicuri-fase-di-vendita-faq-accordion-possibileassicurareilganciotrainoedilrimorchio-18-18</v>
      </c>
      <c r="Z342" s="34">
        <f>COUNTIFS(Tabella4[Detail univoco],Tabella4[[#This Row],[Detail univoco]],Tabella4[Rejected Element Univoco],Tabella4[[#This Row],[Rejected Element Univoco]],Tabella4[ItemsNodeLabel],Tabella4[[#This Row],[ItemsNodeLabel]])</f>
        <v>0</v>
      </c>
      <c r="AA342" s="34" t="str">
        <f>IF(Tabella4[[#This Row],[Componente]]="Documenti",VLOOKUP(Tabella4[[#This Row],[URL]],Tabella27[[URL]:[Servizio]],4,FALSE),VLOOKUP(Tabella4[[#This Row],[Page ID]],Tabella1[[Page ID]:[Servizio]],4,FALSE))</f>
        <v>S002 Poste Guidare Sicuri</v>
      </c>
      <c r="AB342" t="s">
        <v>1352</v>
      </c>
      <c r="AC342" s="34" t="str">
        <f>Tabella4[[#This Row],[User Impact]]</f>
        <v>2 - Serious</v>
      </c>
      <c r="AD342" s="34" t="str">
        <f>Copertina!C$2&amp;" - "&amp;Tabella4[[#This Row],[UNI CEI EN 301549]]&amp;" "&amp;VLOOKUP(Tabella4[[#This Row],[Criterio]],Tabella5[[ID]:[Criterio di successo]],2,FALSE)&amp;" - "&amp;Tabella4[[#This Row],[Servizio]]&amp;":"</f>
        <v>Insurance Brocker - 9.4.1.2 Nome, ruolo, valore - S002 Poste Guidare Sicuri:</v>
      </c>
      <c r="AE34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(#TM0245)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id="heading-item-posteinsurancebrokerposteinsurancebroker-moduliguidare-sicuri-fase-di-vendita-faq-accordion-possibileassicurareilganciotrainoedilrimorchio-18-18"&gt; con selettore: 
["#heading-item-posteinsurancebrokerposteinsurancebroker-moduliguidare-sicuri-fase-di-vendita-faq-accordion-possibileassicurareilganciotrainoedilrimorchio-18-18"]
Dettaglio + screenshot (accedere con le seguenti credenziali: user, axeposte@gmail.com; password, Poste2024!): https://axe.deque.com/issues/0965224b-7d6c-4b15-95d3-595a0b9f693a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42">
        <f>_xlfn.XLOOKUP(Tabella4[[#This Row],[ID Silk]],outTable[ID Silk],outTable[Numero ticket  ],,0,1)</f>
        <v>6016</v>
      </c>
    </row>
    <row r="343" spans="1:32">
      <c r="A343" s="34" t="str">
        <f>MID(Tabella4[[#This Row],[Servizio]],1,4)&amp;Tabella4[[#This Row],[UNI CEI EN 301549]]</f>
        <v>S0029.4.1.2</v>
      </c>
      <c r="B343" s="34" t="str">
        <f>Tabella4[[#This Row],[ID Silk]]&amp;"_1"</f>
        <v>S0029.4.1.2_1</v>
      </c>
      <c r="C343" s="34" t="s">
        <v>1688</v>
      </c>
      <c r="D343" s="2" t="str">
        <f>"(#"&amp;Tabella4[[#This Row],['#ID]]&amp;")"</f>
        <v>(#TM0246)</v>
      </c>
      <c r="E343" s="34" t="str">
        <f>IF(MID(Tabella4[[#This Row],['#ID]],1,1)="M","Mobile",IF(MID(Tabella4[[#This Row],['#ID]],1,1)="D","Desktop",IF(MID(Tabella4[[#This Row],['#ID]],1,2)="TM","Manuale","Documenti")))</f>
        <v>Manuale</v>
      </c>
      <c r="F343" s="34" t="s">
        <v>1005</v>
      </c>
      <c r="G343" s="34" t="s">
        <v>368</v>
      </c>
      <c r="H343" s="34" t="str">
        <f>IF(Tabella4[[#This Row],[Componente]]="Documenti","10.","9.")&amp;Tabella4[[#This Row],[Criterio]]</f>
        <v>9.4.1.2</v>
      </c>
      <c r="I343" s="34" t="s">
        <v>1023</v>
      </c>
      <c r="J343" s="34" t="s">
        <v>1028</v>
      </c>
      <c r="K343" s="34" t="s">
        <v>1029</v>
      </c>
      <c r="L343" s="34" t="s">
        <v>1030</v>
      </c>
      <c r="M343" s="34" t="s">
        <v>1031</v>
      </c>
      <c r="N343" t="s">
        <v>1353</v>
      </c>
      <c r="O343" t="s">
        <v>1354</v>
      </c>
      <c r="P343" t="s">
        <v>388</v>
      </c>
      <c r="R343" s="34" t="str">
        <f>IF(Tabella4[[#This Row],[Componente]]="Documenti",_xlfn.XLOOKUP(Tabella4[[#This Row],[URL]],Tabella27[URL],Tabella27[PDF ID],,0),_xlfn.XLOOKUP(Tabella4[[#This Row],[URL]],Tabella1[URL],Tabella1[Page ID],,0))</f>
        <v>#8</v>
      </c>
      <c r="S343" s="34" t="s">
        <v>1004</v>
      </c>
      <c r="T343" t="s">
        <v>490</v>
      </c>
      <c r="V343" t="s">
        <v>492</v>
      </c>
      <c r="W343" s="34" t="s">
        <v>1067</v>
      </c>
      <c r="X34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id="heading-item-posteinsurancebrokerposteinsurancebroker-moduliguidare-sicuri-fase-di-vendita-faq-accordion-cosasiintendeperdirittodirivalsa-19-19"&gt;</v>
      </c>
      <c r="Y343" s="34" t="str">
        <f>SUBSTITUTE(IF(Tabella4[[#This Row],[Tool]]="axe-core",MID(Tabella4[[#This Row],[Rejected Element]],3,LEN(Tabella4[[#This Row],[Rejected Element]])-4),Tabella4[[#This Row],[Rejected Element]]),"\","")</f>
        <v>#heading-item-posteinsurancebrokerposteinsurancebroker-moduliguidare-sicuri-fase-di-vendita-faq-accordion-cosasiintendeperdirittodirivalsa-19-19</v>
      </c>
      <c r="Z343" s="34">
        <f>COUNTIFS(Tabella4[Detail univoco],Tabella4[[#This Row],[Detail univoco]],Tabella4[Rejected Element Univoco],Tabella4[[#This Row],[Rejected Element Univoco]],Tabella4[ItemsNodeLabel],Tabella4[[#This Row],[ItemsNodeLabel]])</f>
        <v>0</v>
      </c>
      <c r="AA343" s="34" t="str">
        <f>IF(Tabella4[[#This Row],[Componente]]="Documenti",VLOOKUP(Tabella4[[#This Row],[URL]],Tabella27[[URL]:[Servizio]],4,FALSE),VLOOKUP(Tabella4[[#This Row],[Page ID]],Tabella1[[Page ID]:[Servizio]],4,FALSE))</f>
        <v>S002 Poste Guidare Sicuri</v>
      </c>
      <c r="AB343" t="s">
        <v>1355</v>
      </c>
      <c r="AC343" s="34" t="str">
        <f>Tabella4[[#This Row],[User Impact]]</f>
        <v>2 - Serious</v>
      </c>
      <c r="AD343" s="34" t="str">
        <f>Copertina!C$2&amp;" - "&amp;Tabella4[[#This Row],[UNI CEI EN 301549]]&amp;" "&amp;VLOOKUP(Tabella4[[#This Row],[Criterio]],Tabella5[[ID]:[Criterio di successo]],2,FALSE)&amp;" - "&amp;Tabella4[[#This Row],[Servizio]]&amp;":"</f>
        <v>Insurance Brocker - 9.4.1.2 Nome, ruolo, valore - S002 Poste Guidare Sicuri:</v>
      </c>
      <c r="AE34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(#TM0246)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id="heading-item-posteinsurancebrokerposteinsurancebroker-moduliguidare-sicuri-fase-di-vendita-faq-accordion-cosasiintendeperdirittodirivalsa-19-19"&gt; con selettore: 
["#heading-item-posteinsurancebrokerposteinsurancebroker-moduliguidare-sicuri-fase-di-vendita-faq-accordion-cosasiintendeperdirittodirivalsa-19-19"]
Dettaglio + screenshot (accedere con le seguenti credenziali: user, axeposte@gmail.com; password, Poste2024!): https://axe.deque.com/issues/2c1b8581-ff69-4972-99d8-c35a19db8c82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43">
        <f>_xlfn.XLOOKUP(Tabella4[[#This Row],[ID Silk]],outTable[ID Silk],outTable[Numero ticket  ],,0,1)</f>
        <v>6016</v>
      </c>
    </row>
    <row r="344" spans="1:32">
      <c r="A344" s="34" t="str">
        <f>MID(Tabella4[[#This Row],[Servizio]],1,4)&amp;Tabella4[[#This Row],[UNI CEI EN 301549]]</f>
        <v>S0029.4.1.2</v>
      </c>
      <c r="B344" s="34" t="str">
        <f>Tabella4[[#This Row],[ID Silk]]&amp;"_1"</f>
        <v>S0029.4.1.2_1</v>
      </c>
      <c r="C344" s="34" t="s">
        <v>1689</v>
      </c>
      <c r="D344" s="2" t="str">
        <f>"(#"&amp;Tabella4[[#This Row],['#ID]]&amp;")"</f>
        <v>(#TM0247)</v>
      </c>
      <c r="E344" s="34" t="str">
        <f>IF(MID(Tabella4[[#This Row],['#ID]],1,1)="M","Mobile",IF(MID(Tabella4[[#This Row],['#ID]],1,1)="D","Desktop",IF(MID(Tabella4[[#This Row],['#ID]],1,2)="TM","Manuale","Documenti")))</f>
        <v>Manuale</v>
      </c>
      <c r="F344" s="34" t="s">
        <v>1005</v>
      </c>
      <c r="G344" s="34" t="s">
        <v>368</v>
      </c>
      <c r="H344" s="34" t="str">
        <f>IF(Tabella4[[#This Row],[Componente]]="Documenti","10.","9.")&amp;Tabella4[[#This Row],[Criterio]]</f>
        <v>9.4.1.2</v>
      </c>
      <c r="I344" s="34" t="s">
        <v>1023</v>
      </c>
      <c r="J344" s="34" t="s">
        <v>1028</v>
      </c>
      <c r="K344" s="34" t="s">
        <v>1029</v>
      </c>
      <c r="L344" s="34" t="s">
        <v>1030</v>
      </c>
      <c r="M344" s="34" t="s">
        <v>1031</v>
      </c>
      <c r="N344" t="s">
        <v>1356</v>
      </c>
      <c r="O344" t="s">
        <v>1357</v>
      </c>
      <c r="P344" t="s">
        <v>388</v>
      </c>
      <c r="R344" s="34" t="str">
        <f>IF(Tabella4[[#This Row],[Componente]]="Documenti",_xlfn.XLOOKUP(Tabella4[[#This Row],[URL]],Tabella27[URL],Tabella27[PDF ID],,0),_xlfn.XLOOKUP(Tabella4[[#This Row],[URL]],Tabella1[URL],Tabella1[Page ID],,0))</f>
        <v>#8</v>
      </c>
      <c r="S344" s="34" t="s">
        <v>1004</v>
      </c>
      <c r="T344" t="s">
        <v>490</v>
      </c>
      <c r="V344" t="s">
        <v>492</v>
      </c>
      <c r="W344" s="34" t="s">
        <v>1067</v>
      </c>
      <c r="X344"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id="heading-item-posteinsurancebrokerposteinsurancebroker-moduliguidare-sicuri-fase-di-vendita-faq-accordion-cosildispositivosatellitare-20-20"&gt;</v>
      </c>
      <c r="Y344" s="34" t="str">
        <f>SUBSTITUTE(IF(Tabella4[[#This Row],[Tool]]="axe-core",MID(Tabella4[[#This Row],[Rejected Element]],3,LEN(Tabella4[[#This Row],[Rejected Element]])-4),Tabella4[[#This Row],[Rejected Element]]),"\","")</f>
        <v>#heading-item-posteinsurancebrokerposteinsurancebroker-moduliguidare-sicuri-fase-di-vendita-faq-accordion-cosildispositivosatellitare-20-20</v>
      </c>
      <c r="Z344" s="34">
        <f>COUNTIFS(Tabella4[Detail univoco],Tabella4[[#This Row],[Detail univoco]],Tabella4[Rejected Element Univoco],Tabella4[[#This Row],[Rejected Element Univoco]],Tabella4[ItemsNodeLabel],Tabella4[[#This Row],[ItemsNodeLabel]])</f>
        <v>0</v>
      </c>
      <c r="AA344" s="34" t="str">
        <f>IF(Tabella4[[#This Row],[Componente]]="Documenti",VLOOKUP(Tabella4[[#This Row],[URL]],Tabella27[[URL]:[Servizio]],4,FALSE),VLOOKUP(Tabella4[[#This Row],[Page ID]],Tabella1[[Page ID]:[Servizio]],4,FALSE))</f>
        <v>S002 Poste Guidare Sicuri</v>
      </c>
      <c r="AB344" t="s">
        <v>1358</v>
      </c>
      <c r="AC344" s="34" t="str">
        <f>Tabella4[[#This Row],[User Impact]]</f>
        <v>2 - Serious</v>
      </c>
      <c r="AD344" s="34" t="str">
        <f>Copertina!C$2&amp;" - "&amp;Tabella4[[#This Row],[UNI CEI EN 301549]]&amp;" "&amp;VLOOKUP(Tabella4[[#This Row],[Criterio]],Tabella5[[ID]:[Criterio di successo]],2,FALSE)&amp;" - "&amp;Tabella4[[#This Row],[Servizio]]&amp;":"</f>
        <v>Insurance Brocker - 9.4.1.2 Nome, ruolo, valore - S002 Poste Guidare Sicuri:</v>
      </c>
      <c r="AE34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(#TM0247)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id="heading-item-posteinsurancebrokerposteinsurancebroker-moduliguidare-sicuri-fase-di-vendita-faq-accordion-cosildispositivosatellitare-20-20"&gt; con selettore: 
["#heading-item-posteinsurancebrokerposteinsurancebroker-moduliguidare-sicuri-fase-di-vendita-faq-accordion-cosildispositivosatellitare-20-20"]
Dettaglio + screenshot (accedere con le seguenti credenziali: user, axeposte@gmail.com; password, Poste2024!): https://axe.deque.com/issues/1e7d4769-ed94-4b53-a2d4-dfb16ccb5cac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44">
        <f>_xlfn.XLOOKUP(Tabella4[[#This Row],[ID Silk]],outTable[ID Silk],outTable[Numero ticket  ],,0,1)</f>
        <v>6016</v>
      </c>
    </row>
    <row r="345" spans="1:32">
      <c r="A345" s="34" t="str">
        <f>MID(Tabella4[[#This Row],[Servizio]],1,4)&amp;Tabella4[[#This Row],[UNI CEI EN 301549]]</f>
        <v>S0029.4.1.2</v>
      </c>
      <c r="B345" s="34" t="str">
        <f>Tabella4[[#This Row],[ID Silk]]&amp;"_1"</f>
        <v>S0029.4.1.2_1</v>
      </c>
      <c r="C345" s="34" t="s">
        <v>1690</v>
      </c>
      <c r="D345" s="2" t="str">
        <f>"(#"&amp;Tabella4[[#This Row],['#ID]]&amp;")"</f>
        <v>(#TM0248)</v>
      </c>
      <c r="E345" s="34" t="str">
        <f>IF(MID(Tabella4[[#This Row],['#ID]],1,1)="M","Mobile",IF(MID(Tabella4[[#This Row],['#ID]],1,1)="D","Desktop",IF(MID(Tabella4[[#This Row],['#ID]],1,2)="TM","Manuale","Documenti")))</f>
        <v>Manuale</v>
      </c>
      <c r="F345" s="34" t="s">
        <v>1005</v>
      </c>
      <c r="G345" s="34" t="s">
        <v>368</v>
      </c>
      <c r="H345" s="34" t="str">
        <f>IF(Tabella4[[#This Row],[Componente]]="Documenti","10.","9.")&amp;Tabella4[[#This Row],[Criterio]]</f>
        <v>9.4.1.2</v>
      </c>
      <c r="I345" s="34" t="s">
        <v>1023</v>
      </c>
      <c r="J345" s="34" t="s">
        <v>1028</v>
      </c>
      <c r="K345" s="34" t="s">
        <v>1029</v>
      </c>
      <c r="L345" s="34" t="s">
        <v>1030</v>
      </c>
      <c r="M345" s="34" t="s">
        <v>1031</v>
      </c>
      <c r="N345" t="s">
        <v>1359</v>
      </c>
      <c r="O345" t="s">
        <v>1360</v>
      </c>
      <c r="P345" t="s">
        <v>388</v>
      </c>
      <c r="R345" s="34" t="str">
        <f>IF(Tabella4[[#This Row],[Componente]]="Documenti",_xlfn.XLOOKUP(Tabella4[[#This Row],[URL]],Tabella27[URL],Tabella27[PDF ID],,0),_xlfn.XLOOKUP(Tabella4[[#This Row],[URL]],Tabella1[URL],Tabella1[Page ID],,0))</f>
        <v>#8</v>
      </c>
      <c r="S345" s="34" t="s">
        <v>1004</v>
      </c>
      <c r="T345" t="s">
        <v>490</v>
      </c>
      <c r="V345" t="s">
        <v>492</v>
      </c>
      <c r="W345" s="34" t="s">
        <v>1067</v>
      </c>
      <c r="X34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id="heading-item-posteinsurancebrokerposteinsurancebroker-moduliguidare-sicuri-fase-di-vendita-faq-accordion-checopertureoffrelagaranziaprotezioneimprevisti-21-21"&gt;</v>
      </c>
      <c r="Y345" s="34" t="str">
        <f>SUBSTITUTE(IF(Tabella4[[#This Row],[Tool]]="axe-core",MID(Tabella4[[#This Row],[Rejected Element]],3,LEN(Tabella4[[#This Row],[Rejected Element]])-4),Tabella4[[#This Row],[Rejected Element]]),"\","")</f>
        <v>#heading-item-posteinsurancebrokerposteinsurancebroker-moduliguidare-sicuri-fase-di-vendita-faq-accordion-checopertureoffrelagaranziaprotezioneimprevisti-21-21</v>
      </c>
      <c r="Z345" s="34">
        <f>COUNTIFS(Tabella4[Detail univoco],Tabella4[[#This Row],[Detail univoco]],Tabella4[Rejected Element Univoco],Tabella4[[#This Row],[Rejected Element Univoco]],Tabella4[ItemsNodeLabel],Tabella4[[#This Row],[ItemsNodeLabel]])</f>
        <v>0</v>
      </c>
      <c r="AA345" s="34" t="str">
        <f>IF(Tabella4[[#This Row],[Componente]]="Documenti",VLOOKUP(Tabella4[[#This Row],[URL]],Tabella27[[URL]:[Servizio]],4,FALSE),VLOOKUP(Tabella4[[#This Row],[Page ID]],Tabella1[[Page ID]:[Servizio]],4,FALSE))</f>
        <v>S002 Poste Guidare Sicuri</v>
      </c>
      <c r="AB345" t="s">
        <v>1361</v>
      </c>
      <c r="AC345" s="34" t="str">
        <f>Tabella4[[#This Row],[User Impact]]</f>
        <v>2 - Serious</v>
      </c>
      <c r="AD345" s="34" t="str">
        <f>Copertina!C$2&amp;" - "&amp;Tabella4[[#This Row],[UNI CEI EN 301549]]&amp;" "&amp;VLOOKUP(Tabella4[[#This Row],[Criterio]],Tabella5[[ID]:[Criterio di successo]],2,FALSE)&amp;" - "&amp;Tabella4[[#This Row],[Servizio]]&amp;":"</f>
        <v>Insurance Brocker - 9.4.1.2 Nome, ruolo, valore - S002 Poste Guidare Sicuri:</v>
      </c>
      <c r="AE34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(#TM0248)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id="heading-item-posteinsurancebrokerposteinsurancebroker-moduliguidare-sicuri-fase-di-vendita-faq-accordion-checopertureoffrelagaranziaprotezioneimprevisti-21-21"&gt; con selettore: 
["#heading-item-posteinsurancebrokerposteinsurancebroker-moduliguidare-sicuri-fase-di-vendita-faq-accordion-checopertureoffrelagaranziaprotezioneimprevisti-21-21"]
Dettaglio + screenshot (accedere con le seguenti credenziali: user, axeposte@gmail.com; password, Poste2024!): https://axe.deque.com/issues/a8a06a4f-d984-4cb0-ad66-96975d07fe5a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45">
        <f>_xlfn.XLOOKUP(Tabella4[[#This Row],[ID Silk]],outTable[ID Silk],outTable[Numero ticket  ],,0,1)</f>
        <v>6016</v>
      </c>
    </row>
    <row r="346" spans="1:32">
      <c r="A346" s="34" t="str">
        <f>MID(Tabella4[[#This Row],[Servizio]],1,4)&amp;Tabella4[[#This Row],[UNI CEI EN 301549]]</f>
        <v>S0029.4.1.2</v>
      </c>
      <c r="B346" s="34" t="str">
        <f>Tabella4[[#This Row],[ID Silk]]&amp;"_1"</f>
        <v>S0029.4.1.2_1</v>
      </c>
      <c r="C346" s="34" t="s">
        <v>1691</v>
      </c>
      <c r="D346" s="2" t="str">
        <f>"(#"&amp;Tabella4[[#This Row],['#ID]]&amp;")"</f>
        <v>(#TM0249)</v>
      </c>
      <c r="E346" s="34" t="str">
        <f>IF(MID(Tabella4[[#This Row],['#ID]],1,1)="M","Mobile",IF(MID(Tabella4[[#This Row],['#ID]],1,1)="D","Desktop",IF(MID(Tabella4[[#This Row],['#ID]],1,2)="TM","Manuale","Documenti")))</f>
        <v>Manuale</v>
      </c>
      <c r="F346" s="34" t="s">
        <v>1005</v>
      </c>
      <c r="G346" s="34" t="s">
        <v>368</v>
      </c>
      <c r="H346" s="34" t="str">
        <f>IF(Tabella4[[#This Row],[Componente]]="Documenti","10.","9.")&amp;Tabella4[[#This Row],[Criterio]]</f>
        <v>9.4.1.2</v>
      </c>
      <c r="I346" s="34" t="s">
        <v>1023</v>
      </c>
      <c r="J346" s="34" t="s">
        <v>1028</v>
      </c>
      <c r="K346" s="34" t="s">
        <v>1029</v>
      </c>
      <c r="L346" s="34" t="s">
        <v>1030</v>
      </c>
      <c r="M346" s="34" t="s">
        <v>1031</v>
      </c>
      <c r="N346" t="s">
        <v>1362</v>
      </c>
      <c r="O346" t="s">
        <v>1363</v>
      </c>
      <c r="P346" t="s">
        <v>388</v>
      </c>
      <c r="R346" s="34" t="str">
        <f>IF(Tabella4[[#This Row],[Componente]]="Documenti",_xlfn.XLOOKUP(Tabella4[[#This Row],[URL]],Tabella27[URL],Tabella27[PDF ID],,0),_xlfn.XLOOKUP(Tabella4[[#This Row],[URL]],Tabella1[URL],Tabella1[Page ID],,0))</f>
        <v>#8</v>
      </c>
      <c r="S346" s="34" t="s">
        <v>1004</v>
      </c>
      <c r="T346" t="s">
        <v>490</v>
      </c>
      <c r="V346" t="s">
        <v>492</v>
      </c>
      <c r="W346" s="34" t="s">
        <v>1067</v>
      </c>
      <c r="X346"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id="heading-item-posteinsurancebrokerposteinsurancebroker-moduliguidare-sicuri-fase-di-vendita-faq-accordion-cisonodellecopertureaggiuntiveincasodiacquistodellagaranziarca-22-22"&gt;</v>
      </c>
      <c r="Y346" s="34" t="str">
        <f>SUBSTITUTE(IF(Tabella4[[#This Row],[Tool]]="axe-core",MID(Tabella4[[#This Row],[Rejected Element]],3,LEN(Tabella4[[#This Row],[Rejected Element]])-4),Tabella4[[#This Row],[Rejected Element]]),"\","")</f>
        <v>#heading-item-posteinsurancebrokerposteinsurancebroker-moduliguidare-sicuri-fase-di-vendita-faq-accordion-cisonodellecopertureaggiuntiveincasodiacquistodellagaranziarca-22-22</v>
      </c>
      <c r="Z346" s="34">
        <f>COUNTIFS(Tabella4[Detail univoco],Tabella4[[#This Row],[Detail univoco]],Tabella4[Rejected Element Univoco],Tabella4[[#This Row],[Rejected Element Univoco]],Tabella4[ItemsNodeLabel],Tabella4[[#This Row],[ItemsNodeLabel]])</f>
        <v>0</v>
      </c>
      <c r="AA346" s="34" t="str">
        <f>IF(Tabella4[[#This Row],[Componente]]="Documenti",VLOOKUP(Tabella4[[#This Row],[URL]],Tabella27[[URL]:[Servizio]],4,FALSE),VLOOKUP(Tabella4[[#This Row],[Page ID]],Tabella1[[Page ID]:[Servizio]],4,FALSE))</f>
        <v>S002 Poste Guidare Sicuri</v>
      </c>
      <c r="AB346" t="s">
        <v>1364</v>
      </c>
      <c r="AC346" s="34" t="str">
        <f>Tabella4[[#This Row],[User Impact]]</f>
        <v>2 - Serious</v>
      </c>
      <c r="AD346" s="34" t="str">
        <f>Copertina!C$2&amp;" - "&amp;Tabella4[[#This Row],[UNI CEI EN 301549]]&amp;" "&amp;VLOOKUP(Tabella4[[#This Row],[Criterio]],Tabella5[[ID]:[Criterio di successo]],2,FALSE)&amp;" - "&amp;Tabella4[[#This Row],[Servizio]]&amp;":"</f>
        <v>Insurance Brocker - 9.4.1.2 Nome, ruolo, valore - S002 Poste Guidare Sicuri:</v>
      </c>
      <c r="AE34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(#TM0249)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id="heading-item-posteinsurancebrokerposteinsurancebroker-moduliguidare-sicuri-fase-di-vendita-faq-accordion-cisonodellecopertureaggiuntiveincasodiacquistodellagaranziarca-22-22"&gt; con selettore: 
["#heading-item-posteinsurancebrokerposteinsurancebroker-moduliguidare-sicuri-fase-di-vendita-faq-accordion-cisonodellecopertureaggiuntiveincasodiacquistodellagaranziarca-22-22"]
Dettaglio + screenshot (accedere con le seguenti credenziali: user, axeposte@gmail.com; password, Poste2024!): https://axe.deque.com/issues/61b173eb-3938-4ec0-9341-7db921d86d7c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46">
        <f>_xlfn.XLOOKUP(Tabella4[[#This Row],[ID Silk]],outTable[ID Silk],outTable[Numero ticket  ],,0,1)</f>
        <v>6016</v>
      </c>
    </row>
    <row r="347" spans="1:32">
      <c r="A347" s="34" t="str">
        <f>MID(Tabella4[[#This Row],[Servizio]],1,4)&amp;Tabella4[[#This Row],[UNI CEI EN 301549]]</f>
        <v>S0029.4.1.2</v>
      </c>
      <c r="B347" s="34" t="str">
        <f>Tabella4[[#This Row],[ID Silk]]&amp;"_1"</f>
        <v>S0029.4.1.2_1</v>
      </c>
      <c r="C347" s="34" t="s">
        <v>1692</v>
      </c>
      <c r="D347" s="2" t="str">
        <f>"(#"&amp;Tabella4[[#This Row],['#ID]]&amp;")"</f>
        <v>(#TM0250)</v>
      </c>
      <c r="E347" s="34" t="str">
        <f>IF(MID(Tabella4[[#This Row],['#ID]],1,1)="M","Mobile",IF(MID(Tabella4[[#This Row],['#ID]],1,1)="D","Desktop",IF(MID(Tabella4[[#This Row],['#ID]],1,2)="TM","Manuale","Documenti")))</f>
        <v>Manuale</v>
      </c>
      <c r="F347" s="34" t="s">
        <v>1005</v>
      </c>
      <c r="G347" s="34" t="s">
        <v>368</v>
      </c>
      <c r="H347" s="34" t="str">
        <f>IF(Tabella4[[#This Row],[Componente]]="Documenti","10.","9.")&amp;Tabella4[[#This Row],[Criterio]]</f>
        <v>9.4.1.2</v>
      </c>
      <c r="I347" s="34" t="s">
        <v>1023</v>
      </c>
      <c r="J347" s="34" t="s">
        <v>1028</v>
      </c>
      <c r="K347" s="34" t="s">
        <v>1029</v>
      </c>
      <c r="L347" s="34" t="s">
        <v>1030</v>
      </c>
      <c r="M347" s="34" t="s">
        <v>1031</v>
      </c>
      <c r="N347" t="s">
        <v>1365</v>
      </c>
      <c r="O347" t="s">
        <v>1366</v>
      </c>
      <c r="P347" t="s">
        <v>388</v>
      </c>
      <c r="R347" s="34" t="str">
        <f>IF(Tabella4[[#This Row],[Componente]]="Documenti",_xlfn.XLOOKUP(Tabella4[[#This Row],[URL]],Tabella27[URL],Tabella27[PDF ID],,0),_xlfn.XLOOKUP(Tabella4[[#This Row],[URL]],Tabella1[URL],Tabella1[Page ID],,0))</f>
        <v>#8</v>
      </c>
      <c r="S347" s="34" t="s">
        <v>1004</v>
      </c>
      <c r="T347" t="s">
        <v>490</v>
      </c>
      <c r="V347" t="s">
        <v>492</v>
      </c>
      <c r="W347" s="34" t="s">
        <v>1067</v>
      </c>
      <c r="X34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id="heading-item-posteinsurancebrokerposteinsurancebroker-moduliguidare-sicuri-fase-di-vendita-faq-accordion-conpolizzarcasonocopertoancheperidanninelleareeprivate-23-23"&gt;</v>
      </c>
      <c r="Y347" s="34" t="str">
        <f>SUBSTITUTE(IF(Tabella4[[#This Row],[Tool]]="axe-core",MID(Tabella4[[#This Row],[Rejected Element]],3,LEN(Tabella4[[#This Row],[Rejected Element]])-4),Tabella4[[#This Row],[Rejected Element]]),"\","")</f>
        <v>#heading-item-posteinsurancebrokerposteinsurancebroker-moduliguidare-sicuri-fase-di-vendita-faq-accordion-conpolizzarcasonocopertoancheperidanninelleareeprivate-23-23</v>
      </c>
      <c r="Z347" s="34">
        <f>COUNTIFS(Tabella4[Detail univoco],Tabella4[[#This Row],[Detail univoco]],Tabella4[Rejected Element Univoco],Tabella4[[#This Row],[Rejected Element Univoco]],Tabella4[ItemsNodeLabel],Tabella4[[#This Row],[ItemsNodeLabel]])</f>
        <v>0</v>
      </c>
      <c r="AA347" s="34" t="str">
        <f>IF(Tabella4[[#This Row],[Componente]]="Documenti",VLOOKUP(Tabella4[[#This Row],[URL]],Tabella27[[URL]:[Servizio]],4,FALSE),VLOOKUP(Tabella4[[#This Row],[Page ID]],Tabella1[[Page ID]:[Servizio]],4,FALSE))</f>
        <v>S002 Poste Guidare Sicuri</v>
      </c>
      <c r="AB347" t="s">
        <v>1367</v>
      </c>
      <c r="AC347" s="34" t="str">
        <f>Tabella4[[#This Row],[User Impact]]</f>
        <v>2 - Serious</v>
      </c>
      <c r="AD347" s="34" t="str">
        <f>Copertina!C$2&amp;" - "&amp;Tabella4[[#This Row],[UNI CEI EN 301549]]&amp;" "&amp;VLOOKUP(Tabella4[[#This Row],[Criterio]],Tabella5[[ID]:[Criterio di successo]],2,FALSE)&amp;" - "&amp;Tabella4[[#This Row],[Servizio]]&amp;":"</f>
        <v>Insurance Brocker - 9.4.1.2 Nome, ruolo, valore - S002 Poste Guidare Sicuri:</v>
      </c>
      <c r="AE34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(#TM0250)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id="heading-item-posteinsurancebrokerposteinsurancebroker-moduliguidare-sicuri-fase-di-vendita-faq-accordion-conpolizzarcasonocopertoancheperidanninelleareeprivate-23-23"&gt; con selettore: 
["#heading-item-posteinsurancebrokerposteinsurancebroker-moduliguidare-sicuri-fase-di-vendita-faq-accordion-conpolizzarcasonocopertoancheperidanninelleareeprivate-23-23"]
Dettaglio + screenshot (accedere con le seguenti credenziali: user, axeposte@gmail.com; password, Poste2024!): https://axe.deque.com/issues/27018125-daf2-4541-9088-ee0d2598b59c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47">
        <f>_xlfn.XLOOKUP(Tabella4[[#This Row],[ID Silk]],outTable[ID Silk],outTable[Numero ticket  ],,0,1)</f>
        <v>6016</v>
      </c>
    </row>
    <row r="348" spans="1:32">
      <c r="A348" s="34" t="str">
        <f>MID(Tabella4[[#This Row],[Servizio]],1,4)&amp;Tabella4[[#This Row],[UNI CEI EN 301549]]</f>
        <v>S0029.4.1.2</v>
      </c>
      <c r="B348" s="34" t="str">
        <f>Tabella4[[#This Row],[ID Silk]]&amp;"_1"</f>
        <v>S0029.4.1.2_1</v>
      </c>
      <c r="C348" s="34" t="s">
        <v>1693</v>
      </c>
      <c r="D348" s="2" t="str">
        <f>"(#"&amp;Tabella4[[#This Row],['#ID]]&amp;")"</f>
        <v>(#TM0251)</v>
      </c>
      <c r="E348" s="34" t="str">
        <f>IF(MID(Tabella4[[#This Row],['#ID]],1,1)="M","Mobile",IF(MID(Tabella4[[#This Row],['#ID]],1,1)="D","Desktop",IF(MID(Tabella4[[#This Row],['#ID]],1,2)="TM","Manuale","Documenti")))</f>
        <v>Manuale</v>
      </c>
      <c r="F348" s="34" t="s">
        <v>1005</v>
      </c>
      <c r="G348" s="34" t="s">
        <v>368</v>
      </c>
      <c r="H348" s="34" t="str">
        <f>IF(Tabella4[[#This Row],[Componente]]="Documenti","10.","9.")&amp;Tabella4[[#This Row],[Criterio]]</f>
        <v>9.4.1.2</v>
      </c>
      <c r="I348" s="34" t="s">
        <v>1023</v>
      </c>
      <c r="J348" s="34" t="s">
        <v>1028</v>
      </c>
      <c r="K348" s="34" t="s">
        <v>1029</v>
      </c>
      <c r="L348" s="34" t="s">
        <v>1030</v>
      </c>
      <c r="M348" s="34" t="s">
        <v>1031</v>
      </c>
      <c r="N348" t="s">
        <v>1368</v>
      </c>
      <c r="O348" t="s">
        <v>1369</v>
      </c>
      <c r="P348" t="s">
        <v>388</v>
      </c>
      <c r="R348" s="34" t="str">
        <f>IF(Tabella4[[#This Row],[Componente]]="Documenti",_xlfn.XLOOKUP(Tabella4[[#This Row],[URL]],Tabella27[URL],Tabella27[PDF ID],,0),_xlfn.XLOOKUP(Tabella4[[#This Row],[URL]],Tabella1[URL],Tabella1[Page ID],,0))</f>
        <v>#8</v>
      </c>
      <c r="S348" s="34" t="s">
        <v>1004</v>
      </c>
      <c r="T348" t="s">
        <v>490</v>
      </c>
      <c r="V348" t="s">
        <v>492</v>
      </c>
      <c r="W348" s="34" t="s">
        <v>1067</v>
      </c>
      <c r="X348"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id="heading-item-posteinsurancebrokerposteinsurancebroker-moduliguidare-sicuri-fase-di-vendita-faq-accordion-checopertureoffrelagaranziaassistenzastradale-24-24"&gt;</v>
      </c>
      <c r="Y348" s="34" t="str">
        <f>SUBSTITUTE(IF(Tabella4[[#This Row],[Tool]]="axe-core",MID(Tabella4[[#This Row],[Rejected Element]],3,LEN(Tabella4[[#This Row],[Rejected Element]])-4),Tabella4[[#This Row],[Rejected Element]]),"\","")</f>
        <v>#heading-item-posteinsurancebrokerposteinsurancebroker-moduliguidare-sicuri-fase-di-vendita-faq-accordion-checopertureoffrelagaranziaassistenzastradale-24-24</v>
      </c>
      <c r="Z348" s="34">
        <f>COUNTIFS(Tabella4[Detail univoco],Tabella4[[#This Row],[Detail univoco]],Tabella4[Rejected Element Univoco],Tabella4[[#This Row],[Rejected Element Univoco]],Tabella4[ItemsNodeLabel],Tabella4[[#This Row],[ItemsNodeLabel]])</f>
        <v>0</v>
      </c>
      <c r="AA348" s="34" t="str">
        <f>IF(Tabella4[[#This Row],[Componente]]="Documenti",VLOOKUP(Tabella4[[#This Row],[URL]],Tabella27[[URL]:[Servizio]],4,FALSE),VLOOKUP(Tabella4[[#This Row],[Page ID]],Tabella1[[Page ID]:[Servizio]],4,FALSE))</f>
        <v>S002 Poste Guidare Sicuri</v>
      </c>
      <c r="AB348" t="s">
        <v>1370</v>
      </c>
      <c r="AC348" s="34" t="str">
        <f>Tabella4[[#This Row],[User Impact]]</f>
        <v>2 - Serious</v>
      </c>
      <c r="AD348" s="34" t="str">
        <f>Copertina!C$2&amp;" - "&amp;Tabella4[[#This Row],[UNI CEI EN 301549]]&amp;" "&amp;VLOOKUP(Tabella4[[#This Row],[Criterio]],Tabella5[[ID]:[Criterio di successo]],2,FALSE)&amp;" - "&amp;Tabella4[[#This Row],[Servizio]]&amp;":"</f>
        <v>Insurance Brocker - 9.4.1.2 Nome, ruolo, valore - S002 Poste Guidare Sicuri:</v>
      </c>
      <c r="AE34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(#TM0251)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id="heading-item-posteinsurancebrokerposteinsurancebroker-moduliguidare-sicuri-fase-di-vendita-faq-accordion-checopertureoffrelagaranziaassistenzastradale-24-24"&gt; con selettore: 
["#heading-item-posteinsurancebrokerposteinsurancebroker-moduliguidare-sicuri-fase-di-vendita-faq-accordion-checopertureoffrelagaranziaassistenzastradale-24-24"]
Dettaglio + screenshot (accedere con le seguenti credenziali: user, axeposte@gmail.com; password, Poste2024!): https://axe.deque.com/issues/dcb204a9-49a6-4fcb-aba6-9a27ee844aa3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48">
        <f>_xlfn.XLOOKUP(Tabella4[[#This Row],[ID Silk]],outTable[ID Silk],outTable[Numero ticket  ],,0,1)</f>
        <v>6016</v>
      </c>
    </row>
    <row r="349" spans="1:32">
      <c r="A349" s="34" t="str">
        <f>MID(Tabella4[[#This Row],[Servizio]],1,4)&amp;Tabella4[[#This Row],[UNI CEI EN 301549]]</f>
        <v>S0029.4.1.2</v>
      </c>
      <c r="B349" s="34" t="str">
        <f>Tabella4[[#This Row],[ID Silk]]&amp;"_1"</f>
        <v>S0029.4.1.2_1</v>
      </c>
      <c r="C349" s="34" t="s">
        <v>1694</v>
      </c>
      <c r="D349" s="2" t="str">
        <f>"(#"&amp;Tabella4[[#This Row],['#ID]]&amp;")"</f>
        <v>(#TM0252)</v>
      </c>
      <c r="E349" s="34" t="str">
        <f>IF(MID(Tabella4[[#This Row],['#ID]],1,1)="M","Mobile",IF(MID(Tabella4[[#This Row],['#ID]],1,1)="D","Desktop",IF(MID(Tabella4[[#This Row],['#ID]],1,2)="TM","Manuale","Documenti")))</f>
        <v>Manuale</v>
      </c>
      <c r="F349" s="34" t="s">
        <v>1005</v>
      </c>
      <c r="G349" s="34" t="s">
        <v>368</v>
      </c>
      <c r="H349" s="34" t="str">
        <f>IF(Tabella4[[#This Row],[Componente]]="Documenti","10.","9.")&amp;Tabella4[[#This Row],[Criterio]]</f>
        <v>9.4.1.2</v>
      </c>
      <c r="I349" s="34" t="s">
        <v>1023</v>
      </c>
      <c r="J349" s="34" t="s">
        <v>1028</v>
      </c>
      <c r="K349" s="34" t="s">
        <v>1029</v>
      </c>
      <c r="L349" s="34" t="s">
        <v>1030</v>
      </c>
      <c r="M349" s="34" t="s">
        <v>1031</v>
      </c>
      <c r="N349" t="s">
        <v>1371</v>
      </c>
      <c r="O349" t="s">
        <v>1372</v>
      </c>
      <c r="P349" t="s">
        <v>388</v>
      </c>
      <c r="R349" s="34" t="str">
        <f>IF(Tabella4[[#This Row],[Componente]]="Documenti",_xlfn.XLOOKUP(Tabella4[[#This Row],[URL]],Tabella27[URL],Tabella27[PDF ID],,0),_xlfn.XLOOKUP(Tabella4[[#This Row],[URL]],Tabella1[URL],Tabella1[Page ID],,0))</f>
        <v>#8</v>
      </c>
      <c r="S349" s="34" t="s">
        <v>1004</v>
      </c>
      <c r="T349" t="s">
        <v>490</v>
      </c>
      <c r="V349" t="s">
        <v>492</v>
      </c>
      <c r="W349" s="34" t="s">
        <v>1067</v>
      </c>
      <c r="X34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id="heading-item-posteinsurancebrokerposteinsurancebroker-moduliguidare-sicuri-fase-di-vendita-faq-accordion-checopertureoffrelagaranziakaskocollisione-25-25"&gt;</v>
      </c>
      <c r="Y349" s="34" t="str">
        <f>SUBSTITUTE(IF(Tabella4[[#This Row],[Tool]]="axe-core",MID(Tabella4[[#This Row],[Rejected Element]],3,LEN(Tabella4[[#This Row],[Rejected Element]])-4),Tabella4[[#This Row],[Rejected Element]]),"\","")</f>
        <v>#heading-item-posteinsurancebrokerposteinsurancebroker-moduliguidare-sicuri-fase-di-vendita-faq-accordion-checopertureoffrelagaranziakaskocollisione-25-25</v>
      </c>
      <c r="Z349" s="34">
        <f>COUNTIFS(Tabella4[Detail univoco],Tabella4[[#This Row],[Detail univoco]],Tabella4[Rejected Element Univoco],Tabella4[[#This Row],[Rejected Element Univoco]],Tabella4[ItemsNodeLabel],Tabella4[[#This Row],[ItemsNodeLabel]])</f>
        <v>0</v>
      </c>
      <c r="AA349" s="34" t="str">
        <f>IF(Tabella4[[#This Row],[Componente]]="Documenti",VLOOKUP(Tabella4[[#This Row],[URL]],Tabella27[[URL]:[Servizio]],4,FALSE),VLOOKUP(Tabella4[[#This Row],[Page ID]],Tabella1[[Page ID]:[Servizio]],4,FALSE))</f>
        <v>S002 Poste Guidare Sicuri</v>
      </c>
      <c r="AB349" t="s">
        <v>1373</v>
      </c>
      <c r="AC349" s="34" t="str">
        <f>Tabella4[[#This Row],[User Impact]]</f>
        <v>2 - Serious</v>
      </c>
      <c r="AD349" s="34" t="str">
        <f>Copertina!C$2&amp;" - "&amp;Tabella4[[#This Row],[UNI CEI EN 301549]]&amp;" "&amp;VLOOKUP(Tabella4[[#This Row],[Criterio]],Tabella5[[ID]:[Criterio di successo]],2,FALSE)&amp;" - "&amp;Tabella4[[#This Row],[Servizio]]&amp;":"</f>
        <v>Insurance Brocker - 9.4.1.2 Nome, ruolo, valore - S002 Poste Guidare Sicuri:</v>
      </c>
      <c r="AE34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(#TM0252)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id="heading-item-posteinsurancebrokerposteinsurancebroker-moduliguidare-sicuri-fase-di-vendita-faq-accordion-checopertureoffrelagaranziakaskocollisione-25-25"&gt; con selettore: 
["#heading-item-posteinsurancebrokerposteinsurancebroker-moduliguidare-sicuri-fase-di-vendita-faq-accordion-checopertureoffrelagaranziakaskocollisione-25-25"]
Dettaglio + screenshot (accedere con le seguenti credenziali: user, axeposte@gmail.com; password, Poste2024!): https://axe.deque.com/issues/285cf165-1b5f-491c-ba93-fe484303ad0d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49">
        <f>_xlfn.XLOOKUP(Tabella4[[#This Row],[ID Silk]],outTable[ID Silk],outTable[Numero ticket  ],,0,1)</f>
        <v>6016</v>
      </c>
    </row>
    <row r="350" spans="1:32">
      <c r="A350" s="34" t="str">
        <f>MID(Tabella4[[#This Row],[Servizio]],1,4)&amp;Tabella4[[#This Row],[UNI CEI EN 301549]]</f>
        <v>S0029.4.1.2</v>
      </c>
      <c r="B350" s="34" t="str">
        <f>Tabella4[[#This Row],[ID Silk]]&amp;"_1"</f>
        <v>S0029.4.1.2_1</v>
      </c>
      <c r="C350" s="34" t="s">
        <v>1695</v>
      </c>
      <c r="D350" s="2" t="str">
        <f>"(#"&amp;Tabella4[[#This Row],['#ID]]&amp;")"</f>
        <v>(#TM0253)</v>
      </c>
      <c r="E350" s="34" t="str">
        <f>IF(MID(Tabella4[[#This Row],['#ID]],1,1)="M","Mobile",IF(MID(Tabella4[[#This Row],['#ID]],1,1)="D","Desktop",IF(MID(Tabella4[[#This Row],['#ID]],1,2)="TM","Manuale","Documenti")))</f>
        <v>Manuale</v>
      </c>
      <c r="F350" s="34" t="s">
        <v>1005</v>
      </c>
      <c r="G350" s="34" t="s">
        <v>368</v>
      </c>
      <c r="H350" s="34" t="str">
        <f>IF(Tabella4[[#This Row],[Componente]]="Documenti","10.","9.")&amp;Tabella4[[#This Row],[Criterio]]</f>
        <v>9.4.1.2</v>
      </c>
      <c r="I350" s="34" t="s">
        <v>1023</v>
      </c>
      <c r="J350" s="34" t="s">
        <v>1028</v>
      </c>
      <c r="K350" s="34" t="s">
        <v>1029</v>
      </c>
      <c r="L350" s="34" t="s">
        <v>1030</v>
      </c>
      <c r="M350" s="34" t="s">
        <v>1031</v>
      </c>
      <c r="N350" t="s">
        <v>1374</v>
      </c>
      <c r="O350" t="s">
        <v>1375</v>
      </c>
      <c r="P350" t="s">
        <v>388</v>
      </c>
      <c r="R350" s="34" t="str">
        <f>IF(Tabella4[[#This Row],[Componente]]="Documenti",_xlfn.XLOOKUP(Tabella4[[#This Row],[URL]],Tabella27[URL],Tabella27[PDF ID],,0),_xlfn.XLOOKUP(Tabella4[[#This Row],[URL]],Tabella1[URL],Tabella1[Page ID],,0))</f>
        <v>#8</v>
      </c>
      <c r="S350" s="34" t="s">
        <v>1004</v>
      </c>
      <c r="T350" t="s">
        <v>490</v>
      </c>
      <c r="V350" t="s">
        <v>492</v>
      </c>
      <c r="W350" s="34" t="s">
        <v>1067</v>
      </c>
      <c r="X350"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id="heading-item-posteinsurancebrokerposteinsurancebroker-moduliguidare-sicuri-fase-di-vendita-faq-accordion-qualladifferenzatralagaranziakaskocollisioneelagaranziakaskocompleta-26-26"&gt;</v>
      </c>
      <c r="Y350" s="34" t="str">
        <f>SUBSTITUTE(IF(Tabella4[[#This Row],[Tool]]="axe-core",MID(Tabella4[[#This Row],[Rejected Element]],3,LEN(Tabella4[[#This Row],[Rejected Element]])-4),Tabella4[[#This Row],[Rejected Element]]),"\","")</f>
        <v>#heading-item-posteinsurancebrokerposteinsurancebroker-moduliguidare-sicuri-fase-di-vendita-faq-accordion-qualladifferenzatralagaranziakaskocollisioneelagaranziakaskocompleta-26-26</v>
      </c>
      <c r="Z350" s="34">
        <f>COUNTIFS(Tabella4[Detail univoco],Tabella4[[#This Row],[Detail univoco]],Tabella4[Rejected Element Univoco],Tabella4[[#This Row],[Rejected Element Univoco]],Tabella4[ItemsNodeLabel],Tabella4[[#This Row],[ItemsNodeLabel]])</f>
        <v>0</v>
      </c>
      <c r="AA350" s="34" t="str">
        <f>IF(Tabella4[[#This Row],[Componente]]="Documenti",VLOOKUP(Tabella4[[#This Row],[URL]],Tabella27[[URL]:[Servizio]],4,FALSE),VLOOKUP(Tabella4[[#This Row],[Page ID]],Tabella1[[Page ID]:[Servizio]],4,FALSE))</f>
        <v>S002 Poste Guidare Sicuri</v>
      </c>
      <c r="AB350" t="s">
        <v>1376</v>
      </c>
      <c r="AC350" s="34" t="str">
        <f>Tabella4[[#This Row],[User Impact]]</f>
        <v>2 - Serious</v>
      </c>
      <c r="AD350" s="34" t="str">
        <f>Copertina!C$2&amp;" - "&amp;Tabella4[[#This Row],[UNI CEI EN 301549]]&amp;" "&amp;VLOOKUP(Tabella4[[#This Row],[Criterio]],Tabella5[[ID]:[Criterio di successo]],2,FALSE)&amp;" - "&amp;Tabella4[[#This Row],[Servizio]]&amp;":"</f>
        <v>Insurance Brocker - 9.4.1.2 Nome, ruolo, valore - S002 Poste Guidare Sicuri:</v>
      </c>
      <c r="AE35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(#TM0253)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id="heading-item-posteinsurancebrokerposteinsurancebroker-moduliguidare-sicuri-fase-di-vendita-faq-accordion-qualladifferenzatralagaranziakaskocollisioneelagaranziakaskocompleta-26-26"&gt; con selettore: 
["#heading-item-posteinsurancebrokerposteinsurancebroker-moduliguidare-sicuri-fase-di-vendita-faq-accordion-qualladifferenzatralagaranziakaskocollisioneelagaranziakaskocompleta-26-26"]
Dettaglio + screenshot (accedere con le seguenti credenziali: user, axeposte@gmail.com; password, Poste2024!): https://axe.deque.com/issues/0a3538a5-0ccd-44b9-bd05-3af56e564972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50">
        <f>_xlfn.XLOOKUP(Tabella4[[#This Row],[ID Silk]],outTable[ID Silk],outTable[Numero ticket  ],,0,1)</f>
        <v>6016</v>
      </c>
    </row>
    <row r="351" spans="1:32">
      <c r="A351" s="34" t="str">
        <f>MID(Tabella4[[#This Row],[Servizio]],1,4)&amp;Tabella4[[#This Row],[UNI CEI EN 301549]]</f>
        <v>S0029.4.1.2</v>
      </c>
      <c r="B351" s="34" t="str">
        <f>Tabella4[[#This Row],[ID Silk]]&amp;"_1"</f>
        <v>S0029.4.1.2_1</v>
      </c>
      <c r="C351" s="34" t="s">
        <v>1696</v>
      </c>
      <c r="D351" s="2" t="str">
        <f>"(#"&amp;Tabella4[[#This Row],['#ID]]&amp;")"</f>
        <v>(#TM0254)</v>
      </c>
      <c r="E351" s="34" t="str">
        <f>IF(MID(Tabella4[[#This Row],['#ID]],1,1)="M","Mobile",IF(MID(Tabella4[[#This Row],['#ID]],1,1)="D","Desktop",IF(MID(Tabella4[[#This Row],['#ID]],1,2)="TM","Manuale","Documenti")))</f>
        <v>Manuale</v>
      </c>
      <c r="F351" s="34" t="s">
        <v>1005</v>
      </c>
      <c r="G351" s="34" t="s">
        <v>368</v>
      </c>
      <c r="H351" s="34" t="str">
        <f>IF(Tabella4[[#This Row],[Componente]]="Documenti","10.","9.")&amp;Tabella4[[#This Row],[Criterio]]</f>
        <v>9.4.1.2</v>
      </c>
      <c r="I351" s="34" t="s">
        <v>1023</v>
      </c>
      <c r="J351" s="34" t="s">
        <v>1028</v>
      </c>
      <c r="K351" s="34" t="s">
        <v>1029</v>
      </c>
      <c r="L351" s="34" t="s">
        <v>1030</v>
      </c>
      <c r="M351" s="34" t="s">
        <v>1031</v>
      </c>
      <c r="N351" t="s">
        <v>1377</v>
      </c>
      <c r="O351" t="s">
        <v>1378</v>
      </c>
      <c r="P351" t="s">
        <v>388</v>
      </c>
      <c r="R351" s="34" t="str">
        <f>IF(Tabella4[[#This Row],[Componente]]="Documenti",_xlfn.XLOOKUP(Tabella4[[#This Row],[URL]],Tabella27[URL],Tabella27[PDF ID],,0),_xlfn.XLOOKUP(Tabella4[[#This Row],[URL]],Tabella1[URL],Tabella1[Page ID],,0))</f>
        <v>#8</v>
      </c>
      <c r="S351" s="34" t="s">
        <v>1004</v>
      </c>
      <c r="T351" t="s">
        <v>490</v>
      </c>
      <c r="V351" t="s">
        <v>492</v>
      </c>
      <c r="W351" s="34" t="s">
        <v>1067</v>
      </c>
      <c r="X35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id="heading-item-posteinsurancebrokerposteinsurancebroker-moduliguidare-sicuri-fase-di-vendita-faq-accordion-lautoassicuratapuessereguidataanchedaminoridi25anni-27-27"&gt;</v>
      </c>
      <c r="Y351" s="34" t="str">
        <f>SUBSTITUTE(IF(Tabella4[[#This Row],[Tool]]="axe-core",MID(Tabella4[[#This Row],[Rejected Element]],3,LEN(Tabella4[[#This Row],[Rejected Element]])-4),Tabella4[[#This Row],[Rejected Element]]),"\","")</f>
        <v>#heading-item-posteinsurancebrokerposteinsurancebroker-moduliguidare-sicuri-fase-di-vendita-faq-accordion-lautoassicuratapuessereguidataanchedaminoridi25anni-27-27</v>
      </c>
      <c r="Z351" s="34">
        <f>COUNTIFS(Tabella4[Detail univoco],Tabella4[[#This Row],[Detail univoco]],Tabella4[Rejected Element Univoco],Tabella4[[#This Row],[Rejected Element Univoco]],Tabella4[ItemsNodeLabel],Tabella4[[#This Row],[ItemsNodeLabel]])</f>
        <v>0</v>
      </c>
      <c r="AA351" s="34" t="str">
        <f>IF(Tabella4[[#This Row],[Componente]]="Documenti",VLOOKUP(Tabella4[[#This Row],[URL]],Tabella27[[URL]:[Servizio]],4,FALSE),VLOOKUP(Tabella4[[#This Row],[Page ID]],Tabella1[[Page ID]:[Servizio]],4,FALSE))</f>
        <v>S002 Poste Guidare Sicuri</v>
      </c>
      <c r="AB351" t="s">
        <v>1379</v>
      </c>
      <c r="AC351" s="34" t="str">
        <f>Tabella4[[#This Row],[User Impact]]</f>
        <v>2 - Serious</v>
      </c>
      <c r="AD351" s="34" t="str">
        <f>Copertina!C$2&amp;" - "&amp;Tabella4[[#This Row],[UNI CEI EN 301549]]&amp;" "&amp;VLOOKUP(Tabella4[[#This Row],[Criterio]],Tabella5[[ID]:[Criterio di successo]],2,FALSE)&amp;" - "&amp;Tabella4[[#This Row],[Servizio]]&amp;":"</f>
        <v>Insurance Brocker - 9.4.1.2 Nome, ruolo, valore - S002 Poste Guidare Sicuri:</v>
      </c>
      <c r="AE35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(#TM0254)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id="heading-item-posteinsurancebrokerposteinsurancebroker-moduliguidare-sicuri-fase-di-vendita-faq-accordion-lautoassicuratapuessereguidataanchedaminoridi25anni-27-27"&gt; con selettore: 
["#heading-item-posteinsurancebrokerposteinsurancebroker-moduliguidare-sicuri-fase-di-vendita-faq-accordion-lautoassicuratapuessereguidataanchedaminoridi25anni-27-27"]
Dettaglio + screenshot (accedere con le seguenti credenziali: user, axeposte@gmail.com; password, Poste2024!): https://axe.deque.com/issues/dfdb7f30-a8ce-4d80-9679-6474f2a6b843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51">
        <f>_xlfn.XLOOKUP(Tabella4[[#This Row],[ID Silk]],outTable[ID Silk],outTable[Numero ticket  ],,0,1)</f>
        <v>6016</v>
      </c>
    </row>
    <row r="352" spans="1:32">
      <c r="A352" s="34" t="str">
        <f>MID(Tabella4[[#This Row],[Servizio]],1,4)&amp;Tabella4[[#This Row],[UNI CEI EN 301549]]</f>
        <v>S0029.4.1.2</v>
      </c>
      <c r="B352" s="34" t="str">
        <f>Tabella4[[#This Row],[ID Silk]]&amp;"_1"</f>
        <v>S0029.4.1.2_1</v>
      </c>
      <c r="C352" s="34" t="s">
        <v>1697</v>
      </c>
      <c r="D352" s="2" t="str">
        <f>"(#"&amp;Tabella4[[#This Row],['#ID]]&amp;")"</f>
        <v>(#TM0255)</v>
      </c>
      <c r="E352" s="34" t="str">
        <f>IF(MID(Tabella4[[#This Row],['#ID]],1,1)="M","Mobile",IF(MID(Tabella4[[#This Row],['#ID]],1,1)="D","Desktop",IF(MID(Tabella4[[#This Row],['#ID]],1,2)="TM","Manuale","Documenti")))</f>
        <v>Manuale</v>
      </c>
      <c r="F352" s="34" t="s">
        <v>1005</v>
      </c>
      <c r="G352" s="34" t="s">
        <v>368</v>
      </c>
      <c r="H352" s="34" t="str">
        <f>IF(Tabella4[[#This Row],[Componente]]="Documenti","10.","9.")&amp;Tabella4[[#This Row],[Criterio]]</f>
        <v>9.4.1.2</v>
      </c>
      <c r="I352" s="34" t="s">
        <v>1023</v>
      </c>
      <c r="J352" s="34" t="s">
        <v>1028</v>
      </c>
      <c r="K352" s="34" t="s">
        <v>1029</v>
      </c>
      <c r="L352" s="34" t="s">
        <v>1030</v>
      </c>
      <c r="M352" s="34" t="s">
        <v>1031</v>
      </c>
      <c r="N352" t="s">
        <v>1380</v>
      </c>
      <c r="O352" t="s">
        <v>1381</v>
      </c>
      <c r="P352" t="s">
        <v>388</v>
      </c>
      <c r="R352" s="34" t="str">
        <f>IF(Tabella4[[#This Row],[Componente]]="Documenti",_xlfn.XLOOKUP(Tabella4[[#This Row],[URL]],Tabella27[URL],Tabella27[PDF ID],,0),_xlfn.XLOOKUP(Tabella4[[#This Row],[URL]],Tabella1[URL],Tabella1[Page ID],,0))</f>
        <v>#8</v>
      </c>
      <c r="S352" s="34" t="s">
        <v>1004</v>
      </c>
      <c r="T352" t="s">
        <v>490</v>
      </c>
      <c r="V352" t="s">
        <v>492</v>
      </c>
      <c r="W352" s="34" t="s">
        <v>1067</v>
      </c>
      <c r="X352"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id="heading-item-posteinsurancebrokerposteinsurancebroker-moduliguidare-sicuri-fase-di-vendita-faq-accordion-sonoprevistedelleagevolazioniincasodisinistrigravi-28-28"&gt;</v>
      </c>
      <c r="Y352" s="34" t="str">
        <f>SUBSTITUTE(IF(Tabella4[[#This Row],[Tool]]="axe-core",MID(Tabella4[[#This Row],[Rejected Element]],3,LEN(Tabella4[[#This Row],[Rejected Element]])-4),Tabella4[[#This Row],[Rejected Element]]),"\","")</f>
        <v>#heading-item-posteinsurancebrokerposteinsurancebroker-moduliguidare-sicuri-fase-di-vendita-faq-accordion-sonoprevistedelleagevolazioniincasodisinistrigravi-28-28</v>
      </c>
      <c r="Z352" s="34">
        <f>COUNTIFS(Tabella4[Detail univoco],Tabella4[[#This Row],[Detail univoco]],Tabella4[Rejected Element Univoco],Tabella4[[#This Row],[Rejected Element Univoco]],Tabella4[ItemsNodeLabel],Tabella4[[#This Row],[ItemsNodeLabel]])</f>
        <v>0</v>
      </c>
      <c r="AA352" s="34" t="str">
        <f>IF(Tabella4[[#This Row],[Componente]]="Documenti",VLOOKUP(Tabella4[[#This Row],[URL]],Tabella27[[URL]:[Servizio]],4,FALSE),VLOOKUP(Tabella4[[#This Row],[Page ID]],Tabella1[[Page ID]:[Servizio]],4,FALSE))</f>
        <v>S002 Poste Guidare Sicuri</v>
      </c>
      <c r="AB352" t="s">
        <v>1382</v>
      </c>
      <c r="AC352" s="34" t="str">
        <f>Tabella4[[#This Row],[User Impact]]</f>
        <v>2 - Serious</v>
      </c>
      <c r="AD352" s="34" t="str">
        <f>Copertina!C$2&amp;" - "&amp;Tabella4[[#This Row],[UNI CEI EN 301549]]&amp;" "&amp;VLOOKUP(Tabella4[[#This Row],[Criterio]],Tabella5[[ID]:[Criterio di successo]],2,FALSE)&amp;" - "&amp;Tabella4[[#This Row],[Servizio]]&amp;":"</f>
        <v>Insurance Brocker - 9.4.1.2 Nome, ruolo, valore - S002 Poste Guidare Sicuri:</v>
      </c>
      <c r="AE35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(#TM0255)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id="heading-item-posteinsurancebrokerposteinsurancebroker-moduliguidare-sicuri-fase-di-vendita-faq-accordion-sonoprevistedelleagevolazioniincasodisinistrigravi-28-28"&gt; con selettore: 
["#heading-item-posteinsurancebrokerposteinsurancebroker-moduliguidare-sicuri-fase-di-vendita-faq-accordion-sonoprevistedelleagevolazioniincasodisinistrigravi-28-28"]
Dettaglio + screenshot (accedere con le seguenti credenziali: user, axeposte@gmail.com; password, Poste2024!): https://axe.deque.com/issues/bfb724db-f5bc-403f-a2ac-1a8e06e04570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52">
        <f>_xlfn.XLOOKUP(Tabella4[[#This Row],[ID Silk]],outTable[ID Silk],outTable[Numero ticket  ],,0,1)</f>
        <v>6016</v>
      </c>
    </row>
    <row r="353" spans="1:32">
      <c r="A353" s="34" t="str">
        <f>MID(Tabella4[[#This Row],[Servizio]],1,4)&amp;Tabella4[[#This Row],[UNI CEI EN 301549]]</f>
        <v>S0029.4.1.2</v>
      </c>
      <c r="B353" s="34" t="str">
        <f>Tabella4[[#This Row],[ID Silk]]&amp;"_1"</f>
        <v>S0029.4.1.2_1</v>
      </c>
      <c r="C353" s="34" t="s">
        <v>1698</v>
      </c>
      <c r="D353" s="2" t="str">
        <f>"(#"&amp;Tabella4[[#This Row],['#ID]]&amp;")"</f>
        <v>(#TM0256)</v>
      </c>
      <c r="E353" s="34" t="str">
        <f>IF(MID(Tabella4[[#This Row],['#ID]],1,1)="M","Mobile",IF(MID(Tabella4[[#This Row],['#ID]],1,1)="D","Desktop",IF(MID(Tabella4[[#This Row],['#ID]],1,2)="TM","Manuale","Documenti")))</f>
        <v>Manuale</v>
      </c>
      <c r="F353" s="34" t="s">
        <v>1005</v>
      </c>
      <c r="G353" s="34" t="s">
        <v>368</v>
      </c>
      <c r="H353" s="34" t="str">
        <f>IF(Tabella4[[#This Row],[Componente]]="Documenti","10.","9.")&amp;Tabella4[[#This Row],[Criterio]]</f>
        <v>9.4.1.2</v>
      </c>
      <c r="I353" s="34" t="s">
        <v>1023</v>
      </c>
      <c r="J353" s="34" t="s">
        <v>1028</v>
      </c>
      <c r="K353" s="34" t="s">
        <v>1029</v>
      </c>
      <c r="L353" s="34" t="s">
        <v>1030</v>
      </c>
      <c r="M353" s="34" t="s">
        <v>1031</v>
      </c>
      <c r="N353" t="s">
        <v>1383</v>
      </c>
      <c r="O353" t="s">
        <v>1384</v>
      </c>
      <c r="P353" t="s">
        <v>388</v>
      </c>
      <c r="R353" s="34" t="str">
        <f>IF(Tabella4[[#This Row],[Componente]]="Documenti",_xlfn.XLOOKUP(Tabella4[[#This Row],[URL]],Tabella27[URL],Tabella27[PDF ID],,0),_xlfn.XLOOKUP(Tabella4[[#This Row],[URL]],Tabella1[URL],Tabella1[Page ID],,0))</f>
        <v>#8</v>
      </c>
      <c r="S353" s="34" t="s">
        <v>1004</v>
      </c>
      <c r="T353" t="s">
        <v>490</v>
      </c>
      <c r="V353" t="s">
        <v>492</v>
      </c>
      <c r="W353" s="34" t="s">
        <v>1067</v>
      </c>
      <c r="X35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id="heading-item-posteinsurancebrokerposteinsurancebroker-moduliguidare-sicuri-fase-di-vendita-faq-accordion-lassicurazionercavalidaancheallestero-29-29"&gt;</v>
      </c>
      <c r="Y353" s="34" t="str">
        <f>SUBSTITUTE(IF(Tabella4[[#This Row],[Tool]]="axe-core",MID(Tabella4[[#This Row],[Rejected Element]],3,LEN(Tabella4[[#This Row],[Rejected Element]])-4),Tabella4[[#This Row],[Rejected Element]]),"\","")</f>
        <v>#heading-item-posteinsurancebrokerposteinsurancebroker-moduliguidare-sicuri-fase-di-vendita-faq-accordion-lassicurazionercavalidaancheallestero-29-29</v>
      </c>
      <c r="Z353" s="34">
        <f>COUNTIFS(Tabella4[Detail univoco],Tabella4[[#This Row],[Detail univoco]],Tabella4[Rejected Element Univoco],Tabella4[[#This Row],[Rejected Element Univoco]],Tabella4[ItemsNodeLabel],Tabella4[[#This Row],[ItemsNodeLabel]])</f>
        <v>0</v>
      </c>
      <c r="AA353" s="34" t="str">
        <f>IF(Tabella4[[#This Row],[Componente]]="Documenti",VLOOKUP(Tabella4[[#This Row],[URL]],Tabella27[[URL]:[Servizio]],4,FALSE),VLOOKUP(Tabella4[[#This Row],[Page ID]],Tabella1[[Page ID]:[Servizio]],4,FALSE))</f>
        <v>S002 Poste Guidare Sicuri</v>
      </c>
      <c r="AB353" t="s">
        <v>1385</v>
      </c>
      <c r="AC353" s="34" t="str">
        <f>Tabella4[[#This Row],[User Impact]]</f>
        <v>2 - Serious</v>
      </c>
      <c r="AD353" s="34" t="str">
        <f>Copertina!C$2&amp;" - "&amp;Tabella4[[#This Row],[UNI CEI EN 301549]]&amp;" "&amp;VLOOKUP(Tabella4[[#This Row],[Criterio]],Tabella5[[ID]:[Criterio di successo]],2,FALSE)&amp;" - "&amp;Tabella4[[#This Row],[Servizio]]&amp;":"</f>
        <v>Insurance Brocker - 9.4.1.2 Nome, ruolo, valore - S002 Poste Guidare Sicuri:</v>
      </c>
      <c r="AE35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(#TM0256)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id="heading-item-posteinsurancebrokerposteinsurancebroker-moduliguidare-sicuri-fase-di-vendita-faq-accordion-lassicurazionercavalidaancheallestero-29-29"&gt; con selettore: 
["#heading-item-posteinsurancebrokerposteinsurancebroker-moduliguidare-sicuri-fase-di-vendita-faq-accordion-lassicurazionercavalidaancheallestero-29-29"]
Dettaglio + screenshot (accedere con le seguenti credenziali: user, axeposte@gmail.com; password, Poste2024!): https://axe.deque.com/issues/b7dce8f8-1cb9-4a04-9f9d-bb58aefeb90e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53">
        <f>_xlfn.XLOOKUP(Tabella4[[#This Row],[ID Silk]],outTable[ID Silk],outTable[Numero ticket  ],,0,1)</f>
        <v>6016</v>
      </c>
    </row>
    <row r="354" spans="1:32">
      <c r="A354" s="34" t="str">
        <f>MID(Tabella4[[#This Row],[Servizio]],1,4)&amp;Tabella4[[#This Row],[UNI CEI EN 301549]]</f>
        <v>S0029.4.1.2</v>
      </c>
      <c r="B354" s="34" t="str">
        <f>Tabella4[[#This Row],[ID Silk]]&amp;"_1"</f>
        <v>S0029.4.1.2_1</v>
      </c>
      <c r="C354" s="34" t="s">
        <v>1699</v>
      </c>
      <c r="D354" s="2" t="str">
        <f>"(#"&amp;Tabella4[[#This Row],['#ID]]&amp;")"</f>
        <v>(#TM0257)</v>
      </c>
      <c r="E354" s="34" t="str">
        <f>IF(MID(Tabella4[[#This Row],['#ID]],1,1)="M","Mobile",IF(MID(Tabella4[[#This Row],['#ID]],1,1)="D","Desktop",IF(MID(Tabella4[[#This Row],['#ID]],1,2)="TM","Manuale","Documenti")))</f>
        <v>Manuale</v>
      </c>
      <c r="F354" s="34" t="s">
        <v>1005</v>
      </c>
      <c r="G354" s="34" t="s">
        <v>368</v>
      </c>
      <c r="H354" s="34" t="str">
        <f>IF(Tabella4[[#This Row],[Componente]]="Documenti","10.","9.")&amp;Tabella4[[#This Row],[Criterio]]</f>
        <v>9.4.1.2</v>
      </c>
      <c r="I354" s="34" t="s">
        <v>1023</v>
      </c>
      <c r="J354" s="34" t="s">
        <v>1028</v>
      </c>
      <c r="K354" s="34" t="s">
        <v>1029</v>
      </c>
      <c r="L354" s="34" t="s">
        <v>1030</v>
      </c>
      <c r="M354" s="34" t="s">
        <v>1031</v>
      </c>
      <c r="N354" t="s">
        <v>1386</v>
      </c>
      <c r="O354" t="s">
        <v>1387</v>
      </c>
      <c r="P354" t="s">
        <v>388</v>
      </c>
      <c r="R354" s="34" t="str">
        <f>IF(Tabella4[[#This Row],[Componente]]="Documenti",_xlfn.XLOOKUP(Tabella4[[#This Row],[URL]],Tabella27[URL],Tabella27[PDF ID],,0),_xlfn.XLOOKUP(Tabella4[[#This Row],[URL]],Tabella1[URL],Tabella1[Page ID],,0))</f>
        <v>#8</v>
      </c>
      <c r="S354" s="34" t="s">
        <v>1004</v>
      </c>
      <c r="T354" t="s">
        <v>490</v>
      </c>
      <c r="V354" t="s">
        <v>492</v>
      </c>
      <c r="W354" s="34" t="s">
        <v>1067</v>
      </c>
      <c r="X354"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id="heading-item-posteinsurancebrokerposteinsurancebroker-moduliguidare-sicuri-fase-di-vendita-faq-accordion-coslacartaverde-30-30"&gt;</v>
      </c>
      <c r="Y354" s="34" t="str">
        <f>SUBSTITUTE(IF(Tabella4[[#This Row],[Tool]]="axe-core",MID(Tabella4[[#This Row],[Rejected Element]],3,LEN(Tabella4[[#This Row],[Rejected Element]])-4),Tabella4[[#This Row],[Rejected Element]]),"\","")</f>
        <v>#heading-item-posteinsurancebrokerposteinsurancebroker-moduliguidare-sicuri-fase-di-vendita-faq-accordion-coslacartaverde-30-30</v>
      </c>
      <c r="Z354" s="34">
        <f>COUNTIFS(Tabella4[Detail univoco],Tabella4[[#This Row],[Detail univoco]],Tabella4[Rejected Element Univoco],Tabella4[[#This Row],[Rejected Element Univoco]],Tabella4[ItemsNodeLabel],Tabella4[[#This Row],[ItemsNodeLabel]])</f>
        <v>0</v>
      </c>
      <c r="AA354" s="34" t="str">
        <f>IF(Tabella4[[#This Row],[Componente]]="Documenti",VLOOKUP(Tabella4[[#This Row],[URL]],Tabella27[[URL]:[Servizio]],4,FALSE),VLOOKUP(Tabella4[[#This Row],[Page ID]],Tabella1[[Page ID]:[Servizio]],4,FALSE))</f>
        <v>S002 Poste Guidare Sicuri</v>
      </c>
      <c r="AB354" t="s">
        <v>1388</v>
      </c>
      <c r="AC354" s="34" t="str">
        <f>Tabella4[[#This Row],[User Impact]]</f>
        <v>2 - Serious</v>
      </c>
      <c r="AD354" s="34" t="str">
        <f>Copertina!C$2&amp;" - "&amp;Tabella4[[#This Row],[UNI CEI EN 301549]]&amp;" "&amp;VLOOKUP(Tabella4[[#This Row],[Criterio]],Tabella5[[ID]:[Criterio di successo]],2,FALSE)&amp;" - "&amp;Tabella4[[#This Row],[Servizio]]&amp;":"</f>
        <v>Insurance Brocker - 9.4.1.2 Nome, ruolo, valore - S002 Poste Guidare Sicuri:</v>
      </c>
      <c r="AE35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(#TM0257)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id="heading-item-posteinsurancebrokerposteinsurancebroker-moduliguidare-sicuri-fase-di-vendita-faq-accordion-coslacartaverde-30-30"&gt; con selettore: 
["#heading-item-posteinsurancebrokerposteinsurancebroker-moduliguidare-sicuri-fase-di-vendita-faq-accordion-coslacartaverde-30-30"]
Dettaglio + screenshot (accedere con le seguenti credenziali: user, axeposte@gmail.com; password, Poste2024!): https://axe.deque.com/issues/91d95f44-f6da-4a49-a3b3-38d4816b7591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54">
        <f>_xlfn.XLOOKUP(Tabella4[[#This Row],[ID Silk]],outTable[ID Silk],outTable[Numero ticket  ],,0,1)</f>
        <v>6016</v>
      </c>
    </row>
    <row r="355" spans="1:32">
      <c r="A355" s="34" t="str">
        <f>MID(Tabella4[[#This Row],[Servizio]],1,4)&amp;Tabella4[[#This Row],[UNI CEI EN 301549]]</f>
        <v>S0029.4.1.2</v>
      </c>
      <c r="B355" s="34" t="str">
        <f>Tabella4[[#This Row],[ID Silk]]&amp;"_1"</f>
        <v>S0029.4.1.2_1</v>
      </c>
      <c r="C355" s="34" t="s">
        <v>1700</v>
      </c>
      <c r="D355" s="2" t="str">
        <f>"(#"&amp;Tabella4[[#This Row],['#ID]]&amp;")"</f>
        <v>(#TM0258)</v>
      </c>
      <c r="E355" s="34" t="str">
        <f>IF(MID(Tabella4[[#This Row],['#ID]],1,1)="M","Mobile",IF(MID(Tabella4[[#This Row],['#ID]],1,1)="D","Desktop",IF(MID(Tabella4[[#This Row],['#ID]],1,2)="TM","Manuale","Documenti")))</f>
        <v>Manuale</v>
      </c>
      <c r="F355" s="34" t="s">
        <v>1005</v>
      </c>
      <c r="G355" s="34" t="s">
        <v>368</v>
      </c>
      <c r="H355" s="34" t="str">
        <f>IF(Tabella4[[#This Row],[Componente]]="Documenti","10.","9.")&amp;Tabella4[[#This Row],[Criterio]]</f>
        <v>9.4.1.2</v>
      </c>
      <c r="I355" s="34" t="s">
        <v>1023</v>
      </c>
      <c r="J355" s="34" t="s">
        <v>1028</v>
      </c>
      <c r="K355" s="34" t="s">
        <v>1029</v>
      </c>
      <c r="L355" s="34" t="s">
        <v>1030</v>
      </c>
      <c r="M355" s="34" t="s">
        <v>1031</v>
      </c>
      <c r="N355" t="s">
        <v>1389</v>
      </c>
      <c r="O355" t="s">
        <v>1390</v>
      </c>
      <c r="P355" t="s">
        <v>388</v>
      </c>
      <c r="R355" s="34" t="str">
        <f>IF(Tabella4[[#This Row],[Componente]]="Documenti",_xlfn.XLOOKUP(Tabella4[[#This Row],[URL]],Tabella27[URL],Tabella27[PDF ID],,0),_xlfn.XLOOKUP(Tabella4[[#This Row],[URL]],Tabella1[URL],Tabella1[Page ID],,0))</f>
        <v>#8</v>
      </c>
      <c r="S355" s="34" t="s">
        <v>1004</v>
      </c>
      <c r="T355" t="s">
        <v>490</v>
      </c>
      <c r="V355" t="s">
        <v>492</v>
      </c>
      <c r="W355" s="34" t="s">
        <v>1067</v>
      </c>
      <c r="X35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id="heading-item-posteinsurancebrokerposteinsurancebroker-moduliguidare-sicuri-fase-di-vendita-faq-accordion-comesipupagarelapolizza-31-31"&gt;</v>
      </c>
      <c r="Y355" s="34" t="str">
        <f>SUBSTITUTE(IF(Tabella4[[#This Row],[Tool]]="axe-core",MID(Tabella4[[#This Row],[Rejected Element]],3,LEN(Tabella4[[#This Row],[Rejected Element]])-4),Tabella4[[#This Row],[Rejected Element]]),"\","")</f>
        <v>#heading-item-posteinsurancebrokerposteinsurancebroker-moduliguidare-sicuri-fase-di-vendita-faq-accordion-comesipupagarelapolizza-31-31</v>
      </c>
      <c r="Z355" s="34">
        <f>COUNTIFS(Tabella4[Detail univoco],Tabella4[[#This Row],[Detail univoco]],Tabella4[Rejected Element Univoco],Tabella4[[#This Row],[Rejected Element Univoco]],Tabella4[ItemsNodeLabel],Tabella4[[#This Row],[ItemsNodeLabel]])</f>
        <v>0</v>
      </c>
      <c r="AA355" s="34" t="str">
        <f>IF(Tabella4[[#This Row],[Componente]]="Documenti",VLOOKUP(Tabella4[[#This Row],[URL]],Tabella27[[URL]:[Servizio]],4,FALSE),VLOOKUP(Tabella4[[#This Row],[Page ID]],Tabella1[[Page ID]:[Servizio]],4,FALSE))</f>
        <v>S002 Poste Guidare Sicuri</v>
      </c>
      <c r="AB355" t="s">
        <v>1391</v>
      </c>
      <c r="AC355" s="34" t="str">
        <f>Tabella4[[#This Row],[User Impact]]</f>
        <v>2 - Serious</v>
      </c>
      <c r="AD355" s="34" t="str">
        <f>Copertina!C$2&amp;" - "&amp;Tabella4[[#This Row],[UNI CEI EN 301549]]&amp;" "&amp;VLOOKUP(Tabella4[[#This Row],[Criterio]],Tabella5[[ID]:[Criterio di successo]],2,FALSE)&amp;" - "&amp;Tabella4[[#This Row],[Servizio]]&amp;":"</f>
        <v>Insurance Brocker - 9.4.1.2 Nome, ruolo, valore - S002 Poste Guidare Sicuri:</v>
      </c>
      <c r="AE35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(#TM0258)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id="heading-item-posteinsurancebrokerposteinsurancebroker-moduliguidare-sicuri-fase-di-vendita-faq-accordion-comesipupagarelapolizza-31-31"&gt; con selettore: 
["#heading-item-posteinsurancebrokerposteinsurancebroker-moduliguidare-sicuri-fase-di-vendita-faq-accordion-comesipupagarelapolizza-31-31"]
Dettaglio + screenshot (accedere con le seguenti credenziali: user, axeposte@gmail.com; password, Poste2024!): https://axe.deque.com/issues/389b271f-74ad-4e8b-adb6-d06f5a40818b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55">
        <f>_xlfn.XLOOKUP(Tabella4[[#This Row],[ID Silk]],outTable[ID Silk],outTable[Numero ticket  ],,0,1)</f>
        <v>6016</v>
      </c>
    </row>
    <row r="356" spans="1:32">
      <c r="A356" s="34" t="str">
        <f>MID(Tabella4[[#This Row],[Servizio]],1,4)&amp;Tabella4[[#This Row],[UNI CEI EN 301549]]</f>
        <v>S0029.4.1.2</v>
      </c>
      <c r="B356" s="34" t="str">
        <f>Tabella4[[#This Row],[ID Silk]]&amp;"_1"</f>
        <v>S0029.4.1.2_1</v>
      </c>
      <c r="C356" s="34" t="s">
        <v>1701</v>
      </c>
      <c r="D356" s="2" t="str">
        <f>"(#"&amp;Tabella4[[#This Row],['#ID]]&amp;")"</f>
        <v>(#TM0259)</v>
      </c>
      <c r="E356" s="34" t="str">
        <f>IF(MID(Tabella4[[#This Row],['#ID]],1,1)="M","Mobile",IF(MID(Tabella4[[#This Row],['#ID]],1,1)="D","Desktop",IF(MID(Tabella4[[#This Row],['#ID]],1,2)="TM","Manuale","Documenti")))</f>
        <v>Manuale</v>
      </c>
      <c r="F356" s="34" t="s">
        <v>1005</v>
      </c>
      <c r="G356" s="34" t="s">
        <v>368</v>
      </c>
      <c r="H356" s="34" t="str">
        <f>IF(Tabella4[[#This Row],[Componente]]="Documenti","10.","9.")&amp;Tabella4[[#This Row],[Criterio]]</f>
        <v>9.4.1.2</v>
      </c>
      <c r="I356" s="34" t="s">
        <v>1023</v>
      </c>
      <c r="J356" s="34" t="s">
        <v>1028</v>
      </c>
      <c r="K356" s="34" t="s">
        <v>1029</v>
      </c>
      <c r="L356" s="34" t="s">
        <v>1030</v>
      </c>
      <c r="M356" s="34" t="s">
        <v>1031</v>
      </c>
      <c r="N356" t="s">
        <v>1392</v>
      </c>
      <c r="O356" t="s">
        <v>1393</v>
      </c>
      <c r="P356" t="s">
        <v>388</v>
      </c>
      <c r="R356" s="34" t="str">
        <f>IF(Tabella4[[#This Row],[Componente]]="Documenti",_xlfn.XLOOKUP(Tabella4[[#This Row],[URL]],Tabella27[URL],Tabella27[PDF ID],,0),_xlfn.XLOOKUP(Tabella4[[#This Row],[URL]],Tabella1[URL],Tabella1[Page ID],,0))</f>
        <v>#8</v>
      </c>
      <c r="S356" s="34" t="s">
        <v>1004</v>
      </c>
      <c r="T356" t="s">
        <v>490</v>
      </c>
      <c r="V356" t="s">
        <v>492</v>
      </c>
      <c r="W356" s="34" t="s">
        <v>1067</v>
      </c>
      <c r="X356"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id="heading-item-posteinsurancebrokerposteinsurancebroker-moduliguidare-sicuri-fase-di-vendita-faq-accordion-possorateizzareilpagamentodellamiapolizza-32-32"&gt;</v>
      </c>
      <c r="Y356" s="34" t="str">
        <f>SUBSTITUTE(IF(Tabella4[[#This Row],[Tool]]="axe-core",MID(Tabella4[[#This Row],[Rejected Element]],3,LEN(Tabella4[[#This Row],[Rejected Element]])-4),Tabella4[[#This Row],[Rejected Element]]),"\","")</f>
        <v>#heading-item-posteinsurancebrokerposteinsurancebroker-moduliguidare-sicuri-fase-di-vendita-faq-accordion-possorateizzareilpagamentodellamiapolizza-32-32</v>
      </c>
      <c r="Z356" s="34">
        <f>COUNTIFS(Tabella4[Detail univoco],Tabella4[[#This Row],[Detail univoco]],Tabella4[Rejected Element Univoco],Tabella4[[#This Row],[Rejected Element Univoco]],Tabella4[ItemsNodeLabel],Tabella4[[#This Row],[ItemsNodeLabel]])</f>
        <v>0</v>
      </c>
      <c r="AA356" s="34" t="str">
        <f>IF(Tabella4[[#This Row],[Componente]]="Documenti",VLOOKUP(Tabella4[[#This Row],[URL]],Tabella27[[URL]:[Servizio]],4,FALSE),VLOOKUP(Tabella4[[#This Row],[Page ID]],Tabella1[[Page ID]:[Servizio]],4,FALSE))</f>
        <v>S002 Poste Guidare Sicuri</v>
      </c>
      <c r="AB356" t="s">
        <v>1394</v>
      </c>
      <c r="AC356" s="34" t="str">
        <f>Tabella4[[#This Row],[User Impact]]</f>
        <v>2 - Serious</v>
      </c>
      <c r="AD356" s="34" t="str">
        <f>Copertina!C$2&amp;" - "&amp;Tabella4[[#This Row],[UNI CEI EN 301549]]&amp;" "&amp;VLOOKUP(Tabella4[[#This Row],[Criterio]],Tabella5[[ID]:[Criterio di successo]],2,FALSE)&amp;" - "&amp;Tabella4[[#This Row],[Servizio]]&amp;":"</f>
        <v>Insurance Brocker - 9.4.1.2 Nome, ruolo, valore - S002 Poste Guidare Sicuri:</v>
      </c>
      <c r="AE35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(#TM0259)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id="heading-item-posteinsurancebrokerposteinsurancebroker-moduliguidare-sicuri-fase-di-vendita-faq-accordion-possorateizzareilpagamentodellamiapolizza-32-32"&gt; con selettore: 
["#heading-item-posteinsurancebrokerposteinsurancebroker-moduliguidare-sicuri-fase-di-vendita-faq-accordion-possorateizzareilpagamentodellamiapolizza-32-32"]
Dettaglio + screenshot (accedere con le seguenti credenziali: user, axeposte@gmail.com; password, Poste2024!): https://axe.deque.com/issues/933387dc-d75d-420c-ba4a-9168455d4bc0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56">
        <f>_xlfn.XLOOKUP(Tabella4[[#This Row],[ID Silk]],outTable[ID Silk],outTable[Numero ticket  ],,0,1)</f>
        <v>6016</v>
      </c>
    </row>
    <row r="357" spans="1:32">
      <c r="A357" s="34" t="str">
        <f>MID(Tabella4[[#This Row],[Servizio]],1,4)&amp;Tabella4[[#This Row],[UNI CEI EN 301549]]</f>
        <v>S0029.4.1.2</v>
      </c>
      <c r="B357" s="34" t="str">
        <f>Tabella4[[#This Row],[ID Silk]]&amp;"_1"</f>
        <v>S0029.4.1.2_1</v>
      </c>
      <c r="C357" s="34" t="s">
        <v>1702</v>
      </c>
      <c r="D357" s="2" t="str">
        <f>"(#"&amp;Tabella4[[#This Row],['#ID]]&amp;")"</f>
        <v>(#TM0260)</v>
      </c>
      <c r="E357" s="34" t="str">
        <f>IF(MID(Tabella4[[#This Row],['#ID]],1,1)="M","Mobile",IF(MID(Tabella4[[#This Row],['#ID]],1,1)="D","Desktop",IF(MID(Tabella4[[#This Row],['#ID]],1,2)="TM","Manuale","Documenti")))</f>
        <v>Manuale</v>
      </c>
      <c r="F357" s="34" t="s">
        <v>1005</v>
      </c>
      <c r="G357" s="34" t="s">
        <v>368</v>
      </c>
      <c r="H357" s="34" t="str">
        <f>IF(Tabella4[[#This Row],[Componente]]="Documenti","10.","9.")&amp;Tabella4[[#This Row],[Criterio]]</f>
        <v>9.4.1.2</v>
      </c>
      <c r="I357" s="34" t="s">
        <v>1023</v>
      </c>
      <c r="J357" s="34" t="s">
        <v>1028</v>
      </c>
      <c r="K357" s="34" t="s">
        <v>1029</v>
      </c>
      <c r="L357" s="34" t="s">
        <v>1030</v>
      </c>
      <c r="M357" s="34" t="s">
        <v>1031</v>
      </c>
      <c r="N357" t="s">
        <v>1395</v>
      </c>
      <c r="O357" t="s">
        <v>1396</v>
      </c>
      <c r="P357" t="s">
        <v>388</v>
      </c>
      <c r="R357" s="34" t="str">
        <f>IF(Tabella4[[#This Row],[Componente]]="Documenti",_xlfn.XLOOKUP(Tabella4[[#This Row],[URL]],Tabella27[URL],Tabella27[PDF ID],,0),_xlfn.XLOOKUP(Tabella4[[#This Row],[URL]],Tabella1[URL],Tabella1[Page ID],,0))</f>
        <v>#8</v>
      </c>
      <c r="S357" s="34" t="s">
        <v>1004</v>
      </c>
      <c r="T357" t="s">
        <v>490</v>
      </c>
      <c r="V357" t="s">
        <v>492</v>
      </c>
      <c r="W357" s="34" t="s">
        <v>1067</v>
      </c>
      <c r="X35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id="heading-item-posteinsurancebrokerposteinsurancebroker-moduliguidare-sicuri-fase-di-vendita-faq-accordion-comepossoverificareachepuntosonolepratichedilavorazionedelmiopreventivodopochehoconsegnatoladocumentazionerichiesta-33-33"&gt;</v>
      </c>
      <c r="Y357" s="34" t="str">
        <f>SUBSTITUTE(IF(Tabella4[[#This Row],[Tool]]="axe-core",MID(Tabella4[[#This Row],[Rejected Element]],3,LEN(Tabella4[[#This Row],[Rejected Element]])-4),Tabella4[[#This Row],[Rejected Element]]),"\","")</f>
        <v>#heading-item-posteinsurancebrokerposteinsurancebroker-moduliguidare-sicuri-fase-di-vendita-faq-accordion-comepossoverificareachepuntosonolepratichedilavorazionedelmiopreventivodopochehoconsegnatoladocumentazionerichiesta-33-33</v>
      </c>
      <c r="Z357" s="34">
        <f>COUNTIFS(Tabella4[Detail univoco],Tabella4[[#This Row],[Detail univoco]],Tabella4[Rejected Element Univoco],Tabella4[[#This Row],[Rejected Element Univoco]],Tabella4[ItemsNodeLabel],Tabella4[[#This Row],[ItemsNodeLabel]])</f>
        <v>0</v>
      </c>
      <c r="AA357" s="34" t="str">
        <f>IF(Tabella4[[#This Row],[Componente]]="Documenti",VLOOKUP(Tabella4[[#This Row],[URL]],Tabella27[[URL]:[Servizio]],4,FALSE),VLOOKUP(Tabella4[[#This Row],[Page ID]],Tabella1[[Page ID]:[Servizio]],4,FALSE))</f>
        <v>S002 Poste Guidare Sicuri</v>
      </c>
      <c r="AB357" t="s">
        <v>1397</v>
      </c>
      <c r="AC357" s="34" t="str">
        <f>Tabella4[[#This Row],[User Impact]]</f>
        <v>2 - Serious</v>
      </c>
      <c r="AD357" s="34" t="str">
        <f>Copertina!C$2&amp;" - "&amp;Tabella4[[#This Row],[UNI CEI EN 301549]]&amp;" "&amp;VLOOKUP(Tabella4[[#This Row],[Criterio]],Tabella5[[ID]:[Criterio di successo]],2,FALSE)&amp;" - "&amp;Tabella4[[#This Row],[Servizio]]&amp;":"</f>
        <v>Insurance Brocker - 9.4.1.2 Nome, ruolo, valore - S002 Poste Guidare Sicuri:</v>
      </c>
      <c r="AE35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(#TM0260)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id="heading-item-posteinsurancebrokerposteinsurancebroker-moduliguidare-sicuri-fase-di-vendita-faq-accordion-comepossoverificareachepuntosonolepratichedilavorazionedelmiopreventivodopochehoconsegnatoladocumentazionerichiesta-33-33"&gt; con selettore: 
["#heading-item-posteinsurancebrokerposteinsurancebroker-moduliguidare-sicuri-fase-di-vendita-faq-accordion-comepossoverificareachepuntosonolepratichedilavorazionedelmiopreventivodopochehoconsegnatoladocumentazionerichiesta-33-33"]
Dettaglio + screenshot (accedere con le seguenti credenziali: user, axeposte@gmail.com; password, Poste2024!): https://axe.deque.com/issues/98739726-2995-4479-a114-4e2420262062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57">
        <f>_xlfn.XLOOKUP(Tabella4[[#This Row],[ID Silk]],outTable[ID Silk],outTable[Numero ticket  ],,0,1)</f>
        <v>6016</v>
      </c>
    </row>
    <row r="358" spans="1:32">
      <c r="A358" s="34" t="str">
        <f>MID(Tabella4[[#This Row],[Servizio]],1,4)&amp;Tabella4[[#This Row],[UNI CEI EN 301549]]</f>
        <v>S0029.4.1.2</v>
      </c>
      <c r="B358" s="34" t="str">
        <f>Tabella4[[#This Row],[ID Silk]]&amp;"_1"</f>
        <v>S0029.4.1.2_1</v>
      </c>
      <c r="C358" s="34" t="s">
        <v>1703</v>
      </c>
      <c r="D358" s="2" t="str">
        <f>"(#"&amp;Tabella4[[#This Row],['#ID]]&amp;")"</f>
        <v>(#TM0261)</v>
      </c>
      <c r="E358" s="34" t="str">
        <f>IF(MID(Tabella4[[#This Row],['#ID]],1,1)="M","Mobile",IF(MID(Tabella4[[#This Row],['#ID]],1,1)="D","Desktop",IF(MID(Tabella4[[#This Row],['#ID]],1,2)="TM","Manuale","Documenti")))</f>
        <v>Manuale</v>
      </c>
      <c r="F358" s="34" t="s">
        <v>1005</v>
      </c>
      <c r="G358" s="34" t="s">
        <v>368</v>
      </c>
      <c r="H358" s="34" t="str">
        <f>IF(Tabella4[[#This Row],[Componente]]="Documenti","10.","9.")&amp;Tabella4[[#This Row],[Criterio]]</f>
        <v>9.4.1.2</v>
      </c>
      <c r="I358" s="34" t="s">
        <v>1023</v>
      </c>
      <c r="J358" s="34" t="s">
        <v>1028</v>
      </c>
      <c r="K358" s="34" t="s">
        <v>1029</v>
      </c>
      <c r="L358" s="34" t="s">
        <v>1030</v>
      </c>
      <c r="M358" s="34" t="s">
        <v>1031</v>
      </c>
      <c r="N358" t="s">
        <v>1398</v>
      </c>
      <c r="O358" t="s">
        <v>1399</v>
      </c>
      <c r="P358" t="s">
        <v>388</v>
      </c>
      <c r="R358" s="34" t="str">
        <f>IF(Tabella4[[#This Row],[Componente]]="Documenti",_xlfn.XLOOKUP(Tabella4[[#This Row],[URL]],Tabella27[URL],Tabella27[PDF ID],,0),_xlfn.XLOOKUP(Tabella4[[#This Row],[URL]],Tabella1[URL],Tabella1[Page ID],,0))</f>
        <v>#8</v>
      </c>
      <c r="S358" s="34" t="s">
        <v>1004</v>
      </c>
      <c r="T358" t="s">
        <v>490</v>
      </c>
      <c r="V358" t="s">
        <v>492</v>
      </c>
      <c r="W358" s="34" t="s">
        <v>1067</v>
      </c>
      <c r="X358"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id="heading-item-posteinsurancebrokerposteinsurancebroker-moduliguidare-sicuri-fase-di-vendita-faq-accordion-checonseguenzecisonosehoaggiuntoallamiacoperturaancheildispositivosatellitaremanonlhoinstallato-34-34"&gt;</v>
      </c>
      <c r="Y358" s="34" t="str">
        <f>SUBSTITUTE(IF(Tabella4[[#This Row],[Tool]]="axe-core",MID(Tabella4[[#This Row],[Rejected Element]],3,LEN(Tabella4[[#This Row],[Rejected Element]])-4),Tabella4[[#This Row],[Rejected Element]]),"\","")</f>
        <v>#heading-item-posteinsurancebrokerposteinsurancebroker-moduliguidare-sicuri-fase-di-vendita-faq-accordion-checonseguenzecisonosehoaggiuntoallamiacoperturaancheildispositivosatellitaremanonlhoinstallato-34-34</v>
      </c>
      <c r="Z358" s="34">
        <f>COUNTIFS(Tabella4[Detail univoco],Tabella4[[#This Row],[Detail univoco]],Tabella4[Rejected Element Univoco],Tabella4[[#This Row],[Rejected Element Univoco]],Tabella4[ItemsNodeLabel],Tabella4[[#This Row],[ItemsNodeLabel]])</f>
        <v>0</v>
      </c>
      <c r="AA358" s="34" t="str">
        <f>IF(Tabella4[[#This Row],[Componente]]="Documenti",VLOOKUP(Tabella4[[#This Row],[URL]],Tabella27[[URL]:[Servizio]],4,FALSE),VLOOKUP(Tabella4[[#This Row],[Page ID]],Tabella1[[Page ID]:[Servizio]],4,FALSE))</f>
        <v>S002 Poste Guidare Sicuri</v>
      </c>
      <c r="AB358" t="s">
        <v>1400</v>
      </c>
      <c r="AC358" s="34" t="str">
        <f>Tabella4[[#This Row],[User Impact]]</f>
        <v>2 - Serious</v>
      </c>
      <c r="AD358" s="34" t="str">
        <f>Copertina!C$2&amp;" - "&amp;Tabella4[[#This Row],[UNI CEI EN 301549]]&amp;" "&amp;VLOOKUP(Tabella4[[#This Row],[Criterio]],Tabella5[[ID]:[Criterio di successo]],2,FALSE)&amp;" - "&amp;Tabella4[[#This Row],[Servizio]]&amp;":"</f>
        <v>Insurance Brocker - 9.4.1.2 Nome, ruolo, valore - S002 Poste Guidare Sicuri:</v>
      </c>
      <c r="AE35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(#TM0261)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id="heading-item-posteinsurancebrokerposteinsurancebroker-moduliguidare-sicuri-fase-di-vendita-faq-accordion-checonseguenzecisonosehoaggiuntoallamiacoperturaancheildispositivosatellitaremanonlhoinstallato-34-34"&gt; con selettore: 
["#heading-item-posteinsurancebrokerposteinsurancebroker-moduliguidare-sicuri-fase-di-vendita-faq-accordion-checonseguenzecisonosehoaggiuntoallamiacoperturaancheildispositivosatellitaremanonlhoinstallato-34-34"]
Dettaglio + screenshot (accedere con le seguenti credenziali: user, axeposte@gmail.com; password, Poste2024!): https://axe.deque.com/issues/c56e7507-0c69-48a1-b3af-45bd71f6f54a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58">
        <f>_xlfn.XLOOKUP(Tabella4[[#This Row],[ID Silk]],outTable[ID Silk],outTable[Numero ticket  ],,0,1)</f>
        <v>6016</v>
      </c>
    </row>
    <row r="359" spans="1:32">
      <c r="A359" s="34" t="str">
        <f>MID(Tabella4[[#This Row],[Servizio]],1,4)&amp;Tabella4[[#This Row],[UNI CEI EN 301549]]</f>
        <v>S0029.4.1.2</v>
      </c>
      <c r="B359" s="34" t="str">
        <f>Tabella4[[#This Row],[ID Silk]]&amp;"_1"</f>
        <v>S0029.4.1.2_1</v>
      </c>
      <c r="C359" s="34" t="s">
        <v>1704</v>
      </c>
      <c r="D359" s="2" t="str">
        <f>"(#"&amp;Tabella4[[#This Row],['#ID]]&amp;")"</f>
        <v>(#TM0262)</v>
      </c>
      <c r="E359" s="34" t="str">
        <f>IF(MID(Tabella4[[#This Row],['#ID]],1,1)="M","Mobile",IF(MID(Tabella4[[#This Row],['#ID]],1,1)="D","Desktop",IF(MID(Tabella4[[#This Row],['#ID]],1,2)="TM","Manuale","Documenti")))</f>
        <v>Manuale</v>
      </c>
      <c r="F359" s="34" t="s">
        <v>1005</v>
      </c>
      <c r="G359" s="34" t="s">
        <v>368</v>
      </c>
      <c r="H359" s="34" t="str">
        <f>IF(Tabella4[[#This Row],[Componente]]="Documenti","10.","9.")&amp;Tabella4[[#This Row],[Criterio]]</f>
        <v>9.4.1.2</v>
      </c>
      <c r="I359" s="34" t="s">
        <v>1023</v>
      </c>
      <c r="J359" s="34" t="s">
        <v>1028</v>
      </c>
      <c r="K359" s="34" t="s">
        <v>1029</v>
      </c>
      <c r="L359" s="34" t="s">
        <v>1030</v>
      </c>
      <c r="M359" s="34" t="s">
        <v>1031</v>
      </c>
      <c r="N359" t="s">
        <v>1401</v>
      </c>
      <c r="O359" t="s">
        <v>1402</v>
      </c>
      <c r="P359" t="s">
        <v>388</v>
      </c>
      <c r="R359" s="34" t="str">
        <f>IF(Tabella4[[#This Row],[Componente]]="Documenti",_xlfn.XLOOKUP(Tabella4[[#This Row],[URL]],Tabella27[URL],Tabella27[PDF ID],,0),_xlfn.XLOOKUP(Tabella4[[#This Row],[URL]],Tabella1[URL],Tabella1[Page ID],,0))</f>
        <v>#8</v>
      </c>
      <c r="S359" s="34" t="s">
        <v>1004</v>
      </c>
      <c r="T359" t="s">
        <v>490</v>
      </c>
      <c r="V359" t="s">
        <v>492</v>
      </c>
      <c r="W359" s="34" t="s">
        <v>1067</v>
      </c>
      <c r="X35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id="heading-item-posteinsurancebrokerposteinsurancebroker-moduliguidare-sicuri-fase-di-vendita-faq-accordion-chidevocontattareperlinstallazionedeldispositivosatellitare-35-35"&gt;</v>
      </c>
      <c r="Y359" s="34" t="str">
        <f>SUBSTITUTE(IF(Tabella4[[#This Row],[Tool]]="axe-core",MID(Tabella4[[#This Row],[Rejected Element]],3,LEN(Tabella4[[#This Row],[Rejected Element]])-4),Tabella4[[#This Row],[Rejected Element]]),"\","")</f>
        <v>#heading-item-posteinsurancebrokerposteinsurancebroker-moduliguidare-sicuri-fase-di-vendita-faq-accordion-chidevocontattareperlinstallazionedeldispositivosatellitare-35-35</v>
      </c>
      <c r="Z359" s="34">
        <f>COUNTIFS(Tabella4[Detail univoco],Tabella4[[#This Row],[Detail univoco]],Tabella4[Rejected Element Univoco],Tabella4[[#This Row],[Rejected Element Univoco]],Tabella4[ItemsNodeLabel],Tabella4[[#This Row],[ItemsNodeLabel]])</f>
        <v>0</v>
      </c>
      <c r="AA359" s="34" t="str">
        <f>IF(Tabella4[[#This Row],[Componente]]="Documenti",VLOOKUP(Tabella4[[#This Row],[URL]],Tabella27[[URL]:[Servizio]],4,FALSE),VLOOKUP(Tabella4[[#This Row],[Page ID]],Tabella1[[Page ID]:[Servizio]],4,FALSE))</f>
        <v>S002 Poste Guidare Sicuri</v>
      </c>
      <c r="AB359" t="s">
        <v>1403</v>
      </c>
      <c r="AC359" s="34" t="str">
        <f>Tabella4[[#This Row],[User Impact]]</f>
        <v>2 - Serious</v>
      </c>
      <c r="AD359" s="34" t="str">
        <f>Copertina!C$2&amp;" - "&amp;Tabella4[[#This Row],[UNI CEI EN 301549]]&amp;" "&amp;VLOOKUP(Tabella4[[#This Row],[Criterio]],Tabella5[[ID]:[Criterio di successo]],2,FALSE)&amp;" - "&amp;Tabella4[[#This Row],[Servizio]]&amp;":"</f>
        <v>Insurance Brocker - 9.4.1.2 Nome, ruolo, valore - S002 Poste Guidare Sicuri:</v>
      </c>
      <c r="AE35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(#TM0262)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id="heading-item-posteinsurancebrokerposteinsurancebroker-moduliguidare-sicuri-fase-di-vendita-faq-accordion-chidevocontattareperlinstallazionedeldispositivosatellitare-35-35"&gt; con selettore: 
["#heading-item-posteinsurancebrokerposteinsurancebroker-moduliguidare-sicuri-fase-di-vendita-faq-accordion-chidevocontattareperlinstallazionedeldispositivosatellitare-35-35"]
Dettaglio + screenshot (accedere con le seguenti credenziali: user, axeposte@gmail.com; password, Poste2024!): https://axe.deque.com/issues/a09ee207-160e-4683-9495-00365e466c19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59">
        <f>_xlfn.XLOOKUP(Tabella4[[#This Row],[ID Silk]],outTable[ID Silk],outTable[Numero ticket  ],,0,1)</f>
        <v>6016</v>
      </c>
    </row>
    <row r="360" spans="1:32">
      <c r="A360" s="34" t="str">
        <f>MID(Tabella4[[#This Row],[Servizio]],1,4)&amp;Tabella4[[#This Row],[UNI CEI EN 301549]]</f>
        <v>S0029.4.1.2</v>
      </c>
      <c r="B360" s="34" t="str">
        <f>Tabella4[[#This Row],[ID Silk]]&amp;"_1"</f>
        <v>S0029.4.1.2_1</v>
      </c>
      <c r="C360" s="34" t="s">
        <v>1705</v>
      </c>
      <c r="D360" s="2" t="str">
        <f>"(#"&amp;Tabella4[[#This Row],['#ID]]&amp;")"</f>
        <v>(#TM0263)</v>
      </c>
      <c r="E360" s="34" t="str">
        <f>IF(MID(Tabella4[[#This Row],['#ID]],1,1)="M","Mobile",IF(MID(Tabella4[[#This Row],['#ID]],1,1)="D","Desktop",IF(MID(Tabella4[[#This Row],['#ID]],1,2)="TM","Manuale","Documenti")))</f>
        <v>Manuale</v>
      </c>
      <c r="F360" s="34" t="s">
        <v>1005</v>
      </c>
      <c r="G360" s="34" t="s">
        <v>368</v>
      </c>
      <c r="H360" s="34" t="str">
        <f>IF(Tabella4[[#This Row],[Componente]]="Documenti","10.","9.")&amp;Tabella4[[#This Row],[Criterio]]</f>
        <v>9.4.1.2</v>
      </c>
      <c r="I360" s="34" t="s">
        <v>1023</v>
      </c>
      <c r="J360" s="34" t="s">
        <v>1028</v>
      </c>
      <c r="K360" s="34" t="s">
        <v>1029</v>
      </c>
      <c r="L360" s="34" t="s">
        <v>1030</v>
      </c>
      <c r="M360" s="34" t="s">
        <v>1031</v>
      </c>
      <c r="N360" t="s">
        <v>1404</v>
      </c>
      <c r="O360" t="s">
        <v>1405</v>
      </c>
      <c r="P360" t="s">
        <v>388</v>
      </c>
      <c r="R360" s="34" t="str">
        <f>IF(Tabella4[[#This Row],[Componente]]="Documenti",_xlfn.XLOOKUP(Tabella4[[#This Row],[URL]],Tabella27[URL],Tabella27[PDF ID],,0),_xlfn.XLOOKUP(Tabella4[[#This Row],[URL]],Tabella1[URL],Tabella1[Page ID],,0))</f>
        <v>#8</v>
      </c>
      <c r="S360" s="34" t="s">
        <v>1004</v>
      </c>
      <c r="T360" t="s">
        <v>490</v>
      </c>
      <c r="V360" t="s">
        <v>492</v>
      </c>
      <c r="W360" s="34" t="s">
        <v>1067</v>
      </c>
      <c r="X360"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id="heading-item-posteinsurancebrokerposteinsurancebroker-moduliguidare-sicuri-fase-di-vendita-faq-accordion-incasodifurtodelveicoloassicuratopossorecuperareilpremiorcautopagatoenongoduto-36-36"&gt;</v>
      </c>
      <c r="Y360" s="34" t="str">
        <f>SUBSTITUTE(IF(Tabella4[[#This Row],[Tool]]="axe-core",MID(Tabella4[[#This Row],[Rejected Element]],3,LEN(Tabella4[[#This Row],[Rejected Element]])-4),Tabella4[[#This Row],[Rejected Element]]),"\","")</f>
        <v>#heading-item-posteinsurancebrokerposteinsurancebroker-moduliguidare-sicuri-fase-di-vendita-faq-accordion-incasodifurtodelveicoloassicuratopossorecuperareilpremiorcautopagatoenongoduto-36-36</v>
      </c>
      <c r="Z360" s="34">
        <f>COUNTIFS(Tabella4[Detail univoco],Tabella4[[#This Row],[Detail univoco]],Tabella4[Rejected Element Univoco],Tabella4[[#This Row],[Rejected Element Univoco]],Tabella4[ItemsNodeLabel],Tabella4[[#This Row],[ItemsNodeLabel]])</f>
        <v>0</v>
      </c>
      <c r="AA360" s="34" t="str">
        <f>IF(Tabella4[[#This Row],[Componente]]="Documenti",VLOOKUP(Tabella4[[#This Row],[URL]],Tabella27[[URL]:[Servizio]],4,FALSE),VLOOKUP(Tabella4[[#This Row],[Page ID]],Tabella1[[Page ID]:[Servizio]],4,FALSE))</f>
        <v>S002 Poste Guidare Sicuri</v>
      </c>
      <c r="AB360" t="s">
        <v>1406</v>
      </c>
      <c r="AC360" s="34" t="str">
        <f>Tabella4[[#This Row],[User Impact]]</f>
        <v>2 - Serious</v>
      </c>
      <c r="AD360" s="34" t="str">
        <f>Copertina!C$2&amp;" - "&amp;Tabella4[[#This Row],[UNI CEI EN 301549]]&amp;" "&amp;VLOOKUP(Tabella4[[#This Row],[Criterio]],Tabella5[[ID]:[Criterio di successo]],2,FALSE)&amp;" - "&amp;Tabella4[[#This Row],[Servizio]]&amp;":"</f>
        <v>Insurance Brocker - 9.4.1.2 Nome, ruolo, valore - S002 Poste Guidare Sicuri:</v>
      </c>
      <c r="AE36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(#TM0263)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id="heading-item-posteinsurancebrokerposteinsurancebroker-moduliguidare-sicuri-fase-di-vendita-faq-accordion-incasodifurtodelveicoloassicuratopossorecuperareilpremiorcautopagatoenongoduto-36-36"&gt; con selettore: 
["#heading-item-posteinsurancebrokerposteinsurancebroker-moduliguidare-sicuri-fase-di-vendita-faq-accordion-incasodifurtodelveicoloassicuratopossorecuperareilpremiorcautopagatoenongoduto-36-36"]
Dettaglio + screenshot (accedere con le seguenti credenziali: user, axeposte@gmail.com; password, Poste2024!): https://axe.deque.com/issues/814b036e-94b1-4664-bad5-b63c3df780d5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60">
        <f>_xlfn.XLOOKUP(Tabella4[[#This Row],[ID Silk]],outTable[ID Silk],outTable[Numero ticket  ],,0,1)</f>
        <v>6016</v>
      </c>
    </row>
    <row r="361" spans="1:32">
      <c r="A361" s="34" t="str">
        <f>MID(Tabella4[[#This Row],[Servizio]],1,4)&amp;Tabella4[[#This Row],[UNI CEI EN 301549]]</f>
        <v>S0029.4.1.2</v>
      </c>
      <c r="B361" s="34" t="str">
        <f>Tabella4[[#This Row],[ID Silk]]&amp;"_1"</f>
        <v>S0029.4.1.2_1</v>
      </c>
      <c r="C361" s="34" t="s">
        <v>1706</v>
      </c>
      <c r="D361" s="2" t="str">
        <f>"(#"&amp;Tabella4[[#This Row],['#ID]]&amp;")"</f>
        <v>(#TM0264)</v>
      </c>
      <c r="E361" s="34" t="str">
        <f>IF(MID(Tabella4[[#This Row],['#ID]],1,1)="M","Mobile",IF(MID(Tabella4[[#This Row],['#ID]],1,1)="D","Desktop",IF(MID(Tabella4[[#This Row],['#ID]],1,2)="TM","Manuale","Documenti")))</f>
        <v>Manuale</v>
      </c>
      <c r="F361" s="34" t="s">
        <v>1005</v>
      </c>
      <c r="G361" s="34" t="s">
        <v>368</v>
      </c>
      <c r="H361" s="34" t="str">
        <f>IF(Tabella4[[#This Row],[Componente]]="Documenti","10.","9.")&amp;Tabella4[[#This Row],[Criterio]]</f>
        <v>9.4.1.2</v>
      </c>
      <c r="I361" s="34" t="s">
        <v>1023</v>
      </c>
      <c r="J361" s="34" t="s">
        <v>1028</v>
      </c>
      <c r="K361" s="34" t="s">
        <v>1029</v>
      </c>
      <c r="L361" s="34" t="s">
        <v>1030</v>
      </c>
      <c r="M361" s="34" t="s">
        <v>1031</v>
      </c>
      <c r="N361" t="s">
        <v>1407</v>
      </c>
      <c r="O361" t="s">
        <v>1408</v>
      </c>
      <c r="P361" t="s">
        <v>388</v>
      </c>
      <c r="R361" s="34" t="str">
        <f>IF(Tabella4[[#This Row],[Componente]]="Documenti",_xlfn.XLOOKUP(Tabella4[[#This Row],[URL]],Tabella27[URL],Tabella27[PDF ID],,0),_xlfn.XLOOKUP(Tabella4[[#This Row],[URL]],Tabella1[URL],Tabella1[Page ID],,0))</f>
        <v>#8</v>
      </c>
      <c r="S361" s="34" t="s">
        <v>1004</v>
      </c>
      <c r="T361" t="s">
        <v>490</v>
      </c>
      <c r="V361" t="s">
        <v>492</v>
      </c>
      <c r="W361" s="34" t="s">
        <v>1067</v>
      </c>
      <c r="X36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id="heading-item-posteinsurancebrokerposteinsurancebroker-moduliguidare-sicuri-fase-di-vendita-faq-accordion-possopagarelamiapolizzaincontanti-37-37"&gt;</v>
      </c>
      <c r="Y361" s="34" t="str">
        <f>SUBSTITUTE(IF(Tabella4[[#This Row],[Tool]]="axe-core",MID(Tabella4[[#This Row],[Rejected Element]],3,LEN(Tabella4[[#This Row],[Rejected Element]])-4),Tabella4[[#This Row],[Rejected Element]]),"\","")</f>
        <v>#heading-item-posteinsurancebrokerposteinsurancebroker-moduliguidare-sicuri-fase-di-vendita-faq-accordion-possopagarelamiapolizzaincontanti-37-37</v>
      </c>
      <c r="Z361" s="34">
        <f>COUNTIFS(Tabella4[Detail univoco],Tabella4[[#This Row],[Detail univoco]],Tabella4[Rejected Element Univoco],Tabella4[[#This Row],[Rejected Element Univoco]],Tabella4[ItemsNodeLabel],Tabella4[[#This Row],[ItemsNodeLabel]])</f>
        <v>0</v>
      </c>
      <c r="AA361" s="34" t="str">
        <f>IF(Tabella4[[#This Row],[Componente]]="Documenti",VLOOKUP(Tabella4[[#This Row],[URL]],Tabella27[[URL]:[Servizio]],4,FALSE),VLOOKUP(Tabella4[[#This Row],[Page ID]],Tabella1[[Page ID]:[Servizio]],4,FALSE))</f>
        <v>S002 Poste Guidare Sicuri</v>
      </c>
      <c r="AB361" t="s">
        <v>1409</v>
      </c>
      <c r="AC361" s="34" t="str">
        <f>Tabella4[[#This Row],[User Impact]]</f>
        <v>2 - Serious</v>
      </c>
      <c r="AD361" s="34" t="str">
        <f>Copertina!C$2&amp;" - "&amp;Tabella4[[#This Row],[UNI CEI EN 301549]]&amp;" "&amp;VLOOKUP(Tabella4[[#This Row],[Criterio]],Tabella5[[ID]:[Criterio di successo]],2,FALSE)&amp;" - "&amp;Tabella4[[#This Row],[Servizio]]&amp;":"</f>
        <v>Insurance Brocker - 9.4.1.2 Nome, ruolo, valore - S002 Poste Guidare Sicuri:</v>
      </c>
      <c r="AE36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(#TM0264)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id="heading-item-posteinsurancebrokerposteinsurancebroker-moduliguidare-sicuri-fase-di-vendita-faq-accordion-possopagarelamiapolizzaincontanti-37-37"&gt; con selettore: 
["#heading-item-posteinsurancebrokerposteinsurancebroker-moduliguidare-sicuri-fase-di-vendita-faq-accordion-possopagarelamiapolizzaincontanti-37-37"]
Dettaglio + screenshot (accedere con le seguenti credenziali: user, axeposte@gmail.com; password, Poste2024!): https://axe.deque.com/issues/6dae3122-0c44-41a9-84c2-84ac76ad15d7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61">
        <f>_xlfn.XLOOKUP(Tabella4[[#This Row],[ID Silk]],outTable[ID Silk],outTable[Numero ticket  ],,0,1)</f>
        <v>6016</v>
      </c>
    </row>
    <row r="362" spans="1:32">
      <c r="A362" s="34" t="str">
        <f>MID(Tabella4[[#This Row],[Servizio]],1,4)&amp;Tabella4[[#This Row],[UNI CEI EN 301549]]</f>
        <v>S0029.4.1.2</v>
      </c>
      <c r="B362" s="34" t="str">
        <f>Tabella4[[#This Row],[ID Silk]]&amp;"_1"</f>
        <v>S0029.4.1.2_1</v>
      </c>
      <c r="C362" s="34" t="s">
        <v>1707</v>
      </c>
      <c r="D362" s="2" t="str">
        <f>"(#"&amp;Tabella4[[#This Row],['#ID]]&amp;")"</f>
        <v>(#TM0265)</v>
      </c>
      <c r="E362" s="34" t="str">
        <f>IF(MID(Tabella4[[#This Row],['#ID]],1,1)="M","Mobile",IF(MID(Tabella4[[#This Row],['#ID]],1,1)="D","Desktop",IF(MID(Tabella4[[#This Row],['#ID]],1,2)="TM","Manuale","Documenti")))</f>
        <v>Manuale</v>
      </c>
      <c r="F362" s="34" t="s">
        <v>1005</v>
      </c>
      <c r="G362" s="34" t="s">
        <v>368</v>
      </c>
      <c r="H362" s="34" t="str">
        <f>IF(Tabella4[[#This Row],[Componente]]="Documenti","10.","9.")&amp;Tabella4[[#This Row],[Criterio]]</f>
        <v>9.4.1.2</v>
      </c>
      <c r="I362" s="34" t="s">
        <v>1023</v>
      </c>
      <c r="J362" s="34" t="s">
        <v>1028</v>
      </c>
      <c r="K362" s="34" t="s">
        <v>1029</v>
      </c>
      <c r="L362" s="34" t="s">
        <v>1030</v>
      </c>
      <c r="M362" s="34" t="s">
        <v>1031</v>
      </c>
      <c r="N362" t="s">
        <v>1410</v>
      </c>
      <c r="O362" t="s">
        <v>1411</v>
      </c>
      <c r="P362" t="s">
        <v>388</v>
      </c>
      <c r="R362" s="34" t="str">
        <f>IF(Tabella4[[#This Row],[Componente]]="Documenti",_xlfn.XLOOKUP(Tabella4[[#This Row],[URL]],Tabella27[URL],Tabella27[PDF ID],,0),_xlfn.XLOOKUP(Tabella4[[#This Row],[URL]],Tabella1[URL],Tabella1[Page ID],,0))</f>
        <v>#8</v>
      </c>
      <c r="S362" s="34" t="s">
        <v>1004</v>
      </c>
      <c r="T362" t="s">
        <v>490</v>
      </c>
      <c r="V362" t="s">
        <v>492</v>
      </c>
      <c r="W362" s="34" t="s">
        <v>1067</v>
      </c>
      <c r="X362"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id="heading-item-posteinsurancebrokerposteinsurancebroker-moduliguidare-sicuri-fase-di-vendita-faq-accordion-previstolannulloingiornataperlapolizza-38-38"&gt;</v>
      </c>
      <c r="Y362" s="34" t="str">
        <f>SUBSTITUTE(IF(Tabella4[[#This Row],[Tool]]="axe-core",MID(Tabella4[[#This Row],[Rejected Element]],3,LEN(Tabella4[[#This Row],[Rejected Element]])-4),Tabella4[[#This Row],[Rejected Element]]),"\","")</f>
        <v>#heading-item-posteinsurancebrokerposteinsurancebroker-moduliguidare-sicuri-fase-di-vendita-faq-accordion-previstolannulloingiornataperlapolizza-38-38</v>
      </c>
      <c r="Z362" s="34">
        <f>COUNTIFS(Tabella4[Detail univoco],Tabella4[[#This Row],[Detail univoco]],Tabella4[Rejected Element Univoco],Tabella4[[#This Row],[Rejected Element Univoco]],Tabella4[ItemsNodeLabel],Tabella4[[#This Row],[ItemsNodeLabel]])</f>
        <v>0</v>
      </c>
      <c r="AA362" s="34" t="str">
        <f>IF(Tabella4[[#This Row],[Componente]]="Documenti",VLOOKUP(Tabella4[[#This Row],[URL]],Tabella27[[URL]:[Servizio]],4,FALSE),VLOOKUP(Tabella4[[#This Row],[Page ID]],Tabella1[[Page ID]:[Servizio]],4,FALSE))</f>
        <v>S002 Poste Guidare Sicuri</v>
      </c>
      <c r="AB362" t="s">
        <v>1412</v>
      </c>
      <c r="AC362" s="34" t="str">
        <f>Tabella4[[#This Row],[User Impact]]</f>
        <v>2 - Serious</v>
      </c>
      <c r="AD362" s="34" t="str">
        <f>Copertina!C$2&amp;" - "&amp;Tabella4[[#This Row],[UNI CEI EN 301549]]&amp;" "&amp;VLOOKUP(Tabella4[[#This Row],[Criterio]],Tabella5[[ID]:[Criterio di successo]],2,FALSE)&amp;" - "&amp;Tabella4[[#This Row],[Servizio]]&amp;":"</f>
        <v>Insurance Brocker - 9.4.1.2 Nome, ruolo, valore - S002 Poste Guidare Sicuri:</v>
      </c>
      <c r="AE36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(#TM0265)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id="heading-item-posteinsurancebrokerposteinsurancebroker-moduliguidare-sicuri-fase-di-vendita-faq-accordion-previstolannulloingiornataperlapolizza-38-38"&gt; con selettore: 
["#heading-item-posteinsurancebrokerposteinsurancebroker-moduliguidare-sicuri-fase-di-vendita-faq-accordion-previstolannulloingiornataperlapolizza-38-38"]
Dettaglio + screenshot (accedere con le seguenti credenziali: user, axeposte@gmail.com; password, Poste2024!): https://axe.deque.com/issues/84d2a0df-7ed4-43c6-acbc-bbf2c7e82cc6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62">
        <f>_xlfn.XLOOKUP(Tabella4[[#This Row],[ID Silk]],outTable[ID Silk],outTable[Numero ticket  ],,0,1)</f>
        <v>6016</v>
      </c>
    </row>
    <row r="363" spans="1:32">
      <c r="A363" s="34" t="str">
        <f>MID(Tabella4[[#This Row],[Servizio]],1,4)&amp;Tabella4[[#This Row],[UNI CEI EN 301549]]</f>
        <v>S0029.4.1.2</v>
      </c>
      <c r="B363" s="34" t="str">
        <f>Tabella4[[#This Row],[ID Silk]]&amp;"_1"</f>
        <v>S0029.4.1.2_1</v>
      </c>
      <c r="C363" s="34" t="s">
        <v>1708</v>
      </c>
      <c r="D363" s="2" t="str">
        <f>"(#"&amp;Tabella4[[#This Row],['#ID]]&amp;")"</f>
        <v>(#TM0266)</v>
      </c>
      <c r="E363" s="34" t="str">
        <f>IF(MID(Tabella4[[#This Row],['#ID]],1,1)="M","Mobile",IF(MID(Tabella4[[#This Row],['#ID]],1,1)="D","Desktop",IF(MID(Tabella4[[#This Row],['#ID]],1,2)="TM","Manuale","Documenti")))</f>
        <v>Manuale</v>
      </c>
      <c r="F363" s="34" t="s">
        <v>1005</v>
      </c>
      <c r="G363" s="34" t="s">
        <v>368</v>
      </c>
      <c r="H363" s="34" t="str">
        <f>IF(Tabella4[[#This Row],[Componente]]="Documenti","10.","9.")&amp;Tabella4[[#This Row],[Criterio]]</f>
        <v>9.4.1.2</v>
      </c>
      <c r="I363" s="34" t="s">
        <v>1023</v>
      </c>
      <c r="J363" s="34" t="s">
        <v>1028</v>
      </c>
      <c r="K363" s="34" t="s">
        <v>1029</v>
      </c>
      <c r="L363" s="34" t="s">
        <v>1030</v>
      </c>
      <c r="M363" s="34" t="s">
        <v>1031</v>
      </c>
      <c r="N363" t="s">
        <v>1413</v>
      </c>
      <c r="O363" t="s">
        <v>1414</v>
      </c>
      <c r="P363" t="s">
        <v>388</v>
      </c>
      <c r="R363" s="34" t="str">
        <f>IF(Tabella4[[#This Row],[Componente]]="Documenti",_xlfn.XLOOKUP(Tabella4[[#This Row],[URL]],Tabella27[URL],Tabella27[PDF ID],,0),_xlfn.XLOOKUP(Tabella4[[#This Row],[URL]],Tabella1[URL],Tabella1[Page ID],,0))</f>
        <v>#8</v>
      </c>
      <c r="S363" s="34" t="s">
        <v>1004</v>
      </c>
      <c r="T363" t="s">
        <v>490</v>
      </c>
      <c r="V363" t="s">
        <v>492</v>
      </c>
      <c r="W363" s="34" t="s">
        <v>1067</v>
      </c>
      <c r="X36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id="heading-item-posteinsurancebrokerposteinsurancebroker-moduliguidare-sicuri-fase-di-vendita-faq-accordion-qualisonoitempinecessariallemissionedelcontratto-39-39"&gt;</v>
      </c>
      <c r="Y363" s="34" t="str">
        <f>SUBSTITUTE(IF(Tabella4[[#This Row],[Tool]]="axe-core",MID(Tabella4[[#This Row],[Rejected Element]],3,LEN(Tabella4[[#This Row],[Rejected Element]])-4),Tabella4[[#This Row],[Rejected Element]]),"\","")</f>
        <v>#heading-item-posteinsurancebrokerposteinsurancebroker-moduliguidare-sicuri-fase-di-vendita-faq-accordion-qualisonoitempinecessariallemissionedelcontratto-39-39</v>
      </c>
      <c r="Z363" s="34">
        <f>COUNTIFS(Tabella4[Detail univoco],Tabella4[[#This Row],[Detail univoco]],Tabella4[Rejected Element Univoco],Tabella4[[#This Row],[Rejected Element Univoco]],Tabella4[ItemsNodeLabel],Tabella4[[#This Row],[ItemsNodeLabel]])</f>
        <v>0</v>
      </c>
      <c r="AA363" s="34" t="str">
        <f>IF(Tabella4[[#This Row],[Componente]]="Documenti",VLOOKUP(Tabella4[[#This Row],[URL]],Tabella27[[URL]:[Servizio]],4,FALSE),VLOOKUP(Tabella4[[#This Row],[Page ID]],Tabella1[[Page ID]:[Servizio]],4,FALSE))</f>
        <v>S002 Poste Guidare Sicuri</v>
      </c>
      <c r="AB363" t="s">
        <v>1415</v>
      </c>
      <c r="AC363" s="34" t="str">
        <f>Tabella4[[#This Row],[User Impact]]</f>
        <v>2 - Serious</v>
      </c>
      <c r="AD363" s="34" t="str">
        <f>Copertina!C$2&amp;" - "&amp;Tabella4[[#This Row],[UNI CEI EN 301549]]&amp;" "&amp;VLOOKUP(Tabella4[[#This Row],[Criterio]],Tabella5[[ID]:[Criterio di successo]],2,FALSE)&amp;" - "&amp;Tabella4[[#This Row],[Servizio]]&amp;":"</f>
        <v>Insurance Brocker - 9.4.1.2 Nome, ruolo, valore - S002 Poste Guidare Sicuri:</v>
      </c>
      <c r="AE36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(#TM0266)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id="heading-item-posteinsurancebrokerposteinsurancebroker-moduliguidare-sicuri-fase-di-vendita-faq-accordion-qualisonoitempinecessariallemissionedelcontratto-39-39"&gt; con selettore: 
["#heading-item-posteinsurancebrokerposteinsurancebroker-moduliguidare-sicuri-fase-di-vendita-faq-accordion-qualisonoitempinecessariallemissionedelcontratto-39-39"]
Dettaglio + screenshot (accedere con le seguenti credenziali: user, axeposte@gmail.com; password, Poste2024!): https://axe.deque.com/issues/725cf14f-4507-452e-9ef1-4f885b5cd06d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63">
        <f>_xlfn.XLOOKUP(Tabella4[[#This Row],[ID Silk]],outTable[ID Silk],outTable[Numero ticket  ],,0,1)</f>
        <v>6016</v>
      </c>
    </row>
    <row r="364" spans="1:32">
      <c r="A364" s="34" t="str">
        <f>MID(Tabella4[[#This Row],[Servizio]],1,4)&amp;Tabella4[[#This Row],[UNI CEI EN 301549]]</f>
        <v>S0029.4.1.2</v>
      </c>
      <c r="B364" s="34" t="str">
        <f>Tabella4[[#This Row],[ID Silk]]&amp;"_1"</f>
        <v>S0029.4.1.2_1</v>
      </c>
      <c r="C364" s="34" t="s">
        <v>1709</v>
      </c>
      <c r="D364" s="2" t="str">
        <f>"(#"&amp;Tabella4[[#This Row],['#ID]]&amp;")"</f>
        <v>(#TM0267)</v>
      </c>
      <c r="E364" s="34" t="str">
        <f>IF(MID(Tabella4[[#This Row],['#ID]],1,1)="M","Mobile",IF(MID(Tabella4[[#This Row],['#ID]],1,1)="D","Desktop",IF(MID(Tabella4[[#This Row],['#ID]],1,2)="TM","Manuale","Documenti")))</f>
        <v>Manuale</v>
      </c>
      <c r="F364" s="34" t="s">
        <v>1005</v>
      </c>
      <c r="G364" s="34" t="s">
        <v>368</v>
      </c>
      <c r="H364" s="34" t="str">
        <f>IF(Tabella4[[#This Row],[Componente]]="Documenti","10.","9.")&amp;Tabella4[[#This Row],[Criterio]]</f>
        <v>9.4.1.2</v>
      </c>
      <c r="I364" s="34" t="s">
        <v>1023</v>
      </c>
      <c r="J364" s="34" t="s">
        <v>1028</v>
      </c>
      <c r="K364" s="34" t="s">
        <v>1029</v>
      </c>
      <c r="L364" s="34" t="s">
        <v>1030</v>
      </c>
      <c r="M364" s="34" t="s">
        <v>1031</v>
      </c>
      <c r="N364" t="s">
        <v>1416</v>
      </c>
      <c r="O364" t="s">
        <v>1417</v>
      </c>
      <c r="P364" t="s">
        <v>388</v>
      </c>
      <c r="R364" s="34" t="str">
        <f>IF(Tabella4[[#This Row],[Componente]]="Documenti",_xlfn.XLOOKUP(Tabella4[[#This Row],[URL]],Tabella27[URL],Tabella27[PDF ID],,0),_xlfn.XLOOKUP(Tabella4[[#This Row],[URL]],Tabella1[URL],Tabella1[Page ID],,0))</f>
        <v>#8</v>
      </c>
      <c r="S364" s="34" t="s">
        <v>1004</v>
      </c>
      <c r="T364" t="s">
        <v>490</v>
      </c>
      <c r="V364" t="s">
        <v>492</v>
      </c>
      <c r="W364" s="34" t="s">
        <v>1067</v>
      </c>
      <c r="X364"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id="heading-item-posteinsurancebrokerposteinsurancebroker-moduliguidare-sicuri-fase-di-post-vendita-faq-accordion-hounveicoloassicuratopostemadevosostituirloetrasferirelapolizzacosadevofare-0-0"&gt;</v>
      </c>
      <c r="Y364" s="34" t="str">
        <f>SUBSTITUTE(IF(Tabella4[[#This Row],[Tool]]="axe-core",MID(Tabella4[[#This Row],[Rejected Element]],3,LEN(Tabella4[[#This Row],[Rejected Element]])-4),Tabella4[[#This Row],[Rejected Element]]),"\","")</f>
        <v>#heading-item-posteinsurancebrokerposteinsurancebroker-moduliguidare-sicuri-fase-di-post-vendita-faq-accordion-hounveicoloassicuratopostemadevosostituirloetrasferirelapolizzacosadevofare-0-0</v>
      </c>
      <c r="Z364" s="34">
        <f>COUNTIFS(Tabella4[Detail univoco],Tabella4[[#This Row],[Detail univoco]],Tabella4[Rejected Element Univoco],Tabella4[[#This Row],[Rejected Element Univoco]],Tabella4[ItemsNodeLabel],Tabella4[[#This Row],[ItemsNodeLabel]])</f>
        <v>0</v>
      </c>
      <c r="AA364" s="34" t="str">
        <f>IF(Tabella4[[#This Row],[Componente]]="Documenti",VLOOKUP(Tabella4[[#This Row],[URL]],Tabella27[[URL]:[Servizio]],4,FALSE),VLOOKUP(Tabella4[[#This Row],[Page ID]],Tabella1[[Page ID]:[Servizio]],4,FALSE))</f>
        <v>S002 Poste Guidare Sicuri</v>
      </c>
      <c r="AB364" t="s">
        <v>1418</v>
      </c>
      <c r="AC364" s="34" t="str">
        <f>Tabella4[[#This Row],[User Impact]]</f>
        <v>2 - Serious</v>
      </c>
      <c r="AD364" s="34" t="str">
        <f>Copertina!C$2&amp;" - "&amp;Tabella4[[#This Row],[UNI CEI EN 301549]]&amp;" "&amp;VLOOKUP(Tabella4[[#This Row],[Criterio]],Tabella5[[ID]:[Criterio di successo]],2,FALSE)&amp;" - "&amp;Tabella4[[#This Row],[Servizio]]&amp;":"</f>
        <v>Insurance Brocker - 9.4.1.2 Nome, ruolo, valore - S002 Poste Guidare Sicuri:</v>
      </c>
      <c r="AE36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(#TM0267)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id="heading-item-posteinsurancebrokerposteinsurancebroker-moduliguidare-sicuri-fase-di-post-vendita-faq-accordion-hounveicoloassicuratopostemadevosostituirloetrasferirelapolizzacosadevofare-0-0"&gt; con selettore: 
["#heading-item-posteinsurancebrokerposteinsurancebroker-moduliguidare-sicuri-fase-di-post-vendita-faq-accordion-hounveicoloassicuratopostemadevosostituirloetrasferirelapolizzacosadevofare-0-0"]
Dettaglio + screenshot (accedere con le seguenti credenziali: user, axeposte@gmail.com; password, Poste2024!): https://axe.deque.com/issues/61178fc6-b352-49fe-8dc8-2235abc30dc1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64">
        <f>_xlfn.XLOOKUP(Tabella4[[#This Row],[ID Silk]],outTable[ID Silk],outTable[Numero ticket  ],,0,1)</f>
        <v>6016</v>
      </c>
    </row>
    <row r="365" spans="1:32">
      <c r="A365" s="34" t="str">
        <f>MID(Tabella4[[#This Row],[Servizio]],1,4)&amp;Tabella4[[#This Row],[UNI CEI EN 301549]]</f>
        <v>S0029.4.1.2</v>
      </c>
      <c r="B365" s="34" t="str">
        <f>Tabella4[[#This Row],[ID Silk]]&amp;"_1"</f>
        <v>S0029.4.1.2_1</v>
      </c>
      <c r="C365" s="34" t="s">
        <v>1710</v>
      </c>
      <c r="D365" s="2" t="str">
        <f>"(#"&amp;Tabella4[[#This Row],['#ID]]&amp;")"</f>
        <v>(#TM0268)</v>
      </c>
      <c r="E365" s="34" t="str">
        <f>IF(MID(Tabella4[[#This Row],['#ID]],1,1)="M","Mobile",IF(MID(Tabella4[[#This Row],['#ID]],1,1)="D","Desktop",IF(MID(Tabella4[[#This Row],['#ID]],1,2)="TM","Manuale","Documenti")))</f>
        <v>Manuale</v>
      </c>
      <c r="F365" s="34" t="s">
        <v>1005</v>
      </c>
      <c r="G365" s="34" t="s">
        <v>368</v>
      </c>
      <c r="H365" s="34" t="str">
        <f>IF(Tabella4[[#This Row],[Componente]]="Documenti","10.","9.")&amp;Tabella4[[#This Row],[Criterio]]</f>
        <v>9.4.1.2</v>
      </c>
      <c r="I365" s="34" t="s">
        <v>1023</v>
      </c>
      <c r="J365" s="34" t="s">
        <v>1028</v>
      </c>
      <c r="K365" s="34" t="s">
        <v>1029</v>
      </c>
      <c r="L365" s="34" t="s">
        <v>1030</v>
      </c>
      <c r="M365" s="34" t="s">
        <v>1031</v>
      </c>
      <c r="N365" t="s">
        <v>1419</v>
      </c>
      <c r="O365" t="s">
        <v>1420</v>
      </c>
      <c r="P365" t="s">
        <v>388</v>
      </c>
      <c r="R365" s="34" t="str">
        <f>IF(Tabella4[[#This Row],[Componente]]="Documenti",_xlfn.XLOOKUP(Tabella4[[#This Row],[URL]],Tabella27[URL],Tabella27[PDF ID],,0),_xlfn.XLOOKUP(Tabella4[[#This Row],[URL]],Tabella1[URL],Tabella1[Page ID],,0))</f>
        <v>#8</v>
      </c>
      <c r="S365" s="34" t="s">
        <v>1004</v>
      </c>
      <c r="T365" t="s">
        <v>490</v>
      </c>
      <c r="V365" t="s">
        <v>492</v>
      </c>
      <c r="W365" s="34" t="s">
        <v>1067</v>
      </c>
      <c r="X365"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id="heading-item-posteinsurancebrokerposteinsurancebroker-moduliguidare-sicuri-fase-di-post-vendita-faq-accordion-devomodificaredeidatinelmiocontrattocosadevofare-1-1"&gt;</v>
      </c>
      <c r="Y365" s="34" t="str">
        <f>SUBSTITUTE(IF(Tabella4[[#This Row],[Tool]]="axe-core",MID(Tabella4[[#This Row],[Rejected Element]],3,LEN(Tabella4[[#This Row],[Rejected Element]])-4),Tabella4[[#This Row],[Rejected Element]]),"\","")</f>
        <v>#heading-item-posteinsurancebrokerposteinsurancebroker-moduliguidare-sicuri-fase-di-post-vendita-faq-accordion-devomodificaredeidatinelmiocontrattocosadevofare-1-1</v>
      </c>
      <c r="Z365" s="34">
        <f>COUNTIFS(Tabella4[Detail univoco],Tabella4[[#This Row],[Detail univoco]],Tabella4[Rejected Element Univoco],Tabella4[[#This Row],[Rejected Element Univoco]],Tabella4[ItemsNodeLabel],Tabella4[[#This Row],[ItemsNodeLabel]])</f>
        <v>0</v>
      </c>
      <c r="AA365" s="34" t="str">
        <f>IF(Tabella4[[#This Row],[Componente]]="Documenti",VLOOKUP(Tabella4[[#This Row],[URL]],Tabella27[[URL]:[Servizio]],4,FALSE),VLOOKUP(Tabella4[[#This Row],[Page ID]],Tabella1[[Page ID]:[Servizio]],4,FALSE))</f>
        <v>S002 Poste Guidare Sicuri</v>
      </c>
      <c r="AB365" t="s">
        <v>1421</v>
      </c>
      <c r="AC365" s="34" t="str">
        <f>Tabella4[[#This Row],[User Impact]]</f>
        <v>2 - Serious</v>
      </c>
      <c r="AD365" s="34" t="str">
        <f>Copertina!C$2&amp;" - "&amp;Tabella4[[#This Row],[UNI CEI EN 301549]]&amp;" "&amp;VLOOKUP(Tabella4[[#This Row],[Criterio]],Tabella5[[ID]:[Criterio di successo]],2,FALSE)&amp;" - "&amp;Tabella4[[#This Row],[Servizio]]&amp;":"</f>
        <v>Insurance Brocker - 9.4.1.2 Nome, ruolo, valore - S002 Poste Guidare Sicuri:</v>
      </c>
      <c r="AE36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(#TM0268)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id="heading-item-posteinsurancebrokerposteinsurancebroker-moduliguidare-sicuri-fase-di-post-vendita-faq-accordion-devomodificaredeidatinelmiocontrattocosadevofare-1-1"&gt; con selettore: 
["#heading-item-posteinsurancebrokerposteinsurancebroker-moduliguidare-sicuri-fase-di-post-vendita-faq-accordion-devomodificaredeidatinelmiocontrattocosadevofare-1-1"]
Dettaglio + screenshot (accedere con le seguenti credenziali: user, axeposte@gmail.com; password, Poste2024!): https://axe.deque.com/issues/530bd17a-3383-49b4-8bab-fc4ed2313f65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65">
        <f>_xlfn.XLOOKUP(Tabella4[[#This Row],[ID Silk]],outTable[ID Silk],outTable[Numero ticket  ],,0,1)</f>
        <v>6016</v>
      </c>
    </row>
    <row r="366" spans="1:32">
      <c r="A366" s="34" t="str">
        <f>MID(Tabella4[[#This Row],[Servizio]],1,4)&amp;Tabella4[[#This Row],[UNI CEI EN 301549]]</f>
        <v>S0029.4.1.2</v>
      </c>
      <c r="B366" s="34" t="str">
        <f>Tabella4[[#This Row],[ID Silk]]&amp;"_1"</f>
        <v>S0029.4.1.2_1</v>
      </c>
      <c r="C366" s="34" t="s">
        <v>1711</v>
      </c>
      <c r="D366" s="2" t="str">
        <f>"(#"&amp;Tabella4[[#This Row],['#ID]]&amp;")"</f>
        <v>(#TM0269)</v>
      </c>
      <c r="E366" s="34" t="str">
        <f>IF(MID(Tabella4[[#This Row],['#ID]],1,1)="M","Mobile",IF(MID(Tabella4[[#This Row],['#ID]],1,1)="D","Desktop",IF(MID(Tabella4[[#This Row],['#ID]],1,2)="TM","Manuale","Documenti")))</f>
        <v>Manuale</v>
      </c>
      <c r="F366" s="34" t="s">
        <v>1005</v>
      </c>
      <c r="G366" s="34" t="s">
        <v>368</v>
      </c>
      <c r="H366" s="34" t="str">
        <f>IF(Tabella4[[#This Row],[Componente]]="Documenti","10.","9.")&amp;Tabella4[[#This Row],[Criterio]]</f>
        <v>9.4.1.2</v>
      </c>
      <c r="I366" s="34" t="s">
        <v>1023</v>
      </c>
      <c r="J366" s="34" t="s">
        <v>1028</v>
      </c>
      <c r="K366" s="34" t="s">
        <v>1029</v>
      </c>
      <c r="L366" s="34" t="s">
        <v>1030</v>
      </c>
      <c r="M366" s="34" t="s">
        <v>1031</v>
      </c>
      <c r="N366" t="s">
        <v>1422</v>
      </c>
      <c r="O366" t="s">
        <v>1423</v>
      </c>
      <c r="P366" t="s">
        <v>388</v>
      </c>
      <c r="R366" s="34" t="str">
        <f>IF(Tabella4[[#This Row],[Componente]]="Documenti",_xlfn.XLOOKUP(Tabella4[[#This Row],[URL]],Tabella27[URL],Tabella27[PDF ID],,0),_xlfn.XLOOKUP(Tabella4[[#This Row],[URL]],Tabella1[URL],Tabella1[Page ID],,0))</f>
        <v>#8</v>
      </c>
      <c r="S366" s="34" t="s">
        <v>1004</v>
      </c>
      <c r="T366" t="s">
        <v>490</v>
      </c>
      <c r="V366" t="s">
        <v>492</v>
      </c>
      <c r="W366" s="34" t="s">
        <v>1067</v>
      </c>
      <c r="X366"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id="heading-item-posteinsurancebrokerposteinsurancebroker-moduliguidare-sicuri-fase-di-post-vendita-faq-accordion-cosadevofaresehomodificatolamiaresidenza-2-2"&gt;</v>
      </c>
      <c r="Y366" s="34" t="str">
        <f>SUBSTITUTE(IF(Tabella4[[#This Row],[Tool]]="axe-core",MID(Tabella4[[#This Row],[Rejected Element]],3,LEN(Tabella4[[#This Row],[Rejected Element]])-4),Tabella4[[#This Row],[Rejected Element]]),"\","")</f>
        <v>#heading-item-posteinsurancebrokerposteinsurancebroker-moduliguidare-sicuri-fase-di-post-vendita-faq-accordion-cosadevofaresehomodificatolamiaresidenza-2-2</v>
      </c>
      <c r="Z366" s="34">
        <f>COUNTIFS(Tabella4[Detail univoco],Tabella4[[#This Row],[Detail univoco]],Tabella4[Rejected Element Univoco],Tabella4[[#This Row],[Rejected Element Univoco]],Tabella4[ItemsNodeLabel],Tabella4[[#This Row],[ItemsNodeLabel]])</f>
        <v>0</v>
      </c>
      <c r="AA366" s="34" t="str">
        <f>IF(Tabella4[[#This Row],[Componente]]="Documenti",VLOOKUP(Tabella4[[#This Row],[URL]],Tabella27[[URL]:[Servizio]],4,FALSE),VLOOKUP(Tabella4[[#This Row],[Page ID]],Tabella1[[Page ID]:[Servizio]],4,FALSE))</f>
        <v>S002 Poste Guidare Sicuri</v>
      </c>
      <c r="AB366" t="s">
        <v>1424</v>
      </c>
      <c r="AC366" s="34" t="str">
        <f>Tabella4[[#This Row],[User Impact]]</f>
        <v>2 - Serious</v>
      </c>
      <c r="AD366" s="34" t="str">
        <f>Copertina!C$2&amp;" - "&amp;Tabella4[[#This Row],[UNI CEI EN 301549]]&amp;" "&amp;VLOOKUP(Tabella4[[#This Row],[Criterio]],Tabella5[[ID]:[Criterio di successo]],2,FALSE)&amp;" - "&amp;Tabella4[[#This Row],[Servizio]]&amp;":"</f>
        <v>Insurance Brocker - 9.4.1.2 Nome, ruolo, valore - S002 Poste Guidare Sicuri:</v>
      </c>
      <c r="AE36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(#TM0269)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id="heading-item-posteinsurancebrokerposteinsurancebroker-moduliguidare-sicuri-fase-di-post-vendita-faq-accordion-cosadevofaresehomodificatolamiaresidenza-2-2"&gt; con selettore: 
["#heading-item-posteinsurancebrokerposteinsurancebroker-moduliguidare-sicuri-fase-di-post-vendita-faq-accordion-cosadevofaresehomodificatolamiaresidenza-2-2"]
Dettaglio + screenshot (accedere con le seguenti credenziali: user, axeposte@gmail.com; password, Poste2024!): https://axe.deque.com/issues/4f137bcd-3dcc-4a17-bd99-6ad81ed373bc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66">
        <f>_xlfn.XLOOKUP(Tabella4[[#This Row],[ID Silk]],outTable[ID Silk],outTable[Numero ticket  ],,0,1)</f>
        <v>6016</v>
      </c>
    </row>
    <row r="367" spans="1:32">
      <c r="A367" s="34" t="str">
        <f>MID(Tabella4[[#This Row],[Servizio]],1,4)&amp;Tabella4[[#This Row],[UNI CEI EN 301549]]</f>
        <v>S0029.4.1.2</v>
      </c>
      <c r="B367" s="34" t="str">
        <f>Tabella4[[#This Row],[ID Silk]]&amp;"_1"</f>
        <v>S0029.4.1.2_1</v>
      </c>
      <c r="C367" s="34" t="s">
        <v>1712</v>
      </c>
      <c r="D367" s="2" t="str">
        <f>"(#"&amp;Tabella4[[#This Row],['#ID]]&amp;")"</f>
        <v>(#TM0270)</v>
      </c>
      <c r="E367" s="34" t="str">
        <f>IF(MID(Tabella4[[#This Row],['#ID]],1,1)="M","Mobile",IF(MID(Tabella4[[#This Row],['#ID]],1,1)="D","Desktop",IF(MID(Tabella4[[#This Row],['#ID]],1,2)="TM","Manuale","Documenti")))</f>
        <v>Manuale</v>
      </c>
      <c r="F367" s="34" t="s">
        <v>1005</v>
      </c>
      <c r="G367" s="34" t="s">
        <v>368</v>
      </c>
      <c r="H367" s="34" t="str">
        <f>IF(Tabella4[[#This Row],[Componente]]="Documenti","10.","9.")&amp;Tabella4[[#This Row],[Criterio]]</f>
        <v>9.4.1.2</v>
      </c>
      <c r="I367" s="34" t="s">
        <v>1023</v>
      </c>
      <c r="J367" s="34" t="s">
        <v>1028</v>
      </c>
      <c r="K367" s="34" t="s">
        <v>1029</v>
      </c>
      <c r="L367" s="34" t="s">
        <v>1030</v>
      </c>
      <c r="M367" s="34" t="s">
        <v>1031</v>
      </c>
      <c r="N367" t="s">
        <v>1425</v>
      </c>
      <c r="O367" t="s">
        <v>1426</v>
      </c>
      <c r="P367" t="s">
        <v>388</v>
      </c>
      <c r="R367" s="34" t="str">
        <f>IF(Tabella4[[#This Row],[Componente]]="Documenti",_xlfn.XLOOKUP(Tabella4[[#This Row],[URL]],Tabella27[URL],Tabella27[PDF ID],,0),_xlfn.XLOOKUP(Tabella4[[#This Row],[URL]],Tabella1[URL],Tabella1[Page ID],,0))</f>
        <v>#8</v>
      </c>
      <c r="S367" s="34" t="s">
        <v>1004</v>
      </c>
      <c r="T367" t="s">
        <v>490</v>
      </c>
      <c r="V367" t="s">
        <v>492</v>
      </c>
      <c r="W367" s="34" t="s">
        <v>1067</v>
      </c>
      <c r="X367"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id="heading-item-posteinsurancebrokerposteinsurancebroker-moduliguidare-sicuri-fase-di-post-vendita-faq-accordion-cosadevofarepersospenderelamiapolizza-3-3"&gt;</v>
      </c>
      <c r="Y367" s="34" t="str">
        <f>SUBSTITUTE(IF(Tabella4[[#This Row],[Tool]]="axe-core",MID(Tabella4[[#This Row],[Rejected Element]],3,LEN(Tabella4[[#This Row],[Rejected Element]])-4),Tabella4[[#This Row],[Rejected Element]]),"\","")</f>
        <v>#heading-item-posteinsurancebrokerposteinsurancebroker-moduliguidare-sicuri-fase-di-post-vendita-faq-accordion-cosadevofarepersospenderelamiapolizza-3-3</v>
      </c>
      <c r="Z367" s="34">
        <f>COUNTIFS(Tabella4[Detail univoco],Tabella4[[#This Row],[Detail univoco]],Tabella4[Rejected Element Univoco],Tabella4[[#This Row],[Rejected Element Univoco]],Tabella4[ItemsNodeLabel],Tabella4[[#This Row],[ItemsNodeLabel]])</f>
        <v>0</v>
      </c>
      <c r="AA367" s="34" t="str">
        <f>IF(Tabella4[[#This Row],[Componente]]="Documenti",VLOOKUP(Tabella4[[#This Row],[URL]],Tabella27[[URL]:[Servizio]],4,FALSE),VLOOKUP(Tabella4[[#This Row],[Page ID]],Tabella1[[Page ID]:[Servizio]],4,FALSE))</f>
        <v>S002 Poste Guidare Sicuri</v>
      </c>
      <c r="AB367" t="s">
        <v>1427</v>
      </c>
      <c r="AC367" s="34" t="str">
        <f>Tabella4[[#This Row],[User Impact]]</f>
        <v>2 - Serious</v>
      </c>
      <c r="AD367" s="34" t="str">
        <f>Copertina!C$2&amp;" - "&amp;Tabella4[[#This Row],[UNI CEI EN 301549]]&amp;" "&amp;VLOOKUP(Tabella4[[#This Row],[Criterio]],Tabella5[[ID]:[Criterio di successo]],2,FALSE)&amp;" - "&amp;Tabella4[[#This Row],[Servizio]]&amp;":"</f>
        <v>Insurance Brocker - 9.4.1.2 Nome, ruolo, valore - S002 Poste Guidare Sicuri:</v>
      </c>
      <c r="AE36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(#TM0270)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id="heading-item-posteinsurancebrokerposteinsurancebroker-moduliguidare-sicuri-fase-di-post-vendita-faq-accordion-cosadevofarepersospenderelamiapolizza-3-3"&gt; con selettore: 
["#heading-item-posteinsurancebrokerposteinsurancebroker-moduliguidare-sicuri-fase-di-post-vendita-faq-accordion-cosadevofarepersospenderelamiapolizza-3-3"]
Dettaglio + screenshot (accedere con le seguenti credenziali: user, axeposte@gmail.com; password, Poste2024!): https://axe.deque.com/issues/80d068de-241a-40f9-9554-cc1f6b49df64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67">
        <f>_xlfn.XLOOKUP(Tabella4[[#This Row],[ID Silk]],outTable[ID Silk],outTable[Numero ticket  ],,0,1)</f>
        <v>6016</v>
      </c>
    </row>
    <row r="368" spans="1:32">
      <c r="A368" s="34" t="str">
        <f>MID(Tabella4[[#This Row],[Servizio]],1,4)&amp;Tabella4[[#This Row],[UNI CEI EN 301549]]</f>
        <v>S0029.4.1.2</v>
      </c>
      <c r="B368" s="34" t="str">
        <f>Tabella4[[#This Row],[ID Silk]]&amp;"_1"</f>
        <v>S0029.4.1.2_1</v>
      </c>
      <c r="C368" s="34" t="s">
        <v>1713</v>
      </c>
      <c r="D368" s="2" t="str">
        <f>"(#"&amp;Tabella4[[#This Row],['#ID]]&amp;")"</f>
        <v>(#TM0271)</v>
      </c>
      <c r="E368" s="34" t="str">
        <f>IF(MID(Tabella4[[#This Row],['#ID]],1,1)="M","Mobile",IF(MID(Tabella4[[#This Row],['#ID]],1,1)="D","Desktop",IF(MID(Tabella4[[#This Row],['#ID]],1,2)="TM","Manuale","Documenti")))</f>
        <v>Manuale</v>
      </c>
      <c r="F368" s="34" t="s">
        <v>1005</v>
      </c>
      <c r="G368" s="34" t="s">
        <v>368</v>
      </c>
      <c r="H368" s="34" t="str">
        <f>IF(Tabella4[[#This Row],[Componente]]="Documenti","10.","9.")&amp;Tabella4[[#This Row],[Criterio]]</f>
        <v>9.4.1.2</v>
      </c>
      <c r="I368" s="34" t="s">
        <v>1023</v>
      </c>
      <c r="J368" s="34" t="s">
        <v>1028</v>
      </c>
      <c r="K368" s="34" t="s">
        <v>1029</v>
      </c>
      <c r="L368" s="34" t="s">
        <v>1030</v>
      </c>
      <c r="M368" s="34" t="s">
        <v>1031</v>
      </c>
      <c r="N368" t="s">
        <v>1428</v>
      </c>
      <c r="O368" t="s">
        <v>1429</v>
      </c>
      <c r="P368" t="s">
        <v>388</v>
      </c>
      <c r="R368" s="34" t="str">
        <f>IF(Tabella4[[#This Row],[Componente]]="Documenti",_xlfn.XLOOKUP(Tabella4[[#This Row],[URL]],Tabella27[URL],Tabella27[PDF ID],,0),_xlfn.XLOOKUP(Tabella4[[#This Row],[URL]],Tabella1[URL],Tabella1[Page ID],,0))</f>
        <v>#8</v>
      </c>
      <c r="S368" s="34" t="s">
        <v>1004</v>
      </c>
      <c r="T368" t="s">
        <v>490</v>
      </c>
      <c r="V368" t="s">
        <v>492</v>
      </c>
      <c r="W368" s="34" t="s">
        <v>1067</v>
      </c>
      <c r="X368"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id="heading-item-posteinsurancebrokerposteinsurancebroker-moduliguidare-sicuri-fase-di-post-vendita-faq-accordion-cosadevofareperriattivarelamiapolizzasospesa-4-4"&gt;</v>
      </c>
      <c r="Y368" s="34" t="str">
        <f>SUBSTITUTE(IF(Tabella4[[#This Row],[Tool]]="axe-core",MID(Tabella4[[#This Row],[Rejected Element]],3,LEN(Tabella4[[#This Row],[Rejected Element]])-4),Tabella4[[#This Row],[Rejected Element]]),"\","")</f>
        <v>#heading-item-posteinsurancebrokerposteinsurancebroker-moduliguidare-sicuri-fase-di-post-vendita-faq-accordion-cosadevofareperriattivarelamiapolizzasospesa-4-4</v>
      </c>
      <c r="Z368" s="34">
        <f>COUNTIFS(Tabella4[Detail univoco],Tabella4[[#This Row],[Detail univoco]],Tabella4[Rejected Element Univoco],Tabella4[[#This Row],[Rejected Element Univoco]],Tabella4[ItemsNodeLabel],Tabella4[[#This Row],[ItemsNodeLabel]])</f>
        <v>0</v>
      </c>
      <c r="AA368" s="34" t="str">
        <f>IF(Tabella4[[#This Row],[Componente]]="Documenti",VLOOKUP(Tabella4[[#This Row],[URL]],Tabella27[[URL]:[Servizio]],4,FALSE),VLOOKUP(Tabella4[[#This Row],[Page ID]],Tabella1[[Page ID]:[Servizio]],4,FALSE))</f>
        <v>S002 Poste Guidare Sicuri</v>
      </c>
      <c r="AB368" t="s">
        <v>1430</v>
      </c>
      <c r="AC368" s="34" t="str">
        <f>Tabella4[[#This Row],[User Impact]]</f>
        <v>2 - Serious</v>
      </c>
      <c r="AD368" s="34" t="str">
        <f>Copertina!C$2&amp;" - "&amp;Tabella4[[#This Row],[UNI CEI EN 301549]]&amp;" "&amp;VLOOKUP(Tabella4[[#This Row],[Criterio]],Tabella5[[ID]:[Criterio di successo]],2,FALSE)&amp;" - "&amp;Tabella4[[#This Row],[Servizio]]&amp;":"</f>
        <v>Insurance Brocker - 9.4.1.2 Nome, ruolo, valore - S002 Poste Guidare Sicuri:</v>
      </c>
      <c r="AE36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(#TM0271)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id="heading-item-posteinsurancebrokerposteinsurancebroker-moduliguidare-sicuri-fase-di-post-vendita-faq-accordion-cosadevofareperriattivarelamiapolizzasospesa-4-4"&gt; con selettore: 
["#heading-item-posteinsurancebrokerposteinsurancebroker-moduliguidare-sicuri-fase-di-post-vendita-faq-accordion-cosadevofareperriattivarelamiapolizzasospesa-4-4"]
Dettaglio + screenshot (accedere con le seguenti credenziali: user, axeposte@gmail.com; password, Poste2024!): https://axe.deque.com/issues/d9ca0d8e-b43b-4201-b1ad-8a2ac28c3454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68">
        <f>_xlfn.XLOOKUP(Tabella4[[#This Row],[ID Silk]],outTable[ID Silk],outTable[Numero ticket  ],,0,1)</f>
        <v>6016</v>
      </c>
    </row>
    <row r="369" spans="1:32">
      <c r="A369" s="34" t="str">
        <f>MID(Tabella4[[#This Row],[Servizio]],1,4)&amp;Tabella4[[#This Row],[UNI CEI EN 301549]]</f>
        <v>S0029.4.1.2</v>
      </c>
      <c r="B369" s="34" t="str">
        <f>Tabella4[[#This Row],[ID Silk]]&amp;"_1"</f>
        <v>S0029.4.1.2_1</v>
      </c>
      <c r="C369" s="34" t="s">
        <v>1714</v>
      </c>
      <c r="D369" s="2" t="str">
        <f>"(#"&amp;Tabella4[[#This Row],['#ID]]&amp;")"</f>
        <v>(#TM0272)</v>
      </c>
      <c r="E369" s="34" t="str">
        <f>IF(MID(Tabella4[[#This Row],['#ID]],1,1)="M","Mobile",IF(MID(Tabella4[[#This Row],['#ID]],1,1)="D","Desktop",IF(MID(Tabella4[[#This Row],['#ID]],1,2)="TM","Manuale","Documenti")))</f>
        <v>Manuale</v>
      </c>
      <c r="F369" s="34" t="s">
        <v>1005</v>
      </c>
      <c r="G369" s="34" t="s">
        <v>368</v>
      </c>
      <c r="H369" s="34" t="str">
        <f>IF(Tabella4[[#This Row],[Componente]]="Documenti","10.","9.")&amp;Tabella4[[#This Row],[Criterio]]</f>
        <v>9.4.1.2</v>
      </c>
      <c r="I369" s="34" t="s">
        <v>1023</v>
      </c>
      <c r="J369" s="34" t="s">
        <v>1028</v>
      </c>
      <c r="K369" s="34" t="s">
        <v>1029</v>
      </c>
      <c r="L369" s="34" t="s">
        <v>1030</v>
      </c>
      <c r="M369" s="34" t="s">
        <v>1031</v>
      </c>
      <c r="N369" t="s">
        <v>1431</v>
      </c>
      <c r="O369" t="s">
        <v>1432</v>
      </c>
      <c r="P369" t="s">
        <v>388</v>
      </c>
      <c r="R369" s="34" t="str">
        <f>IF(Tabella4[[#This Row],[Componente]]="Documenti",_xlfn.XLOOKUP(Tabella4[[#This Row],[URL]],Tabella27[URL],Tabella27[PDF ID],,0),_xlfn.XLOOKUP(Tabella4[[#This Row],[URL]],Tabella1[URL],Tabella1[Page ID],,0))</f>
        <v>#8</v>
      </c>
      <c r="S369" s="34" t="s">
        <v>1004</v>
      </c>
      <c r="T369" t="s">
        <v>490</v>
      </c>
      <c r="V369" t="s">
        <v>492</v>
      </c>
      <c r="W369" s="34" t="s">
        <v>1067</v>
      </c>
      <c r="X369"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id="heading-item-posteinsurancebrokerposteinsurancebroker-moduliguidare-sicuri-fase-di-post-vendita-faq-accordion-possochiudereilmiocontrattoassicurativoprimadellascadenza-5-5"&gt;</v>
      </c>
      <c r="Y369" s="34" t="str">
        <f>SUBSTITUTE(IF(Tabella4[[#This Row],[Tool]]="axe-core",MID(Tabella4[[#This Row],[Rejected Element]],3,LEN(Tabella4[[#This Row],[Rejected Element]])-4),Tabella4[[#This Row],[Rejected Element]]),"\","")</f>
        <v>#heading-item-posteinsurancebrokerposteinsurancebroker-moduliguidare-sicuri-fase-di-post-vendita-faq-accordion-possochiudereilmiocontrattoassicurativoprimadellascadenza-5-5</v>
      </c>
      <c r="Z369" s="34">
        <f>COUNTIFS(Tabella4[Detail univoco],Tabella4[[#This Row],[Detail univoco]],Tabella4[Rejected Element Univoco],Tabella4[[#This Row],[Rejected Element Univoco]],Tabella4[ItemsNodeLabel],Tabella4[[#This Row],[ItemsNodeLabel]])</f>
        <v>0</v>
      </c>
      <c r="AA369" s="34" t="str">
        <f>IF(Tabella4[[#This Row],[Componente]]="Documenti",VLOOKUP(Tabella4[[#This Row],[URL]],Tabella27[[URL]:[Servizio]],4,FALSE),VLOOKUP(Tabella4[[#This Row],[Page ID]],Tabella1[[Page ID]:[Servizio]],4,FALSE))</f>
        <v>S002 Poste Guidare Sicuri</v>
      </c>
      <c r="AB369" t="s">
        <v>1433</v>
      </c>
      <c r="AC369" s="34" t="str">
        <f>Tabella4[[#This Row],[User Impact]]</f>
        <v>2 - Serious</v>
      </c>
      <c r="AD369" s="34" t="str">
        <f>Copertina!C$2&amp;" - "&amp;Tabella4[[#This Row],[UNI CEI EN 301549]]&amp;" "&amp;VLOOKUP(Tabella4[[#This Row],[Criterio]],Tabella5[[ID]:[Criterio di successo]],2,FALSE)&amp;" - "&amp;Tabella4[[#This Row],[Servizio]]&amp;":"</f>
        <v>Insurance Brocker - 9.4.1.2 Nome, ruolo, valore - S002 Poste Guidare Sicuri:</v>
      </c>
      <c r="AE36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(#TM0272)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id="heading-item-posteinsurancebrokerposteinsurancebroker-moduliguidare-sicuri-fase-di-post-vendita-faq-accordion-possochiudereilmiocontrattoassicurativoprimadellascadenza-5-5"&gt; con selettore: 
["#heading-item-posteinsurancebrokerposteinsurancebroker-moduliguidare-sicuri-fase-di-post-vendita-faq-accordion-possochiudereilmiocontrattoassicurativoprimadellascadenza-5-5"]
Dettaglio + screenshot (accedere con le seguenti credenziali: user, axeposte@gmail.com; password, Poste2024!): https://axe.deque.com/issues/a1268163-0a16-4c9f-8370-ae9d6a9306d0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69">
        <f>_xlfn.XLOOKUP(Tabella4[[#This Row],[ID Silk]],outTable[ID Silk],outTable[Numero ticket  ],,0,1)</f>
        <v>6016</v>
      </c>
    </row>
    <row r="370" spans="1:32">
      <c r="A370" s="34" t="str">
        <f>MID(Tabella4[[#This Row],[Servizio]],1,4)&amp;Tabella4[[#This Row],[UNI CEI EN 301549]]</f>
        <v>S0029.4.1.2</v>
      </c>
      <c r="B370" s="34" t="str">
        <f>Tabella4[[#This Row],[ID Silk]]&amp;"_1"</f>
        <v>S0029.4.1.2_1</v>
      </c>
      <c r="C370" s="34" t="s">
        <v>1715</v>
      </c>
      <c r="D370" s="2" t="str">
        <f>"(#"&amp;Tabella4[[#This Row],['#ID]]&amp;")"</f>
        <v>(#TM0273)</v>
      </c>
      <c r="E370" s="34" t="str">
        <f>IF(MID(Tabella4[[#This Row],['#ID]],1,1)="M","Mobile",IF(MID(Tabella4[[#This Row],['#ID]],1,1)="D","Desktop",IF(MID(Tabella4[[#This Row],['#ID]],1,2)="TM","Manuale","Documenti")))</f>
        <v>Manuale</v>
      </c>
      <c r="F370" s="34" t="s">
        <v>1005</v>
      </c>
      <c r="G370" s="34" t="s">
        <v>368</v>
      </c>
      <c r="H370" s="34" t="str">
        <f>IF(Tabella4[[#This Row],[Componente]]="Documenti","10.","9.")&amp;Tabella4[[#This Row],[Criterio]]</f>
        <v>9.4.1.2</v>
      </c>
      <c r="I370" s="34" t="s">
        <v>1023</v>
      </c>
      <c r="J370" s="34" t="s">
        <v>1028</v>
      </c>
      <c r="K370" s="34" t="s">
        <v>1029</v>
      </c>
      <c r="L370" s="34" t="s">
        <v>1030</v>
      </c>
      <c r="M370" s="34" t="s">
        <v>1031</v>
      </c>
      <c r="N370" t="s">
        <v>1434</v>
      </c>
      <c r="O370" t="s">
        <v>1435</v>
      </c>
      <c r="P370" t="s">
        <v>388</v>
      </c>
      <c r="R370" s="34" t="str">
        <f>IF(Tabella4[[#This Row],[Componente]]="Documenti",_xlfn.XLOOKUP(Tabella4[[#This Row],[URL]],Tabella27[URL],Tabella27[PDF ID],,0),_xlfn.XLOOKUP(Tabella4[[#This Row],[URL]],Tabella1[URL],Tabella1[Page ID],,0))</f>
        <v>#8</v>
      </c>
      <c r="S370" s="34" t="s">
        <v>1004</v>
      </c>
      <c r="T370" t="s">
        <v>490</v>
      </c>
      <c r="V370" t="s">
        <v>492</v>
      </c>
      <c r="W370" s="34" t="s">
        <v>1067</v>
      </c>
      <c r="X370"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id="heading-item-posteinsurancebrokerposteinsurancebroker-moduliguidare-sicuri-fase-di-post-vendita-faq-accordion-perqualsiasiinformazionesullostatodeimieisinistrichidevocontattare-6-6"&gt;</v>
      </c>
      <c r="Y370" s="34" t="str">
        <f>SUBSTITUTE(IF(Tabella4[[#This Row],[Tool]]="axe-core",MID(Tabella4[[#This Row],[Rejected Element]],3,LEN(Tabella4[[#This Row],[Rejected Element]])-4),Tabella4[[#This Row],[Rejected Element]]),"\","")</f>
        <v>#heading-item-posteinsurancebrokerposteinsurancebroker-moduliguidare-sicuri-fase-di-post-vendita-faq-accordion-perqualsiasiinformazionesullostatodeimieisinistrichidevocontattare-6-6</v>
      </c>
      <c r="Z370" s="34">
        <f>COUNTIFS(Tabella4[Detail univoco],Tabella4[[#This Row],[Detail univoco]],Tabella4[Rejected Element Univoco],Tabella4[[#This Row],[Rejected Element Univoco]],Tabella4[ItemsNodeLabel],Tabella4[[#This Row],[ItemsNodeLabel]])</f>
        <v>0</v>
      </c>
      <c r="AA370" s="34" t="str">
        <f>IF(Tabella4[[#This Row],[Componente]]="Documenti",VLOOKUP(Tabella4[[#This Row],[URL]],Tabella27[[URL]:[Servizio]],4,FALSE),VLOOKUP(Tabella4[[#This Row],[Page ID]],Tabella1[[Page ID]:[Servizio]],4,FALSE))</f>
        <v>S002 Poste Guidare Sicuri</v>
      </c>
      <c r="AB370" t="s">
        <v>1436</v>
      </c>
      <c r="AC370" s="34" t="str">
        <f>Tabella4[[#This Row],[User Impact]]</f>
        <v>2 - Serious</v>
      </c>
      <c r="AD370" s="34" t="str">
        <f>Copertina!C$2&amp;" - "&amp;Tabella4[[#This Row],[UNI CEI EN 301549]]&amp;" "&amp;VLOOKUP(Tabella4[[#This Row],[Criterio]],Tabella5[[ID]:[Criterio di successo]],2,FALSE)&amp;" - "&amp;Tabella4[[#This Row],[Servizio]]&amp;":"</f>
        <v>Insurance Brocker - 9.4.1.2 Nome, ruolo, valore - S002 Poste Guidare Sicuri:</v>
      </c>
      <c r="AE37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(#TM0273)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id="heading-item-posteinsurancebrokerposteinsurancebroker-moduliguidare-sicuri-fase-di-post-vendita-faq-accordion-perqualsiasiinformazionesullostatodeimieisinistrichidevocontattare-6-6"&gt; con selettore: 
["#heading-item-posteinsurancebrokerposteinsurancebroker-moduliguidare-sicuri-fase-di-post-vendita-faq-accordion-perqualsiasiinformazionesullostatodeimieisinistrichidevocontattare-6-6"]
Dettaglio + screenshot (accedere con le seguenti credenziali: user, axeposte@gmail.com; password, Poste2024!): https://axe.deque.com/issues/1160a046-5926-46bb-9451-b4cdd7532338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70">
        <f>_xlfn.XLOOKUP(Tabella4[[#This Row],[ID Silk]],outTable[ID Silk],outTable[Numero ticket  ],,0,1)</f>
        <v>6016</v>
      </c>
    </row>
    <row r="371" spans="1:32">
      <c r="A371" s="34" t="str">
        <f>MID(Tabella4[[#This Row],[Servizio]],1,4)&amp;Tabella4[[#This Row],[UNI CEI EN 301549]]</f>
        <v>S0029.4.1.2</v>
      </c>
      <c r="B371" s="34" t="str">
        <f>Tabella4[[#This Row],[ID Silk]]&amp;"_1"</f>
        <v>S0029.4.1.2_1</v>
      </c>
      <c r="C371" s="34" t="s">
        <v>1716</v>
      </c>
      <c r="D371" s="2" t="str">
        <f>"(#"&amp;Tabella4[[#This Row],['#ID]]&amp;")"</f>
        <v>(#TM0274)</v>
      </c>
      <c r="E371" s="34" t="str">
        <f>IF(MID(Tabella4[[#This Row],['#ID]],1,1)="M","Mobile",IF(MID(Tabella4[[#This Row],['#ID]],1,1)="D","Desktop",IF(MID(Tabella4[[#This Row],['#ID]],1,2)="TM","Manuale","Documenti")))</f>
        <v>Manuale</v>
      </c>
      <c r="F371" s="34" t="s">
        <v>1005</v>
      </c>
      <c r="G371" s="34" t="s">
        <v>368</v>
      </c>
      <c r="H371" s="34" t="str">
        <f>IF(Tabella4[[#This Row],[Componente]]="Documenti","10.","9.")&amp;Tabella4[[#This Row],[Criterio]]</f>
        <v>9.4.1.2</v>
      </c>
      <c r="I371" s="34" t="s">
        <v>1023</v>
      </c>
      <c r="J371" s="34" t="s">
        <v>1028</v>
      </c>
      <c r="K371" s="34" t="s">
        <v>1029</v>
      </c>
      <c r="L371" s="34" t="s">
        <v>1030</v>
      </c>
      <c r="M371" s="34" t="s">
        <v>1031</v>
      </c>
      <c r="N371" t="s">
        <v>1437</v>
      </c>
      <c r="O371" t="s">
        <v>1438</v>
      </c>
      <c r="P371" t="s">
        <v>388</v>
      </c>
      <c r="R371" s="34" t="str">
        <f>IF(Tabella4[[#This Row],[Componente]]="Documenti",_xlfn.XLOOKUP(Tabella4[[#This Row],[URL]],Tabella27[URL],Tabella27[PDF ID],,0),_xlfn.XLOOKUP(Tabella4[[#This Row],[URL]],Tabella1[URL],Tabella1[Page ID],,0))</f>
        <v>#8</v>
      </c>
      <c r="S371" s="34" t="s">
        <v>1004</v>
      </c>
      <c r="T371" t="s">
        <v>490</v>
      </c>
      <c r="V371" t="s">
        <v>492</v>
      </c>
      <c r="W371" s="34" t="s">
        <v>1067</v>
      </c>
      <c r="X371"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id="heading-item-posteinsurancebrokerposteinsurancebroker-moduliguidare-sicuri-fase-di-post-vendita-faq-accordion-cosadevofareincasodiincidente-7-7"&gt;</v>
      </c>
      <c r="Y371" s="34" t="str">
        <f>SUBSTITUTE(IF(Tabella4[[#This Row],[Tool]]="axe-core",MID(Tabella4[[#This Row],[Rejected Element]],3,LEN(Tabella4[[#This Row],[Rejected Element]])-4),Tabella4[[#This Row],[Rejected Element]]),"\","")</f>
        <v>#heading-item-posteinsurancebrokerposteinsurancebroker-moduliguidare-sicuri-fase-di-post-vendita-faq-accordion-cosadevofareincasodiincidente-7-7</v>
      </c>
      <c r="Z371" s="34">
        <f>COUNTIFS(Tabella4[Detail univoco],Tabella4[[#This Row],[Detail univoco]],Tabella4[Rejected Element Univoco],Tabella4[[#This Row],[Rejected Element Univoco]],Tabella4[ItemsNodeLabel],Tabella4[[#This Row],[ItemsNodeLabel]])</f>
        <v>0</v>
      </c>
      <c r="AA371" s="34" t="str">
        <f>IF(Tabella4[[#This Row],[Componente]]="Documenti",VLOOKUP(Tabella4[[#This Row],[URL]],Tabella27[[URL]:[Servizio]],4,FALSE),VLOOKUP(Tabella4[[#This Row],[Page ID]],Tabella1[[Page ID]:[Servizio]],4,FALSE))</f>
        <v>S002 Poste Guidare Sicuri</v>
      </c>
      <c r="AB371" t="s">
        <v>1439</v>
      </c>
      <c r="AC371" s="34" t="str">
        <f>Tabella4[[#This Row],[User Impact]]</f>
        <v>2 - Serious</v>
      </c>
      <c r="AD371" s="34" t="str">
        <f>Copertina!C$2&amp;" - "&amp;Tabella4[[#This Row],[UNI CEI EN 301549]]&amp;" "&amp;VLOOKUP(Tabella4[[#This Row],[Criterio]],Tabella5[[ID]:[Criterio di successo]],2,FALSE)&amp;" - "&amp;Tabella4[[#This Row],[Servizio]]&amp;":"</f>
        <v>Insurance Brocker - 9.4.1.2 Nome, ruolo, valore - S002 Poste Guidare Sicuri:</v>
      </c>
      <c r="AE37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(#TM0274)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id="heading-item-posteinsurancebrokerposteinsurancebroker-moduliguidare-sicuri-fase-di-post-vendita-faq-accordion-cosadevofareincasodiincidente-7-7"&gt; con selettore: 
["#heading-item-posteinsurancebrokerposteinsurancebroker-moduliguidare-sicuri-fase-di-post-vendita-faq-accordion-cosadevofareincasodiincidente-7-7"]
Dettaglio + screenshot (accedere con le seguenti credenziali: user, axeposte@gmail.com; password, Poste2024!): https://axe.deque.com/issues/e151de09-264b-4249-b1a1-106f9051ce9f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71">
        <f>_xlfn.XLOOKUP(Tabella4[[#This Row],[ID Silk]],outTable[ID Silk],outTable[Numero ticket  ],,0,1)</f>
        <v>6016</v>
      </c>
    </row>
    <row r="372" spans="1:32">
      <c r="A372" s="34" t="str">
        <f>MID(Tabella4[[#This Row],[Servizio]],1,4)&amp;Tabella4[[#This Row],[UNI CEI EN 301549]]</f>
        <v>S0029.4.1.2</v>
      </c>
      <c r="B372" s="34" t="str">
        <f>Tabella4[[#This Row],[ID Silk]]&amp;"_1"</f>
        <v>S0029.4.1.2_1</v>
      </c>
      <c r="C372" s="34" t="s">
        <v>1717</v>
      </c>
      <c r="D372" s="2" t="str">
        <f>"(#"&amp;Tabella4[[#This Row],['#ID]]&amp;")"</f>
        <v>(#TM0275)</v>
      </c>
      <c r="E372" s="34" t="str">
        <f>IF(MID(Tabella4[[#This Row],['#ID]],1,1)="M","Mobile",IF(MID(Tabella4[[#This Row],['#ID]],1,1)="D","Desktop",IF(MID(Tabella4[[#This Row],['#ID]],1,2)="TM","Manuale","Documenti")))</f>
        <v>Manuale</v>
      </c>
      <c r="F372" s="34" t="s">
        <v>1005</v>
      </c>
      <c r="G372" s="34" t="s">
        <v>368</v>
      </c>
      <c r="H372" s="34" t="str">
        <f>IF(Tabella4[[#This Row],[Componente]]="Documenti","10.","9.")&amp;Tabella4[[#This Row],[Criterio]]</f>
        <v>9.4.1.2</v>
      </c>
      <c r="I372" s="34" t="s">
        <v>1023</v>
      </c>
      <c r="J372" s="34" t="s">
        <v>1028</v>
      </c>
      <c r="K372" s="34" t="s">
        <v>1029</v>
      </c>
      <c r="L372" s="34" t="s">
        <v>1030</v>
      </c>
      <c r="M372" s="34" t="s">
        <v>1031</v>
      </c>
      <c r="N372" t="s">
        <v>1440</v>
      </c>
      <c r="O372" t="s">
        <v>1441</v>
      </c>
      <c r="P372" t="s">
        <v>388</v>
      </c>
      <c r="R372" s="34" t="str">
        <f>IF(Tabella4[[#This Row],[Componente]]="Documenti",_xlfn.XLOOKUP(Tabella4[[#This Row],[URL]],Tabella27[URL],Tabella27[PDF ID],,0),_xlfn.XLOOKUP(Tabella4[[#This Row],[URL]],Tabella1[URL],Tabella1[Page ID],,0))</f>
        <v>#8</v>
      </c>
      <c r="S372" s="34" t="s">
        <v>1004</v>
      </c>
      <c r="T372" t="s">
        <v>490</v>
      </c>
      <c r="V372" t="s">
        <v>492</v>
      </c>
      <c r="W372" s="34" t="s">
        <v>1067</v>
      </c>
      <c r="X372"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id="heading-item-posteinsurancebrokerposteinsurancebroker-moduliguidare-sicuri-fase-di-post-vendita-faq-accordion-cosadevofareperpagarelaratasemestraledellapolizza-8-8"&gt;</v>
      </c>
      <c r="Y372" s="34" t="str">
        <f>SUBSTITUTE(IF(Tabella4[[#This Row],[Tool]]="axe-core",MID(Tabella4[[#This Row],[Rejected Element]],3,LEN(Tabella4[[#This Row],[Rejected Element]])-4),Tabella4[[#This Row],[Rejected Element]]),"\","")</f>
        <v>#heading-item-posteinsurancebrokerposteinsurancebroker-moduliguidare-sicuri-fase-di-post-vendita-faq-accordion-cosadevofareperpagarelaratasemestraledellapolizza-8-8</v>
      </c>
      <c r="Z372" s="34">
        <f>COUNTIFS(Tabella4[Detail univoco],Tabella4[[#This Row],[Detail univoco]],Tabella4[Rejected Element Univoco],Tabella4[[#This Row],[Rejected Element Univoco]],Tabella4[ItemsNodeLabel],Tabella4[[#This Row],[ItemsNodeLabel]])</f>
        <v>0</v>
      </c>
      <c r="AA372" s="34" t="str">
        <f>IF(Tabella4[[#This Row],[Componente]]="Documenti",VLOOKUP(Tabella4[[#This Row],[URL]],Tabella27[[URL]:[Servizio]],4,FALSE),VLOOKUP(Tabella4[[#This Row],[Page ID]],Tabella1[[Page ID]:[Servizio]],4,FALSE))</f>
        <v>S002 Poste Guidare Sicuri</v>
      </c>
      <c r="AB372" t="s">
        <v>1442</v>
      </c>
      <c r="AC372" s="34" t="str">
        <f>Tabella4[[#This Row],[User Impact]]</f>
        <v>2 - Serious</v>
      </c>
      <c r="AD372" s="34" t="str">
        <f>Copertina!C$2&amp;" - "&amp;Tabella4[[#This Row],[UNI CEI EN 301549]]&amp;" "&amp;VLOOKUP(Tabella4[[#This Row],[Criterio]],Tabella5[[ID]:[Criterio di successo]],2,FALSE)&amp;" - "&amp;Tabella4[[#This Row],[Servizio]]&amp;":"</f>
        <v>Insurance Brocker - 9.4.1.2 Nome, ruolo, valore - S002 Poste Guidare Sicuri:</v>
      </c>
      <c r="AE37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(#TM0275)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id="heading-item-posteinsurancebrokerposteinsurancebroker-moduliguidare-sicuri-fase-di-post-vendita-faq-accordion-cosadevofareperpagarelaratasemestraledellapolizza-8-8"&gt; con selettore: 
["#heading-item-posteinsurancebrokerposteinsurancebroker-moduliguidare-sicuri-fase-di-post-vendita-faq-accordion-cosadevofareperpagarelaratasemestraledellapolizza-8-8"]
Dettaglio + screenshot (accedere con le seguenti credenziali: user, axeposte@gmail.com; password, Poste2024!): https://axe.deque.com/issues/5c5c641d-809f-4dca-928a-cb0da3a3e2e2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72">
        <f>_xlfn.XLOOKUP(Tabella4[[#This Row],[ID Silk]],outTable[ID Silk],outTable[Numero ticket  ],,0,1)</f>
        <v>6016</v>
      </c>
    </row>
    <row r="373" spans="1:32">
      <c r="A373" s="34" t="str">
        <f>MID(Tabella4[[#This Row],[Servizio]],1,4)&amp;Tabella4[[#This Row],[UNI CEI EN 301549]]</f>
        <v>S0029.4.1.2</v>
      </c>
      <c r="B373" s="34" t="str">
        <f>Tabella4[[#This Row],[ID Silk]]&amp;"_1"</f>
        <v>S0029.4.1.2_1</v>
      </c>
      <c r="C373" s="34" t="s">
        <v>1718</v>
      </c>
      <c r="D373" s="2" t="str">
        <f>"(#"&amp;Tabella4[[#This Row],['#ID]]&amp;")"</f>
        <v>(#TM0276)</v>
      </c>
      <c r="E373" s="34" t="str">
        <f>IF(MID(Tabella4[[#This Row],['#ID]],1,1)="M","Mobile",IF(MID(Tabella4[[#This Row],['#ID]],1,1)="D","Desktop",IF(MID(Tabella4[[#This Row],['#ID]],1,2)="TM","Manuale","Documenti")))</f>
        <v>Manuale</v>
      </c>
      <c r="F373" s="34" t="s">
        <v>1005</v>
      </c>
      <c r="G373" s="34" t="s">
        <v>368</v>
      </c>
      <c r="H373" s="34" t="str">
        <f>IF(Tabella4[[#This Row],[Componente]]="Documenti","10.","9.")&amp;Tabella4[[#This Row],[Criterio]]</f>
        <v>9.4.1.2</v>
      </c>
      <c r="I373" s="34" t="s">
        <v>1023</v>
      </c>
      <c r="J373" s="34" t="s">
        <v>1028</v>
      </c>
      <c r="K373" s="34" t="s">
        <v>1029</v>
      </c>
      <c r="L373" s="34" t="s">
        <v>1030</v>
      </c>
      <c r="M373" s="34" t="s">
        <v>1031</v>
      </c>
      <c r="N373" t="s">
        <v>1443</v>
      </c>
      <c r="O373" t="s">
        <v>1444</v>
      </c>
      <c r="P373" t="s">
        <v>388</v>
      </c>
      <c r="R373" s="34" t="str">
        <f>IF(Tabella4[[#This Row],[Componente]]="Documenti",_xlfn.XLOOKUP(Tabella4[[#This Row],[URL]],Tabella27[URL],Tabella27[PDF ID],,0),_xlfn.XLOOKUP(Tabella4[[#This Row],[URL]],Tabella1[URL],Tabella1[Page ID],,0))</f>
        <v>#8</v>
      </c>
      <c r="S373" s="34" t="s">
        <v>1004</v>
      </c>
      <c r="T373" t="s">
        <v>490</v>
      </c>
      <c r="V373" t="s">
        <v>492</v>
      </c>
      <c r="W373" s="34" t="s">
        <v>1067</v>
      </c>
      <c r="X373"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id="heading-item-posteinsurancebrokerposteinsurancebroker-moduliguidare-sicuri-fase-di-post-vendita-faq-accordion-ilrinnovodipolizzapossibilesoloinupoanchetramitelareariservatadellacompagniapartner-9-9"&gt;</v>
      </c>
      <c r="Y373" s="34" t="str">
        <f>SUBSTITUTE(IF(Tabella4[[#This Row],[Tool]]="axe-core",MID(Tabella4[[#This Row],[Rejected Element]],3,LEN(Tabella4[[#This Row],[Rejected Element]])-4),Tabella4[[#This Row],[Rejected Element]]),"\","")</f>
        <v>#heading-item-posteinsurancebrokerposteinsurancebroker-moduliguidare-sicuri-fase-di-post-vendita-faq-accordion-ilrinnovodipolizzapossibilesoloinupoanchetramitelareariservatadellacompagniapartner-9-9</v>
      </c>
      <c r="Z373" s="34">
        <f>COUNTIFS(Tabella4[Detail univoco],Tabella4[[#This Row],[Detail univoco]],Tabella4[Rejected Element Univoco],Tabella4[[#This Row],[Rejected Element Univoco]],Tabella4[ItemsNodeLabel],Tabella4[[#This Row],[ItemsNodeLabel]])</f>
        <v>0</v>
      </c>
      <c r="AA373" s="34" t="str">
        <f>IF(Tabella4[[#This Row],[Componente]]="Documenti",VLOOKUP(Tabella4[[#This Row],[URL]],Tabella27[[URL]:[Servizio]],4,FALSE),VLOOKUP(Tabella4[[#This Row],[Page ID]],Tabella1[[Page ID]:[Servizio]],4,FALSE))</f>
        <v>S002 Poste Guidare Sicuri</v>
      </c>
      <c r="AB373" t="s">
        <v>1445</v>
      </c>
      <c r="AC373" s="34" t="str">
        <f>Tabella4[[#This Row],[User Impact]]</f>
        <v>2 - Serious</v>
      </c>
      <c r="AD373" s="34" t="str">
        <f>Copertina!C$2&amp;" - "&amp;Tabella4[[#This Row],[UNI CEI EN 301549]]&amp;" "&amp;VLOOKUP(Tabella4[[#This Row],[Criterio]],Tabella5[[ID]:[Criterio di successo]],2,FALSE)&amp;" - "&amp;Tabella4[[#This Row],[Servizio]]&amp;":"</f>
        <v>Insurance Brocker - 9.4.1.2 Nome, ruolo, valore - S002 Poste Guidare Sicuri:</v>
      </c>
      <c r="AE37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(#TM0276)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id="heading-item-posteinsurancebrokerposteinsurancebroker-moduliguidare-sicuri-fase-di-post-vendita-faq-accordion-ilrinnovodipolizzapossibilesoloinupoanchetramitelareariservatadellacompagniapartner-9-9"&gt; con selettore: 
["#heading-item-posteinsurancebrokerposteinsurancebroker-moduliguidare-sicuri-fase-di-post-vendita-faq-accordion-ilrinnovodipolizzapossibilesoloinupoanchetramitelareariservatadellacompagniapartner-9-9"]
Dettaglio + screenshot (accedere con le seguenti credenziali: user, axeposte@gmail.com; password, Poste2024!): https://axe.deque.com/issues/3793c255-cb3b-4483-ade9-9efcf02838b2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73">
        <f>_xlfn.XLOOKUP(Tabella4[[#This Row],[ID Silk]],outTable[ID Silk],outTable[Numero ticket  ],,0,1)</f>
        <v>6016</v>
      </c>
    </row>
    <row r="374" spans="1:32">
      <c r="A374" s="34" t="str">
        <f>MID(Tabella4[[#This Row],[Servizio]],1,4)&amp;Tabella4[[#This Row],[UNI CEI EN 301549]]</f>
        <v>S0029.4.1.2</v>
      </c>
      <c r="B374" s="34" t="str">
        <f>Tabella4[[#This Row],[ID Silk]]&amp;"_1"</f>
        <v>S0029.4.1.2_1</v>
      </c>
      <c r="C374" s="34" t="s">
        <v>1719</v>
      </c>
      <c r="D374" s="2" t="str">
        <f>"(#"&amp;Tabella4[[#This Row],['#ID]]&amp;")"</f>
        <v>(#TM0277)</v>
      </c>
      <c r="E374" s="34" t="str">
        <f>IF(MID(Tabella4[[#This Row],['#ID]],1,1)="M","Mobile",IF(MID(Tabella4[[#This Row],['#ID]],1,1)="D","Desktop",IF(MID(Tabella4[[#This Row],['#ID]],1,2)="TM","Manuale","Documenti")))</f>
        <v>Manuale</v>
      </c>
      <c r="F374" s="34" t="s">
        <v>1005</v>
      </c>
      <c r="G374" s="34" t="s">
        <v>368</v>
      </c>
      <c r="H374" s="34" t="str">
        <f>IF(Tabella4[[#This Row],[Componente]]="Documenti","10.","9.")&amp;Tabella4[[#This Row],[Criterio]]</f>
        <v>9.4.1.2</v>
      </c>
      <c r="I374" s="34" t="s">
        <v>1023</v>
      </c>
      <c r="J374" s="34" t="s">
        <v>1028</v>
      </c>
      <c r="K374" s="34" t="s">
        <v>1029</v>
      </c>
      <c r="L374" s="34" t="s">
        <v>1030</v>
      </c>
      <c r="M374" s="34" t="s">
        <v>1031</v>
      </c>
      <c r="N374" t="s">
        <v>1446</v>
      </c>
      <c r="O374" t="s">
        <v>1447</v>
      </c>
      <c r="P374" t="s">
        <v>388</v>
      </c>
      <c r="R374" s="34" t="str">
        <f>IF(Tabella4[[#This Row],[Componente]]="Documenti",_xlfn.XLOOKUP(Tabella4[[#This Row],[URL]],Tabella27[URL],Tabella27[PDF ID],,0),_xlfn.XLOOKUP(Tabella4[[#This Row],[URL]],Tabella1[URL],Tabella1[Page ID],,0))</f>
        <v>#8</v>
      </c>
      <c r="S374" s="34" t="s">
        <v>1004</v>
      </c>
      <c r="T374" t="s">
        <v>490</v>
      </c>
      <c r="V374" t="s">
        <v>492</v>
      </c>
      <c r="W374" s="34" t="s">
        <v>1067</v>
      </c>
      <c r="X374"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id="heading-item-posteinsurancebrokerposteinsurancebroker-moduliguidare-sicuri-fase-di-post-vendita-faq-accordion-possocambiaremetododipagamentoperlaratasemestrale-10-10"&gt;</v>
      </c>
      <c r="Y374" s="34" t="str">
        <f>SUBSTITUTE(IF(Tabella4[[#This Row],[Tool]]="axe-core",MID(Tabella4[[#This Row],[Rejected Element]],3,LEN(Tabella4[[#This Row],[Rejected Element]])-4),Tabella4[[#This Row],[Rejected Element]]),"\","")</f>
        <v>#heading-item-posteinsurancebrokerposteinsurancebroker-moduliguidare-sicuri-fase-di-post-vendita-faq-accordion-possocambiaremetododipagamentoperlaratasemestrale-10-10</v>
      </c>
      <c r="Z374" s="34">
        <f>COUNTIFS(Tabella4[Detail univoco],Tabella4[[#This Row],[Detail univoco]],Tabella4[Rejected Element Univoco],Tabella4[[#This Row],[Rejected Element Univoco]],Tabella4[ItemsNodeLabel],Tabella4[[#This Row],[ItemsNodeLabel]])</f>
        <v>0</v>
      </c>
      <c r="AA374" s="34" t="str">
        <f>IF(Tabella4[[#This Row],[Componente]]="Documenti",VLOOKUP(Tabella4[[#This Row],[URL]],Tabella27[[URL]:[Servizio]],4,FALSE),VLOOKUP(Tabella4[[#This Row],[Page ID]],Tabella1[[Page ID]:[Servizio]],4,FALSE))</f>
        <v>S002 Poste Guidare Sicuri</v>
      </c>
      <c r="AB374" t="s">
        <v>1448</v>
      </c>
      <c r="AC374" s="34" t="str">
        <f>Tabella4[[#This Row],[User Impact]]</f>
        <v>2 - Serious</v>
      </c>
      <c r="AD374" s="34" t="str">
        <f>Copertina!C$2&amp;" - "&amp;Tabella4[[#This Row],[UNI CEI EN 301549]]&amp;" "&amp;VLOOKUP(Tabella4[[#This Row],[Criterio]],Tabella5[[ID]:[Criterio di successo]],2,FALSE)&amp;" - "&amp;Tabella4[[#This Row],[Servizio]]&amp;":"</f>
        <v>Insurance Brocker - 9.4.1.2 Nome, ruolo, valore - S002 Poste Guidare Sicuri:</v>
      </c>
      <c r="AE37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(#TM0277)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id="heading-item-posteinsurancebrokerposteinsurancebroker-moduliguidare-sicuri-fase-di-post-vendita-faq-accordion-possocambiaremetododipagamentoperlaratasemestrale-10-10"&gt; con selettore: 
["#heading-item-posteinsurancebrokerposteinsurancebroker-moduliguidare-sicuri-fase-di-post-vendita-faq-accordion-possocambiaremetododipagamentoperlaratasemestrale-10-10"]
Dettaglio + screenshot (accedere con le seguenti credenziali: user, axeposte@gmail.com; password, Poste2024!): https://axe.deque.com/issues/7d56b5e5-b99a-4735-8deb-6d60d5e8fff7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74">
        <f>_xlfn.XLOOKUP(Tabella4[[#This Row],[ID Silk]],outTable[ID Silk],outTable[Numero ticket  ],,0,1)</f>
        <v>6016</v>
      </c>
    </row>
    <row r="375" spans="1:32">
      <c r="A375" s="34" t="str">
        <f>MID(Tabella4[[#This Row],[Servizio]],1,4)&amp;Tabella4[[#This Row],[UNI CEI EN 301549]]</f>
        <v>S0029.4.1.2</v>
      </c>
      <c r="B375" s="34" t="str">
        <f>Tabella4[[#This Row],[ID Silk]]&amp;"_1"</f>
        <v>S0029.4.1.2_1</v>
      </c>
      <c r="C375" s="34" t="s">
        <v>1720</v>
      </c>
      <c r="D375" s="2" t="str">
        <f>"(#"&amp;Tabella4[[#This Row],['#ID]]&amp;")"</f>
        <v>(#TM0278)</v>
      </c>
      <c r="E375" s="34" t="str">
        <f>IF(MID(Tabella4[[#This Row],['#ID]],1,1)="M","Mobile",IF(MID(Tabella4[[#This Row],['#ID]],1,1)="D","Desktop",IF(MID(Tabella4[[#This Row],['#ID]],1,2)="TM","Manuale","Documenti")))</f>
        <v>Manuale</v>
      </c>
      <c r="F375" s="34" t="s">
        <v>1005</v>
      </c>
      <c r="G375" s="34" t="s">
        <v>368</v>
      </c>
      <c r="H375" s="34" t="str">
        <f>IF(Tabella4[[#This Row],[Componente]]="Documenti","10.","9.")&amp;Tabella4[[#This Row],[Criterio]]</f>
        <v>9.4.1.2</v>
      </c>
      <c r="I375" s="34" t="s">
        <v>1023</v>
      </c>
      <c r="J375" s="34" t="s">
        <v>1028</v>
      </c>
      <c r="K375" s="34" t="s">
        <v>1029</v>
      </c>
      <c r="L375" s="34" t="s">
        <v>1030</v>
      </c>
      <c r="M375" s="34" t="s">
        <v>1031</v>
      </c>
      <c r="N375" t="s">
        <v>1449</v>
      </c>
      <c r="O375" t="s">
        <v>1450</v>
      </c>
      <c r="P375" t="s">
        <v>388</v>
      </c>
      <c r="R375" s="34" t="str">
        <f>IF(Tabella4[[#This Row],[Componente]]="Documenti",_xlfn.XLOOKUP(Tabella4[[#This Row],[URL]],Tabella27[URL],Tabella27[PDF ID],,0),_xlfn.XLOOKUP(Tabella4[[#This Row],[URL]],Tabella1[URL],Tabella1[Page ID],,0))</f>
        <v>#8</v>
      </c>
      <c r="S375" s="34" t="s">
        <v>1004</v>
      </c>
      <c r="T375" t="s">
        <v>490</v>
      </c>
      <c r="V375" t="s">
        <v>492</v>
      </c>
      <c r="W375" s="34" t="s">
        <v>1067</v>
      </c>
      <c r="X375"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id="heading-item-posteinsurancebrokerposteinsurancebroker-moduliguidare-sicuri-fase-di-post-vendita-faq-accordion-comepossorinnovarelamiaassicurazionercauto-11-11"&gt;</v>
      </c>
      <c r="Y375" s="34" t="str">
        <f>SUBSTITUTE(IF(Tabella4[[#This Row],[Tool]]="axe-core",MID(Tabella4[[#This Row],[Rejected Element]],3,LEN(Tabella4[[#This Row],[Rejected Element]])-4),Tabella4[[#This Row],[Rejected Element]]),"\","")</f>
        <v>#heading-item-posteinsurancebrokerposteinsurancebroker-moduliguidare-sicuri-fase-di-post-vendita-faq-accordion-comepossorinnovarelamiaassicurazionercauto-11-11</v>
      </c>
      <c r="Z375" s="34">
        <f>COUNTIFS(Tabella4[Detail univoco],Tabella4[[#This Row],[Detail univoco]],Tabella4[Rejected Element Univoco],Tabella4[[#This Row],[Rejected Element Univoco]],Tabella4[ItemsNodeLabel],Tabella4[[#This Row],[ItemsNodeLabel]])</f>
        <v>0</v>
      </c>
      <c r="AA375" s="34" t="str">
        <f>IF(Tabella4[[#This Row],[Componente]]="Documenti",VLOOKUP(Tabella4[[#This Row],[URL]],Tabella27[[URL]:[Servizio]],4,FALSE),VLOOKUP(Tabella4[[#This Row],[Page ID]],Tabella1[[Page ID]:[Servizio]],4,FALSE))</f>
        <v>S002 Poste Guidare Sicuri</v>
      </c>
      <c r="AB375" t="s">
        <v>1451</v>
      </c>
      <c r="AC375" s="34" t="str">
        <f>Tabella4[[#This Row],[User Impact]]</f>
        <v>2 - Serious</v>
      </c>
      <c r="AD375" s="34" t="str">
        <f>Copertina!C$2&amp;" - "&amp;Tabella4[[#This Row],[UNI CEI EN 301549]]&amp;" "&amp;VLOOKUP(Tabella4[[#This Row],[Criterio]],Tabella5[[ID]:[Criterio di successo]],2,FALSE)&amp;" - "&amp;Tabella4[[#This Row],[Servizio]]&amp;":"</f>
        <v>Insurance Brocker - 9.4.1.2 Nome, ruolo, valore - S002 Poste Guidare Sicuri:</v>
      </c>
      <c r="AE37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(#TM0278)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id="heading-item-posteinsurancebrokerposteinsurancebroker-moduliguidare-sicuri-fase-di-post-vendita-faq-accordion-comepossorinnovarelamiaassicurazionercauto-11-11"&gt; con selettore: 
["#heading-item-posteinsurancebrokerposteinsurancebroker-moduliguidare-sicuri-fase-di-post-vendita-faq-accordion-comepossorinnovarelamiaassicurazionercauto-11-11"]
Dettaglio + screenshot (accedere con le seguenti credenziali: user, axeposte@gmail.com; password, Poste2024!): https://axe.deque.com/issues/b7af4d12-0992-44eb-ad8c-b775a0f9db9c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75">
        <f>_xlfn.XLOOKUP(Tabella4[[#This Row],[ID Silk]],outTable[ID Silk],outTable[Numero ticket  ],,0,1)</f>
        <v>6016</v>
      </c>
    </row>
    <row r="376" spans="1:32">
      <c r="A376" s="34" t="str">
        <f>MID(Tabella4[[#This Row],[Servizio]],1,4)&amp;Tabella4[[#This Row],[UNI CEI EN 301549]]</f>
        <v>S0029.4.1.2</v>
      </c>
      <c r="B376" s="34" t="str">
        <f>Tabella4[[#This Row],[ID Silk]]&amp;"_1"</f>
        <v>S0029.4.1.2_1</v>
      </c>
      <c r="C376" s="34" t="s">
        <v>1721</v>
      </c>
      <c r="D376" s="2" t="str">
        <f>"(#"&amp;Tabella4[[#This Row],['#ID]]&amp;")"</f>
        <v>(#TM0279)</v>
      </c>
      <c r="E376" s="34" t="str">
        <f>IF(MID(Tabella4[[#This Row],['#ID]],1,1)="M","Mobile",IF(MID(Tabella4[[#This Row],['#ID]],1,1)="D","Desktop",IF(MID(Tabella4[[#This Row],['#ID]],1,2)="TM","Manuale","Documenti")))</f>
        <v>Manuale</v>
      </c>
      <c r="F376" s="34" t="s">
        <v>1005</v>
      </c>
      <c r="G376" s="34" t="s">
        <v>368</v>
      </c>
      <c r="H376" s="34" t="str">
        <f>IF(Tabella4[[#This Row],[Componente]]="Documenti","10.","9.")&amp;Tabella4[[#This Row],[Criterio]]</f>
        <v>9.4.1.2</v>
      </c>
      <c r="I376" s="34" t="s">
        <v>1023</v>
      </c>
      <c r="J376" s="34" t="s">
        <v>1028</v>
      </c>
      <c r="K376" s="34" t="s">
        <v>1029</v>
      </c>
      <c r="L376" s="34" t="s">
        <v>1030</v>
      </c>
      <c r="M376" s="34" t="s">
        <v>1031</v>
      </c>
      <c r="N376" t="s">
        <v>1452</v>
      </c>
      <c r="O376" t="s">
        <v>1453</v>
      </c>
      <c r="P376" t="s">
        <v>388</v>
      </c>
      <c r="R376" s="34" t="str">
        <f>IF(Tabella4[[#This Row],[Componente]]="Documenti",_xlfn.XLOOKUP(Tabella4[[#This Row],[URL]],Tabella27[URL],Tabella27[PDF ID],,0),_xlfn.XLOOKUP(Tabella4[[#This Row],[URL]],Tabella1[URL],Tabella1[Page ID],,0))</f>
        <v>#8</v>
      </c>
      <c r="S376" s="34" t="s">
        <v>1004</v>
      </c>
      <c r="T376" t="s">
        <v>490</v>
      </c>
      <c r="V376" t="s">
        <v>492</v>
      </c>
      <c r="W376" s="34" t="s">
        <v>1067</v>
      </c>
      <c r="X376"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id="heading-item-posteinsurancebrokerposteinsurancebroker-moduliguidare-sicuri-fase-di-post-vendita-faq-accordion-leoperazionidipost-venditaprevistedaupcomeilpagamentodellaratasemestraleeilrinnovosonoconsentitesolodallupdiemissionedellapolizza-12-12"&gt;</v>
      </c>
      <c r="Y376" s="34" t="str">
        <f>SUBSTITUTE(IF(Tabella4[[#This Row],[Tool]]="axe-core",MID(Tabella4[[#This Row],[Rejected Element]],3,LEN(Tabella4[[#This Row],[Rejected Element]])-4),Tabella4[[#This Row],[Rejected Element]]),"\","")</f>
        <v>#heading-item-posteinsurancebrokerposteinsurancebroker-moduliguidare-sicuri-fase-di-post-vendita-faq-accordion-leoperazionidipost-venditaprevistedaupcomeilpagamentodellaratasemestraleeilrinnovosonoconsentitesolodallupdiemissionedellapolizza-12-12</v>
      </c>
      <c r="Z376" s="34">
        <f>COUNTIFS(Tabella4[Detail univoco],Tabella4[[#This Row],[Detail univoco]],Tabella4[Rejected Element Univoco],Tabella4[[#This Row],[Rejected Element Univoco]],Tabella4[ItemsNodeLabel],Tabella4[[#This Row],[ItemsNodeLabel]])</f>
        <v>0</v>
      </c>
      <c r="AA376" s="34" t="str">
        <f>IF(Tabella4[[#This Row],[Componente]]="Documenti",VLOOKUP(Tabella4[[#This Row],[URL]],Tabella27[[URL]:[Servizio]],4,FALSE),VLOOKUP(Tabella4[[#This Row],[Page ID]],Tabella1[[Page ID]:[Servizio]],4,FALSE))</f>
        <v>S002 Poste Guidare Sicuri</v>
      </c>
      <c r="AB376" t="s">
        <v>1454</v>
      </c>
      <c r="AC376" s="34" t="str">
        <f>Tabella4[[#This Row],[User Impact]]</f>
        <v>2 - Serious</v>
      </c>
      <c r="AD376" s="34" t="str">
        <f>Copertina!C$2&amp;" - "&amp;Tabella4[[#This Row],[UNI CEI EN 301549]]&amp;" "&amp;VLOOKUP(Tabella4[[#This Row],[Criterio]],Tabella5[[ID]:[Criterio di successo]],2,FALSE)&amp;" - "&amp;Tabella4[[#This Row],[Servizio]]&amp;":"</f>
        <v>Insurance Brocker - 9.4.1.2 Nome, ruolo, valore - S002 Poste Guidare Sicuri:</v>
      </c>
      <c r="AE37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- 9.4.1.2 Nome, ruolo, valore - S002 Poste Guidare Sicuri: (#TM0279)
S002 Poste Guidare Sicuri
Requisito: WCAG 4.1.2
Disabilità afflitte: Blind;Mobility
Impatto Utente: 2 - Serious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
Esempio di violazione individuata sull'oggetto: 
https://posteinsurancebroker.poste.it/faq-poste-guidare-sicuri/ - &lt;div class="panel-heading" role="tab" tabindex="0" id="heading-item-posteinsurancebrokerposteinsurancebroker-moduliguidare-sicuri-fase-di-post-vendita-faq-accordion-leoperazionidipost-venditaprevistedaupcomeilpagamentodellaratasemestraleeilrinnovosonoconsentitesolodallupdiemissionedellapolizza-12-12"&gt; con selettore: 
["#heading-item-posteinsurancebrokerposteinsurancebroker-moduliguidare-sicuri-fase-di-post-vendita-faq-accordion-leoperazionidipost-venditaprevistedaupcomeilpagamentodellaratasemestraleeilrinnovosonoconsentitesolodallupdiemissionedellapolizza-12-12"]
Dettaglio + screenshot (accedere con le seguenti credenziali: user, axeposte@gmail.com; password, Poste2024!): https://axe.deque.com/issues/003a2cd5-1d4f-4392-9258-c92d9457d6d2
Possibile metodologia risolutiva:
Evita di nidificare elementi interattivi (es. un pulsante all'interno di un link). Ristruttura il codice per garantire che ogni controllo interattivo sia indipendente e non sovrapposto ad altri, ad esempio utilizzando uno stile o un elemento contenitore non interattivo.
File di log (occorrenze rilevate: 68):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https://posteitaliane.sharepoint.com/:w:/r/teams/ACCESSIBILITRISULTATIVERIFICHETECNICHE/Shared%20Documents/Generale/SCHEDE_REQUISITI/9.4.1.2%20Nome,%20ruolo,%20valore.docx?d=wc532360c915c4d57b69c2d2be6d3c155&amp;csf=1&amp;web=1&amp;e=RZyIkK</v>
      </c>
      <c r="AF376">
        <f>_xlfn.XLOOKUP(Tabella4[[#This Row],[ID Silk]],outTable[ID Silk],outTable[Numero ticket  ],,0,1)</f>
        <v>6016</v>
      </c>
    </row>
    <row r="377" spans="1:32">
      <c r="A377" s="34" t="str">
        <f>MID(Tabella4[[#This Row],[Servizio]],1,4)&amp;Tabella4[[#This Row],[UNI CEI EN 301549]]</f>
        <v>S0029.2.5.8</v>
      </c>
      <c r="B377" s="34" t="str">
        <f>Tabella4[[#This Row],[ID Silk]]&amp;"_1"</f>
        <v>S0029.2.5.8_1</v>
      </c>
      <c r="C377" s="34" t="s">
        <v>1722</v>
      </c>
      <c r="D377" s="2" t="str">
        <f>"(#"&amp;Tabella4[[#This Row],['#ID]]&amp;")"</f>
        <v>(#TM0280)</v>
      </c>
      <c r="E377" s="34" t="str">
        <f>IF(MID(Tabella4[[#This Row],['#ID]],1,1)="M","Mobile",IF(MID(Tabella4[[#This Row],['#ID]],1,1)="D","Desktop",IF(MID(Tabella4[[#This Row],['#ID]],1,2)="TM","Manuale","Documenti")))</f>
        <v>Manuale</v>
      </c>
      <c r="F377" s="34" t="s">
        <v>1006</v>
      </c>
      <c r="G377" s="34" t="s">
        <v>372</v>
      </c>
      <c r="H377" s="34" t="str">
        <f>IF(Tabella4[[#This Row],[Componente]]="Documenti","10.","9.")&amp;Tabella4[[#This Row],[Criterio]]</f>
        <v>9.2.5.8</v>
      </c>
      <c r="I377" s="34" t="s">
        <v>1023</v>
      </c>
      <c r="J377" s="34" t="s">
        <v>1032</v>
      </c>
      <c r="K377" s="34" t="s">
        <v>1033</v>
      </c>
      <c r="L377" s="34" t="s">
        <v>1034</v>
      </c>
      <c r="M377" s="34" t="s">
        <v>1035</v>
      </c>
      <c r="N377" t="s">
        <v>1296</v>
      </c>
      <c r="O377" t="s">
        <v>1297</v>
      </c>
      <c r="P377" t="s">
        <v>388</v>
      </c>
      <c r="R377" s="34" t="str">
        <f>IF(Tabella4[[#This Row],[Componente]]="Documenti",_xlfn.XLOOKUP(Tabella4[[#This Row],[URL]],Tabella27[URL],Tabella27[PDF ID],,0),_xlfn.XLOOKUP(Tabella4[[#This Row],[URL]],Tabella1[URL],Tabella1[Page ID],,0))</f>
        <v>#8</v>
      </c>
      <c r="S377" s="34" t="s">
        <v>1004</v>
      </c>
      <c r="T377" t="s">
        <v>518</v>
      </c>
      <c r="V377" t="s">
        <v>519</v>
      </c>
      <c r="W377" s="34" t="s">
        <v>1068</v>
      </c>
      <c r="X37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id="heading-item-posteinsurancebrokerposteinsurancebroker-moduliguidare-sicuri-fase-di-vendita-faq-accordion-perottenereunaquotazioneonlinecherequisitidevoavere-0-0"&gt;</v>
      </c>
      <c r="Y377" s="34" t="str">
        <f>SUBSTITUTE(IF(Tabella4[[#This Row],[Tool]]="axe-core",MID(Tabella4[[#This Row],[Rejected Element]],3,LEN(Tabella4[[#This Row],[Rejected Element]])-4),Tabella4[[#This Row],[Rejected Element]]),"\","")</f>
        <v>#heading-item-posteinsurancebrokerposteinsurancebroker-moduliguidare-sicuri-fase-di-vendita-faq-accordion-perottenereunaquotazioneonlinecherequisitidevoavere-0-0</v>
      </c>
      <c r="Z377" s="34">
        <f>COUNTIFS(Tabella4[Detail univoco],Tabella4[[#This Row],[Detail univoco]],Tabella4[Rejected Element Univoco],Tabella4[[#This Row],[Rejected Element Univoco]],Tabella4[ItemsNodeLabel],Tabella4[[#This Row],[ItemsNodeLabel]])</f>
        <v>0</v>
      </c>
      <c r="AA377" s="34" t="str">
        <f>IF(Tabella4[[#This Row],[Componente]]="Documenti",VLOOKUP(Tabella4[[#This Row],[URL]],Tabella27[[URL]:[Servizio]],4,FALSE),VLOOKUP(Tabella4[[#This Row],[Page ID]],Tabella1[[Page ID]:[Servizio]],4,FALSE))</f>
        <v>S002 Poste Guidare Sicuri</v>
      </c>
      <c r="AB377" t="s">
        <v>1455</v>
      </c>
      <c r="AC377" s="34" t="str">
        <f>Tabella4[[#This Row],[User Impact]]</f>
        <v>2 - Serious</v>
      </c>
      <c r="AD377" s="34" t="str">
        <f>Copertina!C$2&amp;" - "&amp;Tabella4[[#This Row],[UNI CEI EN 301549]]&amp;" "&amp;VLOOKUP(Tabella4[[#This Row],[Criterio]],Tabella5[[ID]:[Criterio di successo]],2,FALSE)&amp;" - "&amp;Tabella4[[#This Row],[Servizio]]&amp;":"</f>
        <v>Insurance Brocker - 9.2.5.8 Dimensione dell'obiettivo (minimo) - S002 Poste Guidare Sicuri:</v>
      </c>
      <c r="AE37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(#TM0280)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id="heading-item-posteinsurancebrokerposteinsurancebroker-moduliguidare-sicuri-fase-di-vendita-faq-accordion-perottenereunaquotazioneonlinecherequisitidevoavere-0-0"&gt; con selettore: 
["#heading-item-posteinsurancebrokerposteinsurancebroker-moduliguidare-sicuri-fase-di-vendita-faq-accordion-perottenereunaquotazioneonlinecherequisitidevoavere-0-0"]
Dettaglio + screenshot (accedere con le seguenti credenziali: user, axeposte@gmail.com; password, Poste2024!): https://axe.deque.com/issues/3428da42-5a0d-4425-9385-56bc9c3207c7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77" t="e">
        <f>_xlfn.XLOOKUP(Tabella4[[#This Row],[ID Silk]],outTable[ID Silk],outTable[Numero ticket  ],,0,1)</f>
        <v>#N/A</v>
      </c>
    </row>
    <row r="378" spans="1:32">
      <c r="A378" s="34" t="str">
        <f>MID(Tabella4[[#This Row],[Servizio]],1,4)&amp;Tabella4[[#This Row],[UNI CEI EN 301549]]</f>
        <v>S0029.2.5.8</v>
      </c>
      <c r="B378" s="34" t="str">
        <f>Tabella4[[#This Row],[ID Silk]]&amp;"_1"</f>
        <v>S0029.2.5.8_1</v>
      </c>
      <c r="C378" s="34" t="s">
        <v>1723</v>
      </c>
      <c r="D378" s="2" t="str">
        <f>"(#"&amp;Tabella4[[#This Row],['#ID]]&amp;")"</f>
        <v>(#TM0281)</v>
      </c>
      <c r="E378" s="34" t="str">
        <f>IF(MID(Tabella4[[#This Row],['#ID]],1,1)="M","Mobile",IF(MID(Tabella4[[#This Row],['#ID]],1,1)="D","Desktop",IF(MID(Tabella4[[#This Row],['#ID]],1,2)="TM","Manuale","Documenti")))</f>
        <v>Manuale</v>
      </c>
      <c r="F378" s="34" t="s">
        <v>1006</v>
      </c>
      <c r="G378" s="34" t="s">
        <v>372</v>
      </c>
      <c r="H378" s="34" t="str">
        <f>IF(Tabella4[[#This Row],[Componente]]="Documenti","10.","9.")&amp;Tabella4[[#This Row],[Criterio]]</f>
        <v>9.2.5.8</v>
      </c>
      <c r="I378" s="34" t="s">
        <v>1023</v>
      </c>
      <c r="J378" s="34" t="s">
        <v>1032</v>
      </c>
      <c r="K378" s="34" t="s">
        <v>1033</v>
      </c>
      <c r="L378" s="34" t="s">
        <v>1034</v>
      </c>
      <c r="M378" s="34" t="s">
        <v>1035</v>
      </c>
      <c r="N378" t="s">
        <v>1456</v>
      </c>
      <c r="O378" t="s">
        <v>1457</v>
      </c>
      <c r="P378" t="s">
        <v>388</v>
      </c>
      <c r="R378" s="34" t="str">
        <f>IF(Tabella4[[#This Row],[Componente]]="Documenti",_xlfn.XLOOKUP(Tabella4[[#This Row],[URL]],Tabella27[URL],Tabella27[PDF ID],,0),_xlfn.XLOOKUP(Tabella4[[#This Row],[URL]],Tabella1[URL],Tabella1[Page ID],,0))</f>
        <v>#8</v>
      </c>
      <c r="S378" s="34" t="s">
        <v>1004</v>
      </c>
      <c r="T378" t="s">
        <v>518</v>
      </c>
      <c r="V378" t="s">
        <v>521</v>
      </c>
      <c r="W378" s="34" t="s">
        <v>1068</v>
      </c>
      <c r="X37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href="#item-posteinsurancebrokerposteinsurancebroker-moduliguidare-sicuri-fase-di-vendita-faq-accordion-perottenereunaquotazioneonlinecherequisitidevoavere-0" aria-expanded="false" aria-controls="item-posteinsurancebrokerposteinsurancebroker-moduliguidare-sicuri-fase-di-vendita-faq-accordion-perottenereunaquotazioneonlinecherequisitidevoavere-0" title="Per ottenere una quotazione online che requisiti devo avere?"&gt;</v>
      </c>
      <c r="Y378" s="34" t="str">
        <f>SUBSTITUTE(IF(Tabella4[[#This Row],[Tool]]="axe-core",MID(Tabella4[[#This Row],[Rejected Element]],3,LEN(Tabella4[[#This Row],[Rejected Element]])-4),Tabella4[[#This Row],[Rejected Element]]),"\","")</f>
        <v>#heading-item-posteinsurancebrokerposteinsurancebroker-moduliguidare-sicuri-fase-di-vendita-faq-accordion-perottenereunaquotazioneonlinecherequisitidevoavere-0-0 &gt; .panel-title &gt; .accordion-toggle.collapsed[role="button"]</v>
      </c>
      <c r="Z378" s="34">
        <f>COUNTIFS(Tabella4[Detail univoco],Tabella4[[#This Row],[Detail univoco]],Tabella4[Rejected Element Univoco],Tabella4[[#This Row],[Rejected Element Univoco]],Tabella4[ItemsNodeLabel],Tabella4[[#This Row],[ItemsNodeLabel]])</f>
        <v>0</v>
      </c>
      <c r="AA378" s="34" t="str">
        <f>IF(Tabella4[[#This Row],[Componente]]="Documenti",VLOOKUP(Tabella4[[#This Row],[URL]],Tabella27[[URL]:[Servizio]],4,FALSE),VLOOKUP(Tabella4[[#This Row],[Page ID]],Tabella1[[Page ID]:[Servizio]],4,FALSE))</f>
        <v>S002 Poste Guidare Sicuri</v>
      </c>
      <c r="AB378" t="s">
        <v>1458</v>
      </c>
      <c r="AC378" s="34" t="str">
        <f>Tabella4[[#This Row],[User Impact]]</f>
        <v>2 - Serious</v>
      </c>
      <c r="AD378" s="34" t="str">
        <f>Copertina!C$2&amp;" - "&amp;Tabella4[[#This Row],[UNI CEI EN 301549]]&amp;" "&amp;VLOOKUP(Tabella4[[#This Row],[Criterio]],Tabella5[[ID]:[Criterio di successo]],2,FALSE)&amp;" - "&amp;Tabella4[[#This Row],[Servizio]]&amp;":"</f>
        <v>Insurance Brocker - 9.2.5.8 Dimensione dell'obiettivo (minimo) - S002 Poste Guidare Sicuri:</v>
      </c>
      <c r="AE37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(#TM0281)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href="#item-posteinsurancebrokerposteinsurancebroker-moduliguidare-sicuri-fase-di-vendita-faq-accordion-perottenereunaquotazioneonlinecherequisitidevoavere-0" aria-expanded="false" aria-controls="item-posteinsurancebrokerposteinsurancebroker-moduliguidare-sicuri-fase-di-vendita-faq-accordion-perottenereunaquotazioneonlinecherequisitidevoavere-0" title="Per ottenere una quotazione online che requisiti devo avere?"&gt; con selettore: 
["#heading-item-posteinsurancebrokerposteinsurancebroker-moduliguidare-sicuri-fase-di-vendita-faq-accordion-perottenereunaquotazioneonlinecherequisitidevoavere-0-0 &gt; .panel-title &gt; .accordion-toggle.collapsed[role=\"button\"]"]
Dettaglio + screenshot (accedere con le seguenti credenziali: user, axeposte@gmail.com; password, Poste2024!): https://axe.deque.com/issues/2fb41380-599a-4e8f-95b2-214f3bf69da1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78" t="e">
        <f>_xlfn.XLOOKUP(Tabella4[[#This Row],[ID Silk]],outTable[ID Silk],outTable[Numero ticket  ],,0,1)</f>
        <v>#N/A</v>
      </c>
    </row>
    <row r="379" spans="1:32">
      <c r="A379" s="34" t="str">
        <f>MID(Tabella4[[#This Row],[Servizio]],1,4)&amp;Tabella4[[#This Row],[UNI CEI EN 301549]]</f>
        <v>S0029.2.5.8</v>
      </c>
      <c r="B379" s="34" t="str">
        <f>Tabella4[[#This Row],[ID Silk]]&amp;"_1"</f>
        <v>S0029.2.5.8_1</v>
      </c>
      <c r="C379" s="34" t="s">
        <v>1724</v>
      </c>
      <c r="D379" s="2" t="str">
        <f>"(#"&amp;Tabella4[[#This Row],['#ID]]&amp;")"</f>
        <v>(#TM0282)</v>
      </c>
      <c r="E379" s="34" t="str">
        <f>IF(MID(Tabella4[[#This Row],['#ID]],1,1)="M","Mobile",IF(MID(Tabella4[[#This Row],['#ID]],1,1)="D","Desktop",IF(MID(Tabella4[[#This Row],['#ID]],1,2)="TM","Manuale","Documenti")))</f>
        <v>Manuale</v>
      </c>
      <c r="F379" s="34" t="s">
        <v>1006</v>
      </c>
      <c r="G379" s="34" t="s">
        <v>372</v>
      </c>
      <c r="H379" s="34" t="str">
        <f>IF(Tabella4[[#This Row],[Componente]]="Documenti","10.","9.")&amp;Tabella4[[#This Row],[Criterio]]</f>
        <v>9.2.5.8</v>
      </c>
      <c r="I379" s="34" t="s">
        <v>1023</v>
      </c>
      <c r="J379" s="34" t="s">
        <v>1032</v>
      </c>
      <c r="K379" s="34" t="s">
        <v>1033</v>
      </c>
      <c r="L379" s="34" t="s">
        <v>1034</v>
      </c>
      <c r="M379" s="34" t="s">
        <v>1035</v>
      </c>
      <c r="N379" t="s">
        <v>1299</v>
      </c>
      <c r="O379" t="s">
        <v>1300</v>
      </c>
      <c r="P379" t="s">
        <v>388</v>
      </c>
      <c r="R379" s="34" t="str">
        <f>IF(Tabella4[[#This Row],[Componente]]="Documenti",_xlfn.XLOOKUP(Tabella4[[#This Row],[URL]],Tabella27[URL],Tabella27[PDF ID],,0),_xlfn.XLOOKUP(Tabella4[[#This Row],[URL]],Tabella1[URL],Tabella1[Page ID],,0))</f>
        <v>#8</v>
      </c>
      <c r="S379" s="34" t="s">
        <v>1004</v>
      </c>
      <c r="T379" t="s">
        <v>518</v>
      </c>
      <c r="V379" t="s">
        <v>519</v>
      </c>
      <c r="W379" s="34" t="s">
        <v>1068</v>
      </c>
      <c r="X37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id="heading-item-posteinsurancebrokerposteinsurancebroker-moduliguidare-sicuri-fase-di-vendita-faq-accordion-semprepossibileottenereunaquotazioneonlinesesonounutenteregistratoposteit-1-1"&gt;</v>
      </c>
      <c r="Y379" s="34" t="str">
        <f>SUBSTITUTE(IF(Tabella4[[#This Row],[Tool]]="axe-core",MID(Tabella4[[#This Row],[Rejected Element]],3,LEN(Tabella4[[#This Row],[Rejected Element]])-4),Tabella4[[#This Row],[Rejected Element]]),"\","")</f>
        <v>#heading-item-posteinsurancebrokerposteinsurancebroker-moduliguidare-sicuri-fase-di-vendita-faq-accordion-semprepossibileottenereunaquotazioneonlinesesonounutenteregistratoposteit-1-1</v>
      </c>
      <c r="Z379" s="34">
        <f>COUNTIFS(Tabella4[Detail univoco],Tabella4[[#This Row],[Detail univoco]],Tabella4[Rejected Element Univoco],Tabella4[[#This Row],[Rejected Element Univoco]],Tabella4[ItemsNodeLabel],Tabella4[[#This Row],[ItemsNodeLabel]])</f>
        <v>0</v>
      </c>
      <c r="AA379" s="34" t="str">
        <f>IF(Tabella4[[#This Row],[Componente]]="Documenti",VLOOKUP(Tabella4[[#This Row],[URL]],Tabella27[[URL]:[Servizio]],4,FALSE),VLOOKUP(Tabella4[[#This Row],[Page ID]],Tabella1[[Page ID]:[Servizio]],4,FALSE))</f>
        <v>S002 Poste Guidare Sicuri</v>
      </c>
      <c r="AB379" t="s">
        <v>1459</v>
      </c>
      <c r="AC379" s="34" t="str">
        <f>Tabella4[[#This Row],[User Impact]]</f>
        <v>2 - Serious</v>
      </c>
      <c r="AD379" s="34" t="str">
        <f>Copertina!C$2&amp;" - "&amp;Tabella4[[#This Row],[UNI CEI EN 301549]]&amp;" "&amp;VLOOKUP(Tabella4[[#This Row],[Criterio]],Tabella5[[ID]:[Criterio di successo]],2,FALSE)&amp;" - "&amp;Tabella4[[#This Row],[Servizio]]&amp;":"</f>
        <v>Insurance Brocker - 9.2.5.8 Dimensione dell'obiettivo (minimo) - S002 Poste Guidare Sicuri:</v>
      </c>
      <c r="AE37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(#TM0282)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id="heading-item-posteinsurancebrokerposteinsurancebroker-moduliguidare-sicuri-fase-di-vendita-faq-accordion-semprepossibileottenereunaquotazioneonlinesesonounutenteregistratoposteit-1-1"&gt; con selettore: 
["#heading-item-posteinsurancebrokerposteinsurancebroker-moduliguidare-sicuri-fase-di-vendita-faq-accordion-semprepossibileottenereunaquotazioneonlinesesonounutenteregistratoposteit-1-1"]
Dettaglio + screenshot (accedere con le seguenti credenziali: user, axeposte@gmail.com; password, Poste2024!): https://axe.deque.com/issues/7fb0b5a2-1b1d-47b6-a8d7-53ae74f767e4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79" t="e">
        <f>_xlfn.XLOOKUP(Tabella4[[#This Row],[ID Silk]],outTable[ID Silk],outTable[Numero ticket  ],,0,1)</f>
        <v>#N/A</v>
      </c>
    </row>
    <row r="380" spans="1:32">
      <c r="A380" s="34" t="str">
        <f>MID(Tabella4[[#This Row],[Servizio]],1,4)&amp;Tabella4[[#This Row],[UNI CEI EN 301549]]</f>
        <v>S0029.2.5.8</v>
      </c>
      <c r="B380" s="34" t="str">
        <f>Tabella4[[#This Row],[ID Silk]]&amp;"_1"</f>
        <v>S0029.2.5.8_1</v>
      </c>
      <c r="C380" s="34" t="s">
        <v>1725</v>
      </c>
      <c r="D380" s="2" t="str">
        <f>"(#"&amp;Tabella4[[#This Row],['#ID]]&amp;")"</f>
        <v>(#TM0283)</v>
      </c>
      <c r="E380" s="34" t="str">
        <f>IF(MID(Tabella4[[#This Row],['#ID]],1,1)="M","Mobile",IF(MID(Tabella4[[#This Row],['#ID]],1,1)="D","Desktop",IF(MID(Tabella4[[#This Row],['#ID]],1,2)="TM","Manuale","Documenti")))</f>
        <v>Manuale</v>
      </c>
      <c r="F380" s="34" t="s">
        <v>1006</v>
      </c>
      <c r="G380" s="34" t="s">
        <v>372</v>
      </c>
      <c r="H380" s="34" t="str">
        <f>IF(Tabella4[[#This Row],[Componente]]="Documenti","10.","9.")&amp;Tabella4[[#This Row],[Criterio]]</f>
        <v>9.2.5.8</v>
      </c>
      <c r="I380" s="34" t="s">
        <v>1023</v>
      </c>
      <c r="J380" s="34" t="s">
        <v>1032</v>
      </c>
      <c r="K380" s="34" t="s">
        <v>1033</v>
      </c>
      <c r="L380" s="34" t="s">
        <v>1034</v>
      </c>
      <c r="M380" s="34" t="s">
        <v>1035</v>
      </c>
      <c r="N380" t="s">
        <v>1460</v>
      </c>
      <c r="O380" t="s">
        <v>1461</v>
      </c>
      <c r="P380" t="s">
        <v>388</v>
      </c>
      <c r="R380" s="34" t="str">
        <f>IF(Tabella4[[#This Row],[Componente]]="Documenti",_xlfn.XLOOKUP(Tabella4[[#This Row],[URL]],Tabella27[URL],Tabella27[PDF ID],,0),_xlfn.XLOOKUP(Tabella4[[#This Row],[URL]],Tabella1[URL],Tabella1[Page ID],,0))</f>
        <v>#8</v>
      </c>
      <c r="S380" s="34" t="s">
        <v>1004</v>
      </c>
      <c r="T380" t="s">
        <v>518</v>
      </c>
      <c r="V380" t="s">
        <v>521</v>
      </c>
      <c r="W380" s="34" t="s">
        <v>1068</v>
      </c>
      <c r="X38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href="#item-posteinsurancebrokerposteinsurancebroker-moduliguidare-sicuri-fase-di-vendita-faq-accordion-semprepossibileottenereunaquotazioneonlinesesonounutenteregistratoposteit-1" aria-expanded="false" aria-controls="item-posteinsurancebrokerposteinsurancebroker-moduliguidare-sicuri-fase-di-vendita-faq-accordion-semprepossibileottenereunaquotazioneonlinesesonounutenteregistratoposteit-1" title="È sempre possibile ottenere una quotazione online se sono un utente registrato poste.it"&gt;</v>
      </c>
      <c r="Y380" s="34" t="str">
        <f>SUBSTITUTE(IF(Tabella4[[#This Row],[Tool]]="axe-core",MID(Tabella4[[#This Row],[Rejected Element]],3,LEN(Tabella4[[#This Row],[Rejected Element]])-4),Tabella4[[#This Row],[Rejected Element]]),"\","")</f>
        <v>#heading-item-posteinsurancebrokerposteinsurancebroker-moduliguidare-sicuri-fase-di-vendita-faq-accordion-semprepossibileottenereunaquotazioneonlinesesonounutenteregistratoposteit-1-1 &gt; .panel-title &gt; .accordion-toggle.collapsed[role="button"]</v>
      </c>
      <c r="Z380" s="34">
        <f>COUNTIFS(Tabella4[Detail univoco],Tabella4[[#This Row],[Detail univoco]],Tabella4[Rejected Element Univoco],Tabella4[[#This Row],[Rejected Element Univoco]],Tabella4[ItemsNodeLabel],Tabella4[[#This Row],[ItemsNodeLabel]])</f>
        <v>0</v>
      </c>
      <c r="AA380" s="34" t="str">
        <f>IF(Tabella4[[#This Row],[Componente]]="Documenti",VLOOKUP(Tabella4[[#This Row],[URL]],Tabella27[[URL]:[Servizio]],4,FALSE),VLOOKUP(Tabella4[[#This Row],[Page ID]],Tabella1[[Page ID]:[Servizio]],4,FALSE))</f>
        <v>S002 Poste Guidare Sicuri</v>
      </c>
      <c r="AB380" t="s">
        <v>1462</v>
      </c>
      <c r="AC380" s="34" t="str">
        <f>Tabella4[[#This Row],[User Impact]]</f>
        <v>2 - Serious</v>
      </c>
      <c r="AD380" s="34" t="str">
        <f>Copertina!C$2&amp;" - "&amp;Tabella4[[#This Row],[UNI CEI EN 301549]]&amp;" "&amp;VLOOKUP(Tabella4[[#This Row],[Criterio]],Tabella5[[ID]:[Criterio di successo]],2,FALSE)&amp;" - "&amp;Tabella4[[#This Row],[Servizio]]&amp;":"</f>
        <v>Insurance Brocker - 9.2.5.8 Dimensione dell'obiettivo (minimo) - S002 Poste Guidare Sicuri:</v>
      </c>
      <c r="AE38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(#TM0283)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href="#item-posteinsurancebrokerposteinsurancebroker-moduliguidare-sicuri-fase-di-vendita-faq-accordion-semprepossibileottenereunaquotazioneonlinesesonounutenteregistratoposteit-1" aria-expanded="false" aria-controls="item-posteinsurancebrokerposteinsurancebroker-moduliguidare-sicuri-fase-di-vendita-faq-accordion-semprepossibileottenereunaquotazioneonlinesesonounutenteregistratoposteit-1" title="È sempre possibile ottenere una quotazione online se sono un utente registrato poste.it"&gt; con selettore: 
["#heading-item-posteinsurancebrokerposteinsurancebroker-moduliguidare-sicuri-fase-di-vendita-faq-accordion-semprepossibileottenereunaquotazioneonlinesesonounutenteregistratoposteit-1-1 &gt; .panel-title &gt; .accordion-toggle.collapsed[role=\"button\"]"]
Dettaglio + screenshot (accedere con le seguenti credenziali: user, axeposte@gmail.com; password, Poste2024!): https://axe.deque.com/issues/dad0c32c-668f-4280-8c6a-2f90419af612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80" t="e">
        <f>_xlfn.XLOOKUP(Tabella4[[#This Row],[ID Silk]],outTable[ID Silk],outTable[Numero ticket  ],,0,1)</f>
        <v>#N/A</v>
      </c>
    </row>
    <row r="381" spans="1:32">
      <c r="A381" s="34" t="str">
        <f>MID(Tabella4[[#This Row],[Servizio]],1,4)&amp;Tabella4[[#This Row],[UNI CEI EN 301549]]</f>
        <v>S0029.2.5.8</v>
      </c>
      <c r="B381" s="34" t="str">
        <f>Tabella4[[#This Row],[ID Silk]]&amp;"_1"</f>
        <v>S0029.2.5.8_1</v>
      </c>
      <c r="C381" s="34" t="s">
        <v>1726</v>
      </c>
      <c r="D381" s="2" t="str">
        <f>"(#"&amp;Tabella4[[#This Row],['#ID]]&amp;")"</f>
        <v>(#TM0284)</v>
      </c>
      <c r="E381" s="34" t="str">
        <f>IF(MID(Tabella4[[#This Row],['#ID]],1,1)="M","Mobile",IF(MID(Tabella4[[#This Row],['#ID]],1,1)="D","Desktop",IF(MID(Tabella4[[#This Row],['#ID]],1,2)="TM","Manuale","Documenti")))</f>
        <v>Manuale</v>
      </c>
      <c r="F381" s="34" t="s">
        <v>1006</v>
      </c>
      <c r="G381" s="34" t="s">
        <v>372</v>
      </c>
      <c r="H381" s="34" t="str">
        <f>IF(Tabella4[[#This Row],[Componente]]="Documenti","10.","9.")&amp;Tabella4[[#This Row],[Criterio]]</f>
        <v>9.2.5.8</v>
      </c>
      <c r="I381" s="34" t="s">
        <v>1023</v>
      </c>
      <c r="J381" s="34" t="s">
        <v>1032</v>
      </c>
      <c r="K381" s="34" t="s">
        <v>1033</v>
      </c>
      <c r="L381" s="34" t="s">
        <v>1034</v>
      </c>
      <c r="M381" s="34" t="s">
        <v>1035</v>
      </c>
      <c r="N381" t="s">
        <v>1302</v>
      </c>
      <c r="O381" t="s">
        <v>1303</v>
      </c>
      <c r="P381" t="s">
        <v>388</v>
      </c>
      <c r="R381" s="34" t="str">
        <f>IF(Tabella4[[#This Row],[Componente]]="Documenti",_xlfn.XLOOKUP(Tabella4[[#This Row],[URL]],Tabella27[URL],Tabella27[PDF ID],,0),_xlfn.XLOOKUP(Tabella4[[#This Row],[URL]],Tabella1[URL],Tabella1[Page ID],,0))</f>
        <v>#8</v>
      </c>
      <c r="S381" s="34" t="s">
        <v>1004</v>
      </c>
      <c r="T381" t="s">
        <v>518</v>
      </c>
      <c r="V381" t="s">
        <v>519</v>
      </c>
      <c r="W381" s="34" t="s">
        <v>1068</v>
      </c>
      <c r="X38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id="heading-item-posteinsurancebrokerposteinsurancebroker-moduliguidare-sicuri-fase-di-vendita-faq-accordion-possoaggiungereulteriorigaranzieoltrequellepresentinellaquotazioneonline-2-2"&gt;</v>
      </c>
      <c r="Y381" s="34" t="str">
        <f>SUBSTITUTE(IF(Tabella4[[#This Row],[Tool]]="axe-core",MID(Tabella4[[#This Row],[Rejected Element]],3,LEN(Tabella4[[#This Row],[Rejected Element]])-4),Tabella4[[#This Row],[Rejected Element]]),"\","")</f>
        <v>#heading-item-posteinsurancebrokerposteinsurancebroker-moduliguidare-sicuri-fase-di-vendita-faq-accordion-possoaggiungereulteriorigaranzieoltrequellepresentinellaquotazioneonline-2-2</v>
      </c>
      <c r="Z381" s="34">
        <f>COUNTIFS(Tabella4[Detail univoco],Tabella4[[#This Row],[Detail univoco]],Tabella4[Rejected Element Univoco],Tabella4[[#This Row],[Rejected Element Univoco]],Tabella4[ItemsNodeLabel],Tabella4[[#This Row],[ItemsNodeLabel]])</f>
        <v>0</v>
      </c>
      <c r="AA381" s="34" t="str">
        <f>IF(Tabella4[[#This Row],[Componente]]="Documenti",VLOOKUP(Tabella4[[#This Row],[URL]],Tabella27[[URL]:[Servizio]],4,FALSE),VLOOKUP(Tabella4[[#This Row],[Page ID]],Tabella1[[Page ID]:[Servizio]],4,FALSE))</f>
        <v>S002 Poste Guidare Sicuri</v>
      </c>
      <c r="AB381" t="s">
        <v>1463</v>
      </c>
      <c r="AC381" s="34" t="str">
        <f>Tabella4[[#This Row],[User Impact]]</f>
        <v>2 - Serious</v>
      </c>
      <c r="AD381" s="34" t="str">
        <f>Copertina!C$2&amp;" - "&amp;Tabella4[[#This Row],[UNI CEI EN 301549]]&amp;" "&amp;VLOOKUP(Tabella4[[#This Row],[Criterio]],Tabella5[[ID]:[Criterio di successo]],2,FALSE)&amp;" - "&amp;Tabella4[[#This Row],[Servizio]]&amp;":"</f>
        <v>Insurance Brocker - 9.2.5.8 Dimensione dell'obiettivo (minimo) - S002 Poste Guidare Sicuri:</v>
      </c>
      <c r="AE38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(#TM0284)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id="heading-item-posteinsurancebrokerposteinsurancebroker-moduliguidare-sicuri-fase-di-vendita-faq-accordion-possoaggiungereulteriorigaranzieoltrequellepresentinellaquotazioneonline-2-2"&gt; con selettore: 
["#heading-item-posteinsurancebrokerposteinsurancebroker-moduliguidare-sicuri-fase-di-vendita-faq-accordion-possoaggiungereulteriorigaranzieoltrequellepresentinellaquotazioneonline-2-2"]
Dettaglio + screenshot (accedere con le seguenti credenziali: user, axeposte@gmail.com; password, Poste2024!): https://axe.deque.com/issues/047840ca-20d0-48a2-9231-ac4813f088ae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81" t="e">
        <f>_xlfn.XLOOKUP(Tabella4[[#This Row],[ID Silk]],outTable[ID Silk],outTable[Numero ticket  ],,0,1)</f>
        <v>#N/A</v>
      </c>
    </row>
    <row r="382" spans="1:32">
      <c r="A382" s="34" t="str">
        <f>MID(Tabella4[[#This Row],[Servizio]],1,4)&amp;Tabella4[[#This Row],[UNI CEI EN 301549]]</f>
        <v>S0029.2.5.8</v>
      </c>
      <c r="B382" s="34" t="str">
        <f>Tabella4[[#This Row],[ID Silk]]&amp;"_1"</f>
        <v>S0029.2.5.8_1</v>
      </c>
      <c r="C382" s="34" t="s">
        <v>1727</v>
      </c>
      <c r="D382" s="2" t="str">
        <f>"(#"&amp;Tabella4[[#This Row],['#ID]]&amp;")"</f>
        <v>(#TM0285)</v>
      </c>
      <c r="E382" s="34" t="str">
        <f>IF(MID(Tabella4[[#This Row],['#ID]],1,1)="M","Mobile",IF(MID(Tabella4[[#This Row],['#ID]],1,1)="D","Desktop",IF(MID(Tabella4[[#This Row],['#ID]],1,2)="TM","Manuale","Documenti")))</f>
        <v>Manuale</v>
      </c>
      <c r="F382" s="34" t="s">
        <v>1006</v>
      </c>
      <c r="G382" s="34" t="s">
        <v>372</v>
      </c>
      <c r="H382" s="34" t="str">
        <f>IF(Tabella4[[#This Row],[Componente]]="Documenti","10.","9.")&amp;Tabella4[[#This Row],[Criterio]]</f>
        <v>9.2.5.8</v>
      </c>
      <c r="I382" s="34" t="s">
        <v>1023</v>
      </c>
      <c r="J382" s="34" t="s">
        <v>1032</v>
      </c>
      <c r="K382" s="34" t="s">
        <v>1033</v>
      </c>
      <c r="L382" s="34" t="s">
        <v>1034</v>
      </c>
      <c r="M382" s="34" t="s">
        <v>1035</v>
      </c>
      <c r="N382" t="s">
        <v>1464</v>
      </c>
      <c r="O382" t="s">
        <v>1465</v>
      </c>
      <c r="P382" t="s">
        <v>388</v>
      </c>
      <c r="R382" s="34" t="str">
        <f>IF(Tabella4[[#This Row],[Componente]]="Documenti",_xlfn.XLOOKUP(Tabella4[[#This Row],[URL]],Tabella27[URL],Tabella27[PDF ID],,0),_xlfn.XLOOKUP(Tabella4[[#This Row],[URL]],Tabella1[URL],Tabella1[Page ID],,0))</f>
        <v>#8</v>
      </c>
      <c r="S382" s="34" t="s">
        <v>1004</v>
      </c>
      <c r="T382" t="s">
        <v>518</v>
      </c>
      <c r="V382" t="s">
        <v>521</v>
      </c>
      <c r="W382" s="34" t="s">
        <v>1068</v>
      </c>
      <c r="X38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href="#item-posteinsurancebrokerposteinsurancebroker-moduliguidare-sicuri-fase-di-vendita-faq-accordion-possoaggiungereulteriorigaranzieoltrequellepresentinellaquotazioneonline-2" aria-expanded="false" aria-controls="item-posteinsurancebrokerposteinsurancebroker-moduliguidare-sicuri-fase-di-vendita-faq-accordion-possoaggiungereulteriorigaranzieoltrequellepresentinellaquotazioneonline-2" title="Posso aggiungere ulteriori garanzie oltre quelle presenti nella quotazione online?"&gt;</v>
      </c>
      <c r="Y382" s="34" t="str">
        <f>SUBSTITUTE(IF(Tabella4[[#This Row],[Tool]]="axe-core",MID(Tabella4[[#This Row],[Rejected Element]],3,LEN(Tabella4[[#This Row],[Rejected Element]])-4),Tabella4[[#This Row],[Rejected Element]]),"\","")</f>
        <v>#heading-item-posteinsurancebrokerposteinsurancebroker-moduliguidare-sicuri-fase-di-vendita-faq-accordion-possoaggiungereulteriorigaranzieoltrequellepresentinellaquotazioneonline-2-2 &gt; .panel-title &gt; .accordion-toggle.collapsed[role="button"]</v>
      </c>
      <c r="Z382" s="34">
        <f>COUNTIFS(Tabella4[Detail univoco],Tabella4[[#This Row],[Detail univoco]],Tabella4[Rejected Element Univoco],Tabella4[[#This Row],[Rejected Element Univoco]],Tabella4[ItemsNodeLabel],Tabella4[[#This Row],[ItemsNodeLabel]])</f>
        <v>0</v>
      </c>
      <c r="AA382" s="34" t="str">
        <f>IF(Tabella4[[#This Row],[Componente]]="Documenti",VLOOKUP(Tabella4[[#This Row],[URL]],Tabella27[[URL]:[Servizio]],4,FALSE),VLOOKUP(Tabella4[[#This Row],[Page ID]],Tabella1[[Page ID]:[Servizio]],4,FALSE))</f>
        <v>S002 Poste Guidare Sicuri</v>
      </c>
      <c r="AB382" t="s">
        <v>1466</v>
      </c>
      <c r="AC382" s="34" t="str">
        <f>Tabella4[[#This Row],[User Impact]]</f>
        <v>2 - Serious</v>
      </c>
      <c r="AD382" s="34" t="str">
        <f>Copertina!C$2&amp;" - "&amp;Tabella4[[#This Row],[UNI CEI EN 301549]]&amp;" "&amp;VLOOKUP(Tabella4[[#This Row],[Criterio]],Tabella5[[ID]:[Criterio di successo]],2,FALSE)&amp;" - "&amp;Tabella4[[#This Row],[Servizio]]&amp;":"</f>
        <v>Insurance Brocker - 9.2.5.8 Dimensione dell'obiettivo (minimo) - S002 Poste Guidare Sicuri:</v>
      </c>
      <c r="AE38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(#TM0285)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href="#item-posteinsurancebrokerposteinsurancebroker-moduliguidare-sicuri-fase-di-vendita-faq-accordion-possoaggiungereulteriorigaranzieoltrequellepresentinellaquotazioneonline-2" aria-expanded="false" aria-controls="item-posteinsurancebrokerposteinsurancebroker-moduliguidare-sicuri-fase-di-vendita-faq-accordion-possoaggiungereulteriorigaranzieoltrequellepresentinellaquotazioneonline-2" title="Posso aggiungere ulteriori garanzie oltre quelle presenti nella quotazione online?"&gt; con selettore: 
["#heading-item-posteinsurancebrokerposteinsurancebroker-moduliguidare-sicuri-fase-di-vendita-faq-accordion-possoaggiungereulteriorigaranzieoltrequellepresentinellaquotazioneonline-2-2 &gt; .panel-title &gt; .accordion-toggle.collapsed[role=\"button\"]"]
Dettaglio + screenshot (accedere con le seguenti credenziali: user, axeposte@gmail.com; password, Poste2024!): https://axe.deque.com/issues/18ba3912-e8b4-40ae-a706-4db029d9d79f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82" t="e">
        <f>_xlfn.XLOOKUP(Tabella4[[#This Row],[ID Silk]],outTable[ID Silk],outTable[Numero ticket  ],,0,1)</f>
        <v>#N/A</v>
      </c>
    </row>
    <row r="383" spans="1:32">
      <c r="A383" s="34" t="str">
        <f>MID(Tabella4[[#This Row],[Servizio]],1,4)&amp;Tabella4[[#This Row],[UNI CEI EN 301549]]</f>
        <v>S0029.2.5.8</v>
      </c>
      <c r="B383" s="34" t="str">
        <f>Tabella4[[#This Row],[ID Silk]]&amp;"_1"</f>
        <v>S0029.2.5.8_1</v>
      </c>
      <c r="C383" s="34" t="s">
        <v>1728</v>
      </c>
      <c r="D383" s="2" t="str">
        <f>"(#"&amp;Tabella4[[#This Row],['#ID]]&amp;")"</f>
        <v>(#TM0286)</v>
      </c>
      <c r="E383" s="34" t="str">
        <f>IF(MID(Tabella4[[#This Row],['#ID]],1,1)="M","Mobile",IF(MID(Tabella4[[#This Row],['#ID]],1,1)="D","Desktop",IF(MID(Tabella4[[#This Row],['#ID]],1,2)="TM","Manuale","Documenti")))</f>
        <v>Manuale</v>
      </c>
      <c r="F383" s="34" t="s">
        <v>1006</v>
      </c>
      <c r="G383" s="34" t="s">
        <v>372</v>
      </c>
      <c r="H383" s="34" t="str">
        <f>IF(Tabella4[[#This Row],[Componente]]="Documenti","10.","9.")&amp;Tabella4[[#This Row],[Criterio]]</f>
        <v>9.2.5.8</v>
      </c>
      <c r="I383" s="34" t="s">
        <v>1023</v>
      </c>
      <c r="J383" s="34" t="s">
        <v>1032</v>
      </c>
      <c r="K383" s="34" t="s">
        <v>1033</v>
      </c>
      <c r="L383" s="34" t="s">
        <v>1034</v>
      </c>
      <c r="M383" s="34" t="s">
        <v>1035</v>
      </c>
      <c r="N383" t="s">
        <v>1305</v>
      </c>
      <c r="O383" t="s">
        <v>1306</v>
      </c>
      <c r="P383" t="s">
        <v>388</v>
      </c>
      <c r="R383" s="34" t="str">
        <f>IF(Tabella4[[#This Row],[Componente]]="Documenti",_xlfn.XLOOKUP(Tabella4[[#This Row],[URL]],Tabella27[URL],Tabella27[PDF ID],,0),_xlfn.XLOOKUP(Tabella4[[#This Row],[URL]],Tabella1[URL],Tabella1[Page ID],,0))</f>
        <v>#8</v>
      </c>
      <c r="S383" s="34" t="s">
        <v>1004</v>
      </c>
      <c r="T383" t="s">
        <v>518</v>
      </c>
      <c r="V383" t="s">
        <v>519</v>
      </c>
      <c r="W383" s="34" t="s">
        <v>1068</v>
      </c>
      <c r="X38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id="heading-item-posteinsurancebrokerposteinsurancebroker-moduliguidare-sicuri-fase-di-vendita-faq-accordion-contantecompagniecheoffronopolizzeautoperchacquistarelapolizzaalleposte-3-3"&gt;</v>
      </c>
      <c r="Y383" s="34" t="str">
        <f>SUBSTITUTE(IF(Tabella4[[#This Row],[Tool]]="axe-core",MID(Tabella4[[#This Row],[Rejected Element]],3,LEN(Tabella4[[#This Row],[Rejected Element]])-4),Tabella4[[#This Row],[Rejected Element]]),"\","")</f>
        <v>#heading-item-posteinsurancebrokerposteinsurancebroker-moduliguidare-sicuri-fase-di-vendita-faq-accordion-contantecompagniecheoffronopolizzeautoperchacquistarelapolizzaalleposte-3-3</v>
      </c>
      <c r="Z383" s="34">
        <f>COUNTIFS(Tabella4[Detail univoco],Tabella4[[#This Row],[Detail univoco]],Tabella4[Rejected Element Univoco],Tabella4[[#This Row],[Rejected Element Univoco]],Tabella4[ItemsNodeLabel],Tabella4[[#This Row],[ItemsNodeLabel]])</f>
        <v>0</v>
      </c>
      <c r="AA383" s="34" t="str">
        <f>IF(Tabella4[[#This Row],[Componente]]="Documenti",VLOOKUP(Tabella4[[#This Row],[URL]],Tabella27[[URL]:[Servizio]],4,FALSE),VLOOKUP(Tabella4[[#This Row],[Page ID]],Tabella1[[Page ID]:[Servizio]],4,FALSE))</f>
        <v>S002 Poste Guidare Sicuri</v>
      </c>
      <c r="AB383" t="s">
        <v>1467</v>
      </c>
      <c r="AC383" s="34" t="str">
        <f>Tabella4[[#This Row],[User Impact]]</f>
        <v>2 - Serious</v>
      </c>
      <c r="AD383" s="34" t="str">
        <f>Copertina!C$2&amp;" - "&amp;Tabella4[[#This Row],[UNI CEI EN 301549]]&amp;" "&amp;VLOOKUP(Tabella4[[#This Row],[Criterio]],Tabella5[[ID]:[Criterio di successo]],2,FALSE)&amp;" - "&amp;Tabella4[[#This Row],[Servizio]]&amp;":"</f>
        <v>Insurance Brocker - 9.2.5.8 Dimensione dell'obiettivo (minimo) - S002 Poste Guidare Sicuri:</v>
      </c>
      <c r="AE38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(#TM0286)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id="heading-item-posteinsurancebrokerposteinsurancebroker-moduliguidare-sicuri-fase-di-vendita-faq-accordion-contantecompagniecheoffronopolizzeautoperchacquistarelapolizzaalleposte-3-3"&gt; con selettore: 
["#heading-item-posteinsurancebrokerposteinsurancebroker-moduliguidare-sicuri-fase-di-vendita-faq-accordion-contantecompagniecheoffronopolizzeautoperchacquistarelapolizzaalleposte-3-3"]
Dettaglio + screenshot (accedere con le seguenti credenziali: user, axeposte@gmail.com; password, Poste2024!): https://axe.deque.com/issues/a91aeb5f-9a0e-4f1b-8233-5c6f63d67eac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83" t="e">
        <f>_xlfn.XLOOKUP(Tabella4[[#This Row],[ID Silk]],outTable[ID Silk],outTable[Numero ticket  ],,0,1)</f>
        <v>#N/A</v>
      </c>
    </row>
    <row r="384" spans="1:32">
      <c r="A384" s="34" t="str">
        <f>MID(Tabella4[[#This Row],[Servizio]],1,4)&amp;Tabella4[[#This Row],[UNI CEI EN 301549]]</f>
        <v>S0029.2.5.8</v>
      </c>
      <c r="B384" s="34" t="str">
        <f>Tabella4[[#This Row],[ID Silk]]&amp;"_1"</f>
        <v>S0029.2.5.8_1</v>
      </c>
      <c r="C384" s="34" t="s">
        <v>1729</v>
      </c>
      <c r="D384" s="2" t="str">
        <f>"(#"&amp;Tabella4[[#This Row],['#ID]]&amp;")"</f>
        <v>(#TM0287)</v>
      </c>
      <c r="E384" s="34" t="str">
        <f>IF(MID(Tabella4[[#This Row],['#ID]],1,1)="M","Mobile",IF(MID(Tabella4[[#This Row],['#ID]],1,1)="D","Desktop",IF(MID(Tabella4[[#This Row],['#ID]],1,2)="TM","Manuale","Documenti")))</f>
        <v>Manuale</v>
      </c>
      <c r="F384" s="34" t="s">
        <v>1006</v>
      </c>
      <c r="G384" s="34" t="s">
        <v>372</v>
      </c>
      <c r="H384" s="34" t="str">
        <f>IF(Tabella4[[#This Row],[Componente]]="Documenti","10.","9.")&amp;Tabella4[[#This Row],[Criterio]]</f>
        <v>9.2.5.8</v>
      </c>
      <c r="I384" s="34" t="s">
        <v>1023</v>
      </c>
      <c r="J384" s="34" t="s">
        <v>1032</v>
      </c>
      <c r="K384" s="34" t="s">
        <v>1033</v>
      </c>
      <c r="L384" s="34" t="s">
        <v>1034</v>
      </c>
      <c r="M384" s="34" t="s">
        <v>1035</v>
      </c>
      <c r="N384" t="s">
        <v>1468</v>
      </c>
      <c r="O384" t="s">
        <v>1469</v>
      </c>
      <c r="P384" t="s">
        <v>388</v>
      </c>
      <c r="R384" s="34" t="str">
        <f>IF(Tabella4[[#This Row],[Componente]]="Documenti",_xlfn.XLOOKUP(Tabella4[[#This Row],[URL]],Tabella27[URL],Tabella27[PDF ID],,0),_xlfn.XLOOKUP(Tabella4[[#This Row],[URL]],Tabella1[URL],Tabella1[Page ID],,0))</f>
        <v>#8</v>
      </c>
      <c r="S384" s="34" t="s">
        <v>1004</v>
      </c>
      <c r="T384" t="s">
        <v>518</v>
      </c>
      <c r="V384" t="s">
        <v>521</v>
      </c>
      <c r="W384" s="34" t="s">
        <v>1068</v>
      </c>
      <c r="X38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href="#item-posteinsurancebrokerposteinsurancebroker-moduliguidare-sicuri-fase-di-vendita-faq-accordion-contantecompagniecheoffronopolizzeautoperchacquistarelapolizzaalleposte-3" aria-expanded="false" aria-controls="item-posteinsurancebrokerposteinsurancebroker-moduliguidare-sicuri-fase-di-vendita-faq-accordion-contantecompagniecheoffronopolizzeautoperchacquistarelapolizzaalleposte-3" title="Con tante compagnie che offrono polizze Auto perché acquistare la polizza alle Poste?"&gt;</v>
      </c>
      <c r="Y384" s="34" t="str">
        <f>SUBSTITUTE(IF(Tabella4[[#This Row],[Tool]]="axe-core",MID(Tabella4[[#This Row],[Rejected Element]],3,LEN(Tabella4[[#This Row],[Rejected Element]])-4),Tabella4[[#This Row],[Rejected Element]]),"\","")</f>
        <v>#heading-item-posteinsurancebrokerposteinsurancebroker-moduliguidare-sicuri-fase-di-vendita-faq-accordion-contantecompagniecheoffronopolizzeautoperchacquistarelapolizzaalleposte-3-3 &gt; .panel-title &gt; .accordion-toggle.collapsed[role="button"]</v>
      </c>
      <c r="Z384" s="34">
        <f>COUNTIFS(Tabella4[Detail univoco],Tabella4[[#This Row],[Detail univoco]],Tabella4[Rejected Element Univoco],Tabella4[[#This Row],[Rejected Element Univoco]],Tabella4[ItemsNodeLabel],Tabella4[[#This Row],[ItemsNodeLabel]])</f>
        <v>0</v>
      </c>
      <c r="AA384" s="34" t="str">
        <f>IF(Tabella4[[#This Row],[Componente]]="Documenti",VLOOKUP(Tabella4[[#This Row],[URL]],Tabella27[[URL]:[Servizio]],4,FALSE),VLOOKUP(Tabella4[[#This Row],[Page ID]],Tabella1[[Page ID]:[Servizio]],4,FALSE))</f>
        <v>S002 Poste Guidare Sicuri</v>
      </c>
      <c r="AB384" t="s">
        <v>1470</v>
      </c>
      <c r="AC384" s="34" t="str">
        <f>Tabella4[[#This Row],[User Impact]]</f>
        <v>2 - Serious</v>
      </c>
      <c r="AD384" s="34" t="str">
        <f>Copertina!C$2&amp;" - "&amp;Tabella4[[#This Row],[UNI CEI EN 301549]]&amp;" "&amp;VLOOKUP(Tabella4[[#This Row],[Criterio]],Tabella5[[ID]:[Criterio di successo]],2,FALSE)&amp;" - "&amp;Tabella4[[#This Row],[Servizio]]&amp;":"</f>
        <v>Insurance Brocker - 9.2.5.8 Dimensione dell'obiettivo (minimo) - S002 Poste Guidare Sicuri:</v>
      </c>
      <c r="AE38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(#TM0287)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href="#item-posteinsurancebrokerposteinsurancebroker-moduliguidare-sicuri-fase-di-vendita-faq-accordion-contantecompagniecheoffronopolizzeautoperchacquistarelapolizzaalleposte-3" aria-expanded="false" aria-controls="item-posteinsurancebrokerposteinsurancebroker-moduliguidare-sicuri-fase-di-vendita-faq-accordion-contantecompagniecheoffronopolizzeautoperchacquistarelapolizzaalleposte-3" title="Con tante compagnie che offrono polizze Auto perché acquistare la polizza alle Poste?"&gt; con selettore: 
["#heading-item-posteinsurancebrokerposteinsurancebroker-moduliguidare-sicuri-fase-di-vendita-faq-accordion-contantecompagniecheoffronopolizzeautoperchacquistarelapolizzaalleposte-3-3 &gt; .panel-title &gt; .accordion-toggle.collapsed[role=\"button\"]"]
Dettaglio + screenshot (accedere con le seguenti credenziali: user, axeposte@gmail.com; password, Poste2024!): https://axe.deque.com/issues/e03adc50-2c24-4562-8af8-4f0233d87219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84" t="e">
        <f>_xlfn.XLOOKUP(Tabella4[[#This Row],[ID Silk]],outTable[ID Silk],outTable[Numero ticket  ],,0,1)</f>
        <v>#N/A</v>
      </c>
    </row>
    <row r="385" spans="1:32">
      <c r="A385" s="34" t="str">
        <f>MID(Tabella4[[#This Row],[Servizio]],1,4)&amp;Tabella4[[#This Row],[UNI CEI EN 301549]]</f>
        <v>S0029.2.5.8</v>
      </c>
      <c r="B385" s="34" t="str">
        <f>Tabella4[[#This Row],[ID Silk]]&amp;"_1"</f>
        <v>S0029.2.5.8_1</v>
      </c>
      <c r="C385" s="34" t="s">
        <v>1730</v>
      </c>
      <c r="D385" s="2" t="str">
        <f>"(#"&amp;Tabella4[[#This Row],['#ID]]&amp;")"</f>
        <v>(#TM0288)</v>
      </c>
      <c r="E385" s="34" t="str">
        <f>IF(MID(Tabella4[[#This Row],['#ID]],1,1)="M","Mobile",IF(MID(Tabella4[[#This Row],['#ID]],1,1)="D","Desktop",IF(MID(Tabella4[[#This Row],['#ID]],1,2)="TM","Manuale","Documenti")))</f>
        <v>Manuale</v>
      </c>
      <c r="F385" s="34" t="s">
        <v>1006</v>
      </c>
      <c r="G385" s="34" t="s">
        <v>372</v>
      </c>
      <c r="H385" s="34" t="str">
        <f>IF(Tabella4[[#This Row],[Componente]]="Documenti","10.","9.")&amp;Tabella4[[#This Row],[Criterio]]</f>
        <v>9.2.5.8</v>
      </c>
      <c r="I385" s="34" t="s">
        <v>1023</v>
      </c>
      <c r="J385" s="34" t="s">
        <v>1032</v>
      </c>
      <c r="K385" s="34" t="s">
        <v>1033</v>
      </c>
      <c r="L385" s="34" t="s">
        <v>1034</v>
      </c>
      <c r="M385" s="34" t="s">
        <v>1035</v>
      </c>
      <c r="N385" t="s">
        <v>1308</v>
      </c>
      <c r="O385" t="s">
        <v>1309</v>
      </c>
      <c r="P385" t="s">
        <v>388</v>
      </c>
      <c r="R385" s="34" t="str">
        <f>IF(Tabella4[[#This Row],[Componente]]="Documenti",_xlfn.XLOOKUP(Tabella4[[#This Row],[URL]],Tabella27[URL],Tabella27[PDF ID],,0),_xlfn.XLOOKUP(Tabella4[[#This Row],[URL]],Tabella1[URL],Tabella1[Page ID],,0))</f>
        <v>#8</v>
      </c>
      <c r="S385" s="34" t="s">
        <v>1004</v>
      </c>
      <c r="T385" t="s">
        <v>518</v>
      </c>
      <c r="V385" t="s">
        <v>519</v>
      </c>
      <c r="W385" s="34" t="s">
        <v>1068</v>
      </c>
      <c r="X38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id="heading-item-posteinsurancebrokerposteinsurancebroker-moduliguidare-sicuri-fase-di-vendita-faq-accordion-checosasiintendeperrcfamiliare-4-4"&gt;</v>
      </c>
      <c r="Y385" s="34" t="str">
        <f>SUBSTITUTE(IF(Tabella4[[#This Row],[Tool]]="axe-core",MID(Tabella4[[#This Row],[Rejected Element]],3,LEN(Tabella4[[#This Row],[Rejected Element]])-4),Tabella4[[#This Row],[Rejected Element]]),"\","")</f>
        <v>#heading-item-posteinsurancebrokerposteinsurancebroker-moduliguidare-sicuri-fase-di-vendita-faq-accordion-checosasiintendeperrcfamiliare-4-4</v>
      </c>
      <c r="Z385" s="34">
        <f>COUNTIFS(Tabella4[Detail univoco],Tabella4[[#This Row],[Detail univoco]],Tabella4[Rejected Element Univoco],Tabella4[[#This Row],[Rejected Element Univoco]],Tabella4[ItemsNodeLabel],Tabella4[[#This Row],[ItemsNodeLabel]])</f>
        <v>0</v>
      </c>
      <c r="AA385" s="34" t="str">
        <f>IF(Tabella4[[#This Row],[Componente]]="Documenti",VLOOKUP(Tabella4[[#This Row],[URL]],Tabella27[[URL]:[Servizio]],4,FALSE),VLOOKUP(Tabella4[[#This Row],[Page ID]],Tabella1[[Page ID]:[Servizio]],4,FALSE))</f>
        <v>S002 Poste Guidare Sicuri</v>
      </c>
      <c r="AB385" t="s">
        <v>1471</v>
      </c>
      <c r="AC385" s="34" t="str">
        <f>Tabella4[[#This Row],[User Impact]]</f>
        <v>2 - Serious</v>
      </c>
      <c r="AD385" s="34" t="str">
        <f>Copertina!C$2&amp;" - "&amp;Tabella4[[#This Row],[UNI CEI EN 301549]]&amp;" "&amp;VLOOKUP(Tabella4[[#This Row],[Criterio]],Tabella5[[ID]:[Criterio di successo]],2,FALSE)&amp;" - "&amp;Tabella4[[#This Row],[Servizio]]&amp;":"</f>
        <v>Insurance Brocker - 9.2.5.8 Dimensione dell'obiettivo (minimo) - S002 Poste Guidare Sicuri:</v>
      </c>
      <c r="AE38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(#TM0288)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id="heading-item-posteinsurancebrokerposteinsurancebroker-moduliguidare-sicuri-fase-di-vendita-faq-accordion-checosasiintendeperrcfamiliare-4-4"&gt; con selettore: 
["#heading-item-posteinsurancebrokerposteinsurancebroker-moduliguidare-sicuri-fase-di-vendita-faq-accordion-checosasiintendeperrcfamiliare-4-4"]
Dettaglio + screenshot (accedere con le seguenti credenziali: user, axeposte@gmail.com; password, Poste2024!): https://axe.deque.com/issues/7cdb3eb9-90c8-483c-bfb7-8e61d5d302ce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85" t="e">
        <f>_xlfn.XLOOKUP(Tabella4[[#This Row],[ID Silk]],outTable[ID Silk],outTable[Numero ticket  ],,0,1)</f>
        <v>#N/A</v>
      </c>
    </row>
    <row r="386" spans="1:32">
      <c r="A386" s="34" t="str">
        <f>MID(Tabella4[[#This Row],[Servizio]],1,4)&amp;Tabella4[[#This Row],[UNI CEI EN 301549]]</f>
        <v>S0029.2.5.8</v>
      </c>
      <c r="B386" s="34" t="str">
        <f>Tabella4[[#This Row],[ID Silk]]&amp;"_1"</f>
        <v>S0029.2.5.8_1</v>
      </c>
      <c r="C386" s="34" t="s">
        <v>1731</v>
      </c>
      <c r="D386" s="2" t="str">
        <f>"(#"&amp;Tabella4[[#This Row],['#ID]]&amp;")"</f>
        <v>(#TM0289)</v>
      </c>
      <c r="E386" s="34" t="str">
        <f>IF(MID(Tabella4[[#This Row],['#ID]],1,1)="M","Mobile",IF(MID(Tabella4[[#This Row],['#ID]],1,1)="D","Desktop",IF(MID(Tabella4[[#This Row],['#ID]],1,2)="TM","Manuale","Documenti")))</f>
        <v>Manuale</v>
      </c>
      <c r="F386" s="34" t="s">
        <v>1006</v>
      </c>
      <c r="G386" s="34" t="s">
        <v>372</v>
      </c>
      <c r="H386" s="34" t="str">
        <f>IF(Tabella4[[#This Row],[Componente]]="Documenti","10.","9.")&amp;Tabella4[[#This Row],[Criterio]]</f>
        <v>9.2.5.8</v>
      </c>
      <c r="I386" s="34" t="s">
        <v>1023</v>
      </c>
      <c r="J386" s="34" t="s">
        <v>1032</v>
      </c>
      <c r="K386" s="34" t="s">
        <v>1033</v>
      </c>
      <c r="L386" s="34" t="s">
        <v>1034</v>
      </c>
      <c r="M386" s="34" t="s">
        <v>1035</v>
      </c>
      <c r="N386" t="s">
        <v>1472</v>
      </c>
      <c r="O386" t="s">
        <v>1473</v>
      </c>
      <c r="P386" t="s">
        <v>388</v>
      </c>
      <c r="R386" s="34" t="str">
        <f>IF(Tabella4[[#This Row],[Componente]]="Documenti",_xlfn.XLOOKUP(Tabella4[[#This Row],[URL]],Tabella27[URL],Tabella27[PDF ID],,0),_xlfn.XLOOKUP(Tabella4[[#This Row],[URL]],Tabella1[URL],Tabella1[Page ID],,0))</f>
        <v>#8</v>
      </c>
      <c r="S386" s="34" t="s">
        <v>1004</v>
      </c>
      <c r="T386" t="s">
        <v>518</v>
      </c>
      <c r="V386" t="s">
        <v>521</v>
      </c>
      <c r="W386" s="34" t="s">
        <v>1068</v>
      </c>
      <c r="X38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href="#item-posteinsurancebrokerposteinsurancebroker-moduliguidare-sicuri-fase-di-vendita-faq-accordion-checosasiintendeperrcfamiliare-4" aria-expanded="false" aria-controls="item-posteinsurancebrokerposteinsurancebroker-moduliguidare-sicuri-fase-di-vendita-faq-accordion-checosasiintendeperrcfamiliare-4" title="Che cosa si intende per RC Familiare?"&gt;</v>
      </c>
      <c r="Y386" s="34" t="str">
        <f>SUBSTITUTE(IF(Tabella4[[#This Row],[Tool]]="axe-core",MID(Tabella4[[#This Row],[Rejected Element]],3,LEN(Tabella4[[#This Row],[Rejected Element]])-4),Tabella4[[#This Row],[Rejected Element]]),"\","")</f>
        <v>#heading-item-posteinsurancebrokerposteinsurancebroker-moduliguidare-sicuri-fase-di-vendita-faq-accordion-checosasiintendeperrcfamiliare-4-4 &gt; .panel-title &gt; .accordion-toggle.collapsed[role="button"]</v>
      </c>
      <c r="Z386" s="34">
        <f>COUNTIFS(Tabella4[Detail univoco],Tabella4[[#This Row],[Detail univoco]],Tabella4[Rejected Element Univoco],Tabella4[[#This Row],[Rejected Element Univoco]],Tabella4[ItemsNodeLabel],Tabella4[[#This Row],[ItemsNodeLabel]])</f>
        <v>0</v>
      </c>
      <c r="AA386" s="34" t="str">
        <f>IF(Tabella4[[#This Row],[Componente]]="Documenti",VLOOKUP(Tabella4[[#This Row],[URL]],Tabella27[[URL]:[Servizio]],4,FALSE),VLOOKUP(Tabella4[[#This Row],[Page ID]],Tabella1[[Page ID]:[Servizio]],4,FALSE))</f>
        <v>S002 Poste Guidare Sicuri</v>
      </c>
      <c r="AB386" t="s">
        <v>1474</v>
      </c>
      <c r="AC386" s="34" t="str">
        <f>Tabella4[[#This Row],[User Impact]]</f>
        <v>2 - Serious</v>
      </c>
      <c r="AD386" s="34" t="str">
        <f>Copertina!C$2&amp;" - "&amp;Tabella4[[#This Row],[UNI CEI EN 301549]]&amp;" "&amp;VLOOKUP(Tabella4[[#This Row],[Criterio]],Tabella5[[ID]:[Criterio di successo]],2,FALSE)&amp;" - "&amp;Tabella4[[#This Row],[Servizio]]&amp;":"</f>
        <v>Insurance Brocker - 9.2.5.8 Dimensione dell'obiettivo (minimo) - S002 Poste Guidare Sicuri:</v>
      </c>
      <c r="AE38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(#TM0289)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href="#item-posteinsurancebrokerposteinsurancebroker-moduliguidare-sicuri-fase-di-vendita-faq-accordion-checosasiintendeperrcfamiliare-4" aria-expanded="false" aria-controls="item-posteinsurancebrokerposteinsurancebroker-moduliguidare-sicuri-fase-di-vendita-faq-accordion-checosasiintendeperrcfamiliare-4" title="Che cosa si intende per RC Familiare?"&gt; con selettore: 
["#heading-item-posteinsurancebrokerposteinsurancebroker-moduliguidare-sicuri-fase-di-vendita-faq-accordion-checosasiintendeperrcfamiliare-4-4 &gt; .panel-title &gt; .accordion-toggle.collapsed[role=\"button\"]"]
Dettaglio + screenshot (accedere con le seguenti credenziali: user, axeposte@gmail.com; password, Poste2024!): https://axe.deque.com/issues/db245a48-3622-4af8-b213-8cb86dd6fdd1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86" t="e">
        <f>_xlfn.XLOOKUP(Tabella4[[#This Row],[ID Silk]],outTable[ID Silk],outTable[Numero ticket  ],,0,1)</f>
        <v>#N/A</v>
      </c>
    </row>
    <row r="387" spans="1:32">
      <c r="A387" s="34" t="str">
        <f>MID(Tabella4[[#This Row],[Servizio]],1,4)&amp;Tabella4[[#This Row],[UNI CEI EN 301549]]</f>
        <v>S0029.2.5.8</v>
      </c>
      <c r="B387" s="34" t="str">
        <f>Tabella4[[#This Row],[ID Silk]]&amp;"_1"</f>
        <v>S0029.2.5.8_1</v>
      </c>
      <c r="C387" s="34" t="s">
        <v>1732</v>
      </c>
      <c r="D387" s="2" t="str">
        <f>"(#"&amp;Tabella4[[#This Row],['#ID]]&amp;")"</f>
        <v>(#TM0290)</v>
      </c>
      <c r="E387" s="34" t="str">
        <f>IF(MID(Tabella4[[#This Row],['#ID]],1,1)="M","Mobile",IF(MID(Tabella4[[#This Row],['#ID]],1,1)="D","Desktop",IF(MID(Tabella4[[#This Row],['#ID]],1,2)="TM","Manuale","Documenti")))</f>
        <v>Manuale</v>
      </c>
      <c r="F387" s="34" t="s">
        <v>1006</v>
      </c>
      <c r="G387" s="34" t="s">
        <v>372</v>
      </c>
      <c r="H387" s="34" t="str">
        <f>IF(Tabella4[[#This Row],[Componente]]="Documenti","10.","9.")&amp;Tabella4[[#This Row],[Criterio]]</f>
        <v>9.2.5.8</v>
      </c>
      <c r="I387" s="34" t="s">
        <v>1023</v>
      </c>
      <c r="J387" s="34" t="s">
        <v>1032</v>
      </c>
      <c r="K387" s="34" t="s">
        <v>1033</v>
      </c>
      <c r="L387" s="34" t="s">
        <v>1034</v>
      </c>
      <c r="M387" s="34" t="s">
        <v>1035</v>
      </c>
      <c r="N387" t="s">
        <v>1311</v>
      </c>
      <c r="O387" t="s">
        <v>1312</v>
      </c>
      <c r="P387" t="s">
        <v>388</v>
      </c>
      <c r="R387" s="34" t="str">
        <f>IF(Tabella4[[#This Row],[Componente]]="Documenti",_xlfn.XLOOKUP(Tabella4[[#This Row],[URL]],Tabella27[URL],Tabella27[PDF ID],,0),_xlfn.XLOOKUP(Tabella4[[#This Row],[URL]],Tabella1[URL],Tabella1[Page ID],,0))</f>
        <v>#8</v>
      </c>
      <c r="S387" s="34" t="s">
        <v>1004</v>
      </c>
      <c r="T387" t="s">
        <v>518</v>
      </c>
      <c r="V387" t="s">
        <v>519</v>
      </c>
      <c r="W387" s="34" t="s">
        <v>1068</v>
      </c>
      <c r="X38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id="heading-item-posteinsurancebrokerposteinsurancebroker-moduliguidare-sicuri-fase-di-vendita-faq-accordion-cosasiintendeperclassedimeritoconversioneuniversale-5-5"&gt;</v>
      </c>
      <c r="Y387" s="34" t="str">
        <f>SUBSTITUTE(IF(Tabella4[[#This Row],[Tool]]="axe-core",MID(Tabella4[[#This Row],[Rejected Element]],3,LEN(Tabella4[[#This Row],[Rejected Element]])-4),Tabella4[[#This Row],[Rejected Element]]),"\","")</f>
        <v>#heading-item-posteinsurancebrokerposteinsurancebroker-moduliguidare-sicuri-fase-di-vendita-faq-accordion-cosasiintendeperclassedimeritoconversioneuniversale-5-5</v>
      </c>
      <c r="Z387" s="34">
        <f>COUNTIFS(Tabella4[Detail univoco],Tabella4[[#This Row],[Detail univoco]],Tabella4[Rejected Element Univoco],Tabella4[[#This Row],[Rejected Element Univoco]],Tabella4[ItemsNodeLabel],Tabella4[[#This Row],[ItemsNodeLabel]])</f>
        <v>0</v>
      </c>
      <c r="AA387" s="34" t="str">
        <f>IF(Tabella4[[#This Row],[Componente]]="Documenti",VLOOKUP(Tabella4[[#This Row],[URL]],Tabella27[[URL]:[Servizio]],4,FALSE),VLOOKUP(Tabella4[[#This Row],[Page ID]],Tabella1[[Page ID]:[Servizio]],4,FALSE))</f>
        <v>S002 Poste Guidare Sicuri</v>
      </c>
      <c r="AB387" t="s">
        <v>1475</v>
      </c>
      <c r="AC387" s="34" t="str">
        <f>Tabella4[[#This Row],[User Impact]]</f>
        <v>2 - Serious</v>
      </c>
      <c r="AD387" s="34" t="str">
        <f>Copertina!C$2&amp;" - "&amp;Tabella4[[#This Row],[UNI CEI EN 301549]]&amp;" "&amp;VLOOKUP(Tabella4[[#This Row],[Criterio]],Tabella5[[ID]:[Criterio di successo]],2,FALSE)&amp;" - "&amp;Tabella4[[#This Row],[Servizio]]&amp;":"</f>
        <v>Insurance Brocker - 9.2.5.8 Dimensione dell'obiettivo (minimo) - S002 Poste Guidare Sicuri:</v>
      </c>
      <c r="AE38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(#TM0290)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id="heading-item-posteinsurancebrokerposteinsurancebroker-moduliguidare-sicuri-fase-di-vendita-faq-accordion-cosasiintendeperclassedimeritoconversioneuniversale-5-5"&gt; con selettore: 
["#heading-item-posteinsurancebrokerposteinsurancebroker-moduliguidare-sicuri-fase-di-vendita-faq-accordion-cosasiintendeperclassedimeritoconversioneuniversale-5-5"]
Dettaglio + screenshot (accedere con le seguenti credenziali: user, axeposte@gmail.com; password, Poste2024!): https://axe.deque.com/issues/9a575a44-5e7d-4552-9422-fce87cb17c27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87" t="e">
        <f>_xlfn.XLOOKUP(Tabella4[[#This Row],[ID Silk]],outTable[ID Silk],outTable[Numero ticket  ],,0,1)</f>
        <v>#N/A</v>
      </c>
    </row>
    <row r="388" spans="1:32">
      <c r="A388" s="34" t="str">
        <f>MID(Tabella4[[#This Row],[Servizio]],1,4)&amp;Tabella4[[#This Row],[UNI CEI EN 301549]]</f>
        <v>S0029.2.5.8</v>
      </c>
      <c r="B388" s="34" t="str">
        <f>Tabella4[[#This Row],[ID Silk]]&amp;"_1"</f>
        <v>S0029.2.5.8_1</v>
      </c>
      <c r="C388" s="34" t="s">
        <v>1733</v>
      </c>
      <c r="D388" s="2" t="str">
        <f>"(#"&amp;Tabella4[[#This Row],['#ID]]&amp;")"</f>
        <v>(#TM0291)</v>
      </c>
      <c r="E388" s="34" t="str">
        <f>IF(MID(Tabella4[[#This Row],['#ID]],1,1)="M","Mobile",IF(MID(Tabella4[[#This Row],['#ID]],1,1)="D","Desktop",IF(MID(Tabella4[[#This Row],['#ID]],1,2)="TM","Manuale","Documenti")))</f>
        <v>Manuale</v>
      </c>
      <c r="F388" s="34" t="s">
        <v>1006</v>
      </c>
      <c r="G388" s="34" t="s">
        <v>372</v>
      </c>
      <c r="H388" s="34" t="str">
        <f>IF(Tabella4[[#This Row],[Componente]]="Documenti","10.","9.")&amp;Tabella4[[#This Row],[Criterio]]</f>
        <v>9.2.5.8</v>
      </c>
      <c r="I388" s="34" t="s">
        <v>1023</v>
      </c>
      <c r="J388" s="34" t="s">
        <v>1032</v>
      </c>
      <c r="K388" s="34" t="s">
        <v>1033</v>
      </c>
      <c r="L388" s="34" t="s">
        <v>1034</v>
      </c>
      <c r="M388" s="34" t="s">
        <v>1035</v>
      </c>
      <c r="N388" t="s">
        <v>1476</v>
      </c>
      <c r="O388" t="s">
        <v>1477</v>
      </c>
      <c r="P388" t="s">
        <v>388</v>
      </c>
      <c r="R388" s="34" t="str">
        <f>IF(Tabella4[[#This Row],[Componente]]="Documenti",_xlfn.XLOOKUP(Tabella4[[#This Row],[URL]],Tabella27[URL],Tabella27[PDF ID],,0),_xlfn.XLOOKUP(Tabella4[[#This Row],[URL]],Tabella1[URL],Tabella1[Page ID],,0))</f>
        <v>#8</v>
      </c>
      <c r="S388" s="34" t="s">
        <v>1004</v>
      </c>
      <c r="T388" t="s">
        <v>518</v>
      </c>
      <c r="V388" t="s">
        <v>521</v>
      </c>
      <c r="W388" s="34" t="s">
        <v>1068</v>
      </c>
      <c r="X38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href="#item-posteinsurancebrokerposteinsurancebroker-moduliguidare-sicuri-fase-di-vendita-faq-accordion-cosasiintendeperclassedimeritoconversioneuniversale-5" aria-expanded="false" aria-controls="item-posteinsurancebrokerposteinsurancebroker-moduliguidare-sicuri-fase-di-vendita-faq-accordion-cosasiintendeperclassedimeritoconversioneuniversale-5" title="Cosa si intende per Classe di merito conversione Universale?"&gt;</v>
      </c>
      <c r="Y388" s="34" t="str">
        <f>SUBSTITUTE(IF(Tabella4[[#This Row],[Tool]]="axe-core",MID(Tabella4[[#This Row],[Rejected Element]],3,LEN(Tabella4[[#This Row],[Rejected Element]])-4),Tabella4[[#This Row],[Rejected Element]]),"\","")</f>
        <v>#heading-item-posteinsurancebrokerposteinsurancebroker-moduliguidare-sicuri-fase-di-vendita-faq-accordion-cosasiintendeperclassedimeritoconversioneuniversale-5-5 &gt; .panel-title &gt; .accordion-toggle.collapsed[role="button"]</v>
      </c>
      <c r="Z388" s="34">
        <f>COUNTIFS(Tabella4[Detail univoco],Tabella4[[#This Row],[Detail univoco]],Tabella4[Rejected Element Univoco],Tabella4[[#This Row],[Rejected Element Univoco]],Tabella4[ItemsNodeLabel],Tabella4[[#This Row],[ItemsNodeLabel]])</f>
        <v>0</v>
      </c>
      <c r="AA388" s="34" t="str">
        <f>IF(Tabella4[[#This Row],[Componente]]="Documenti",VLOOKUP(Tabella4[[#This Row],[URL]],Tabella27[[URL]:[Servizio]],4,FALSE),VLOOKUP(Tabella4[[#This Row],[Page ID]],Tabella1[[Page ID]:[Servizio]],4,FALSE))</f>
        <v>S002 Poste Guidare Sicuri</v>
      </c>
      <c r="AB388" t="s">
        <v>1478</v>
      </c>
      <c r="AC388" s="34" t="str">
        <f>Tabella4[[#This Row],[User Impact]]</f>
        <v>2 - Serious</v>
      </c>
      <c r="AD388" s="34" t="str">
        <f>Copertina!C$2&amp;" - "&amp;Tabella4[[#This Row],[UNI CEI EN 301549]]&amp;" "&amp;VLOOKUP(Tabella4[[#This Row],[Criterio]],Tabella5[[ID]:[Criterio di successo]],2,FALSE)&amp;" - "&amp;Tabella4[[#This Row],[Servizio]]&amp;":"</f>
        <v>Insurance Brocker - 9.2.5.8 Dimensione dell'obiettivo (minimo) - S002 Poste Guidare Sicuri:</v>
      </c>
      <c r="AE38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(#TM0291)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href="#item-posteinsurancebrokerposteinsurancebroker-moduliguidare-sicuri-fase-di-vendita-faq-accordion-cosasiintendeperclassedimeritoconversioneuniversale-5" aria-expanded="false" aria-controls="item-posteinsurancebrokerposteinsurancebroker-moduliguidare-sicuri-fase-di-vendita-faq-accordion-cosasiintendeperclassedimeritoconversioneuniversale-5" title="Cosa si intende per Classe di merito conversione Universale?"&gt; con selettore: 
["#heading-item-posteinsurancebrokerposteinsurancebroker-moduliguidare-sicuri-fase-di-vendita-faq-accordion-cosasiintendeperclassedimeritoconversioneuniversale-5-5 &gt; .panel-title &gt; .accordion-toggle.collapsed[role=\"button\"]"]
Dettaglio + screenshot (accedere con le seguenti credenziali: user, axeposte@gmail.com; password, Poste2024!): https://axe.deque.com/issues/1fbfd556-fa73-4fd7-a500-28edb38a436a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88" t="e">
        <f>_xlfn.XLOOKUP(Tabella4[[#This Row],[ID Silk]],outTable[ID Silk],outTable[Numero ticket  ],,0,1)</f>
        <v>#N/A</v>
      </c>
    </row>
    <row r="389" spans="1:32">
      <c r="A389" s="34" t="str">
        <f>MID(Tabella4[[#This Row],[Servizio]],1,4)&amp;Tabella4[[#This Row],[UNI CEI EN 301549]]</f>
        <v>S0029.2.5.8</v>
      </c>
      <c r="B389" s="34" t="str">
        <f>Tabella4[[#This Row],[ID Silk]]&amp;"_1"</f>
        <v>S0029.2.5.8_1</v>
      </c>
      <c r="C389" s="34" t="s">
        <v>1734</v>
      </c>
      <c r="D389" s="2" t="str">
        <f>"(#"&amp;Tabella4[[#This Row],['#ID]]&amp;")"</f>
        <v>(#TM0292)</v>
      </c>
      <c r="E389" s="34" t="str">
        <f>IF(MID(Tabella4[[#This Row],['#ID]],1,1)="M","Mobile",IF(MID(Tabella4[[#This Row],['#ID]],1,1)="D","Desktop",IF(MID(Tabella4[[#This Row],['#ID]],1,2)="TM","Manuale","Documenti")))</f>
        <v>Manuale</v>
      </c>
      <c r="F389" s="34" t="s">
        <v>1006</v>
      </c>
      <c r="G389" s="34" t="s">
        <v>372</v>
      </c>
      <c r="H389" s="34" t="str">
        <f>IF(Tabella4[[#This Row],[Componente]]="Documenti","10.","9.")&amp;Tabella4[[#This Row],[Criterio]]</f>
        <v>9.2.5.8</v>
      </c>
      <c r="I389" s="34" t="s">
        <v>1023</v>
      </c>
      <c r="J389" s="34" t="s">
        <v>1032</v>
      </c>
      <c r="K389" s="34" t="s">
        <v>1033</v>
      </c>
      <c r="L389" s="34" t="s">
        <v>1034</v>
      </c>
      <c r="M389" s="34" t="s">
        <v>1035</v>
      </c>
      <c r="N389" t="s">
        <v>1314</v>
      </c>
      <c r="O389" t="s">
        <v>1315</v>
      </c>
      <c r="P389" t="s">
        <v>388</v>
      </c>
      <c r="R389" s="34" t="str">
        <f>IF(Tabella4[[#This Row],[Componente]]="Documenti",_xlfn.XLOOKUP(Tabella4[[#This Row],[URL]],Tabella27[URL],Tabella27[PDF ID],,0),_xlfn.XLOOKUP(Tabella4[[#This Row],[URL]],Tabella1[URL],Tabella1[Page ID],,0))</f>
        <v>#8</v>
      </c>
      <c r="S389" s="34" t="s">
        <v>1004</v>
      </c>
      <c r="T389" t="s">
        <v>518</v>
      </c>
      <c r="V389" t="s">
        <v>519</v>
      </c>
      <c r="W389" s="34" t="s">
        <v>1068</v>
      </c>
      <c r="X38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id="heading-item-posteinsurancebrokerposteinsurancebroker-moduliguidare-sicuri-fase-di-vendita-faq-accordion-cosasiintendepersistemadibonusmalus-6-6"&gt;</v>
      </c>
      <c r="Y389" s="34" t="str">
        <f>SUBSTITUTE(IF(Tabella4[[#This Row],[Tool]]="axe-core",MID(Tabella4[[#This Row],[Rejected Element]],3,LEN(Tabella4[[#This Row],[Rejected Element]])-4),Tabella4[[#This Row],[Rejected Element]]),"\","")</f>
        <v>#heading-item-posteinsurancebrokerposteinsurancebroker-moduliguidare-sicuri-fase-di-vendita-faq-accordion-cosasiintendepersistemadibonusmalus-6-6</v>
      </c>
      <c r="Z389" s="34">
        <f>COUNTIFS(Tabella4[Detail univoco],Tabella4[[#This Row],[Detail univoco]],Tabella4[Rejected Element Univoco],Tabella4[[#This Row],[Rejected Element Univoco]],Tabella4[ItemsNodeLabel],Tabella4[[#This Row],[ItemsNodeLabel]])</f>
        <v>0</v>
      </c>
      <c r="AA389" s="34" t="str">
        <f>IF(Tabella4[[#This Row],[Componente]]="Documenti",VLOOKUP(Tabella4[[#This Row],[URL]],Tabella27[[URL]:[Servizio]],4,FALSE),VLOOKUP(Tabella4[[#This Row],[Page ID]],Tabella1[[Page ID]:[Servizio]],4,FALSE))</f>
        <v>S002 Poste Guidare Sicuri</v>
      </c>
      <c r="AB389" t="s">
        <v>1479</v>
      </c>
      <c r="AC389" s="34" t="str">
        <f>Tabella4[[#This Row],[User Impact]]</f>
        <v>2 - Serious</v>
      </c>
      <c r="AD389" s="34" t="str">
        <f>Copertina!C$2&amp;" - "&amp;Tabella4[[#This Row],[UNI CEI EN 301549]]&amp;" "&amp;VLOOKUP(Tabella4[[#This Row],[Criterio]],Tabella5[[ID]:[Criterio di successo]],2,FALSE)&amp;" - "&amp;Tabella4[[#This Row],[Servizio]]&amp;":"</f>
        <v>Insurance Brocker - 9.2.5.8 Dimensione dell'obiettivo (minimo) - S002 Poste Guidare Sicuri:</v>
      </c>
      <c r="AE38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(#TM0292)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id="heading-item-posteinsurancebrokerposteinsurancebroker-moduliguidare-sicuri-fase-di-vendita-faq-accordion-cosasiintendepersistemadibonusmalus-6-6"&gt; con selettore: 
["#heading-item-posteinsurancebrokerposteinsurancebroker-moduliguidare-sicuri-fase-di-vendita-faq-accordion-cosasiintendepersistemadibonusmalus-6-6"]
Dettaglio + screenshot (accedere con le seguenti credenziali: user, axeposte@gmail.com; password, Poste2024!): https://axe.deque.com/issues/51f10018-901c-4d18-a3b4-b06d7df42454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89" t="e">
        <f>_xlfn.XLOOKUP(Tabella4[[#This Row],[ID Silk]],outTable[ID Silk],outTable[Numero ticket  ],,0,1)</f>
        <v>#N/A</v>
      </c>
    </row>
    <row r="390" spans="1:32">
      <c r="A390" s="34" t="str">
        <f>MID(Tabella4[[#This Row],[Servizio]],1,4)&amp;Tabella4[[#This Row],[UNI CEI EN 301549]]</f>
        <v>S0029.2.5.8</v>
      </c>
      <c r="B390" s="34" t="str">
        <f>Tabella4[[#This Row],[ID Silk]]&amp;"_1"</f>
        <v>S0029.2.5.8_1</v>
      </c>
      <c r="C390" s="34" t="s">
        <v>1735</v>
      </c>
      <c r="D390" s="2" t="str">
        <f>"(#"&amp;Tabella4[[#This Row],['#ID]]&amp;")"</f>
        <v>(#TM0293)</v>
      </c>
      <c r="E390" s="34" t="str">
        <f>IF(MID(Tabella4[[#This Row],['#ID]],1,1)="M","Mobile",IF(MID(Tabella4[[#This Row],['#ID]],1,1)="D","Desktop",IF(MID(Tabella4[[#This Row],['#ID]],1,2)="TM","Manuale","Documenti")))</f>
        <v>Manuale</v>
      </c>
      <c r="F390" s="34" t="s">
        <v>1006</v>
      </c>
      <c r="G390" s="34" t="s">
        <v>372</v>
      </c>
      <c r="H390" s="34" t="str">
        <f>IF(Tabella4[[#This Row],[Componente]]="Documenti","10.","9.")&amp;Tabella4[[#This Row],[Criterio]]</f>
        <v>9.2.5.8</v>
      </c>
      <c r="I390" s="34" t="s">
        <v>1023</v>
      </c>
      <c r="J390" s="34" t="s">
        <v>1032</v>
      </c>
      <c r="K390" s="34" t="s">
        <v>1033</v>
      </c>
      <c r="L390" s="34" t="s">
        <v>1034</v>
      </c>
      <c r="M390" s="34" t="s">
        <v>1035</v>
      </c>
      <c r="N390" t="s">
        <v>1480</v>
      </c>
      <c r="O390" t="s">
        <v>1481</v>
      </c>
      <c r="P390" t="s">
        <v>388</v>
      </c>
      <c r="R390" s="34" t="str">
        <f>IF(Tabella4[[#This Row],[Componente]]="Documenti",_xlfn.XLOOKUP(Tabella4[[#This Row],[URL]],Tabella27[URL],Tabella27[PDF ID],,0),_xlfn.XLOOKUP(Tabella4[[#This Row],[URL]],Tabella1[URL],Tabella1[Page ID],,0))</f>
        <v>#8</v>
      </c>
      <c r="S390" s="34" t="s">
        <v>1004</v>
      </c>
      <c r="T390" t="s">
        <v>518</v>
      </c>
      <c r="V390" t="s">
        <v>521</v>
      </c>
      <c r="W390" s="34" t="s">
        <v>1068</v>
      </c>
      <c r="X39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href="#item-posteinsurancebrokerposteinsurancebroker-moduliguidare-sicuri-fase-di-vendita-faq-accordion-cosasiintendepersistemadibonusmalus-6" aria-expanded="false" aria-controls="item-posteinsurancebrokerposteinsurancebroker-moduliguidare-sicuri-fase-di-vendita-faq-accordion-cosasiintendepersistemadibonusmalus-6" title="Cosa si intende per sistema di Bonus Malus?"&gt;</v>
      </c>
      <c r="Y390" s="34" t="str">
        <f>SUBSTITUTE(IF(Tabella4[[#This Row],[Tool]]="axe-core",MID(Tabella4[[#This Row],[Rejected Element]],3,LEN(Tabella4[[#This Row],[Rejected Element]])-4),Tabella4[[#This Row],[Rejected Element]]),"\","")</f>
        <v>#heading-item-posteinsurancebrokerposteinsurancebroker-moduliguidare-sicuri-fase-di-vendita-faq-accordion-cosasiintendepersistemadibonusmalus-6-6 &gt; .panel-title &gt; .accordion-toggle.collapsed[role="button"]</v>
      </c>
      <c r="Z390" s="34">
        <f>COUNTIFS(Tabella4[Detail univoco],Tabella4[[#This Row],[Detail univoco]],Tabella4[Rejected Element Univoco],Tabella4[[#This Row],[Rejected Element Univoco]],Tabella4[ItemsNodeLabel],Tabella4[[#This Row],[ItemsNodeLabel]])</f>
        <v>0</v>
      </c>
      <c r="AA390" s="34" t="str">
        <f>IF(Tabella4[[#This Row],[Componente]]="Documenti",VLOOKUP(Tabella4[[#This Row],[URL]],Tabella27[[URL]:[Servizio]],4,FALSE),VLOOKUP(Tabella4[[#This Row],[Page ID]],Tabella1[[Page ID]:[Servizio]],4,FALSE))</f>
        <v>S002 Poste Guidare Sicuri</v>
      </c>
      <c r="AB390" t="s">
        <v>1482</v>
      </c>
      <c r="AC390" s="34" t="str">
        <f>Tabella4[[#This Row],[User Impact]]</f>
        <v>2 - Serious</v>
      </c>
      <c r="AD390" s="34" t="str">
        <f>Copertina!C$2&amp;" - "&amp;Tabella4[[#This Row],[UNI CEI EN 301549]]&amp;" "&amp;VLOOKUP(Tabella4[[#This Row],[Criterio]],Tabella5[[ID]:[Criterio di successo]],2,FALSE)&amp;" - "&amp;Tabella4[[#This Row],[Servizio]]&amp;":"</f>
        <v>Insurance Brocker - 9.2.5.8 Dimensione dell'obiettivo (minimo) - S002 Poste Guidare Sicuri:</v>
      </c>
      <c r="AE39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(#TM0293)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href="#item-posteinsurancebrokerposteinsurancebroker-moduliguidare-sicuri-fase-di-vendita-faq-accordion-cosasiintendepersistemadibonusmalus-6" aria-expanded="false" aria-controls="item-posteinsurancebrokerposteinsurancebroker-moduliguidare-sicuri-fase-di-vendita-faq-accordion-cosasiintendepersistemadibonusmalus-6" title="Cosa si intende per sistema di Bonus Malus?"&gt; con selettore: 
["#heading-item-posteinsurancebrokerposteinsurancebroker-moduliguidare-sicuri-fase-di-vendita-faq-accordion-cosasiintendepersistemadibonusmalus-6-6 &gt; .panel-title &gt; .accordion-toggle.collapsed[role=\"button\"]"]
Dettaglio + screenshot (accedere con le seguenti credenziali: user, axeposte@gmail.com; password, Poste2024!): https://axe.deque.com/issues/51853879-a1ca-476e-9f50-78a209adf740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90" t="e">
        <f>_xlfn.XLOOKUP(Tabella4[[#This Row],[ID Silk]],outTable[ID Silk],outTable[Numero ticket  ],,0,1)</f>
        <v>#N/A</v>
      </c>
    </row>
    <row r="391" spans="1:32">
      <c r="A391" s="34" t="str">
        <f>MID(Tabella4[[#This Row],[Servizio]],1,4)&amp;Tabella4[[#This Row],[UNI CEI EN 301549]]</f>
        <v>S0029.2.5.8</v>
      </c>
      <c r="B391" s="34" t="str">
        <f>Tabella4[[#This Row],[ID Silk]]&amp;"_1"</f>
        <v>S0029.2.5.8_1</v>
      </c>
      <c r="C391" s="34" t="s">
        <v>1736</v>
      </c>
      <c r="D391" s="2" t="str">
        <f>"(#"&amp;Tabella4[[#This Row],['#ID]]&amp;")"</f>
        <v>(#TM0294)</v>
      </c>
      <c r="E391" s="34" t="str">
        <f>IF(MID(Tabella4[[#This Row],['#ID]],1,1)="M","Mobile",IF(MID(Tabella4[[#This Row],['#ID]],1,1)="D","Desktop",IF(MID(Tabella4[[#This Row],['#ID]],1,2)="TM","Manuale","Documenti")))</f>
        <v>Manuale</v>
      </c>
      <c r="F391" s="34" t="s">
        <v>1006</v>
      </c>
      <c r="G391" s="34" t="s">
        <v>372</v>
      </c>
      <c r="H391" s="34" t="str">
        <f>IF(Tabella4[[#This Row],[Componente]]="Documenti","10.","9.")&amp;Tabella4[[#This Row],[Criterio]]</f>
        <v>9.2.5.8</v>
      </c>
      <c r="I391" s="34" t="s">
        <v>1023</v>
      </c>
      <c r="J391" s="34" t="s">
        <v>1032</v>
      </c>
      <c r="K391" s="34" t="s">
        <v>1033</v>
      </c>
      <c r="L391" s="34" t="s">
        <v>1034</v>
      </c>
      <c r="M391" s="34" t="s">
        <v>1035</v>
      </c>
      <c r="N391" t="s">
        <v>1317</v>
      </c>
      <c r="O391" t="s">
        <v>1318</v>
      </c>
      <c r="P391" t="s">
        <v>388</v>
      </c>
      <c r="R391" s="34" t="str">
        <f>IF(Tabella4[[#This Row],[Componente]]="Documenti",_xlfn.XLOOKUP(Tabella4[[#This Row],[URL]],Tabella27[URL],Tabella27[PDF ID],,0),_xlfn.XLOOKUP(Tabella4[[#This Row],[URL]],Tabella1[URL],Tabella1[Page ID],,0))</f>
        <v>#8</v>
      </c>
      <c r="S391" s="34" t="s">
        <v>1004</v>
      </c>
      <c r="T391" t="s">
        <v>518</v>
      </c>
      <c r="V391" t="s">
        <v>519</v>
      </c>
      <c r="W391" s="34" t="s">
        <v>1068</v>
      </c>
      <c r="X39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id="heading-item-posteinsurancebrokerposteinsurancebroker-moduliguidare-sicuri-fase-di-vendita-faq-accordion-possibileassicurarelautodiunfamiliareusufruendodelloscontodedicatoaiclientibancoposta-7-7"&gt;</v>
      </c>
      <c r="Y391" s="34" t="str">
        <f>SUBSTITUTE(IF(Tabella4[[#This Row],[Tool]]="axe-core",MID(Tabella4[[#This Row],[Rejected Element]],3,LEN(Tabella4[[#This Row],[Rejected Element]])-4),Tabella4[[#This Row],[Rejected Element]]),"\","")</f>
        <v>#heading-item-posteinsurancebrokerposteinsurancebroker-moduliguidare-sicuri-fase-di-vendita-faq-accordion-possibileassicurarelautodiunfamiliareusufruendodelloscontodedicatoaiclientibancoposta-7-7</v>
      </c>
      <c r="Z391" s="34">
        <f>COUNTIFS(Tabella4[Detail univoco],Tabella4[[#This Row],[Detail univoco]],Tabella4[Rejected Element Univoco],Tabella4[[#This Row],[Rejected Element Univoco]],Tabella4[ItemsNodeLabel],Tabella4[[#This Row],[ItemsNodeLabel]])</f>
        <v>0</v>
      </c>
      <c r="AA391" s="34" t="str">
        <f>IF(Tabella4[[#This Row],[Componente]]="Documenti",VLOOKUP(Tabella4[[#This Row],[URL]],Tabella27[[URL]:[Servizio]],4,FALSE),VLOOKUP(Tabella4[[#This Row],[Page ID]],Tabella1[[Page ID]:[Servizio]],4,FALSE))</f>
        <v>S002 Poste Guidare Sicuri</v>
      </c>
      <c r="AB391" t="s">
        <v>1483</v>
      </c>
      <c r="AC391" s="34" t="str">
        <f>Tabella4[[#This Row],[User Impact]]</f>
        <v>2 - Serious</v>
      </c>
      <c r="AD391" s="34" t="str">
        <f>Copertina!C$2&amp;" - "&amp;Tabella4[[#This Row],[UNI CEI EN 301549]]&amp;" "&amp;VLOOKUP(Tabella4[[#This Row],[Criterio]],Tabella5[[ID]:[Criterio di successo]],2,FALSE)&amp;" - "&amp;Tabella4[[#This Row],[Servizio]]&amp;":"</f>
        <v>Insurance Brocker - 9.2.5.8 Dimensione dell'obiettivo (minimo) - S002 Poste Guidare Sicuri:</v>
      </c>
      <c r="AE39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(#TM0294)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id="heading-item-posteinsurancebrokerposteinsurancebroker-moduliguidare-sicuri-fase-di-vendita-faq-accordion-possibileassicurarelautodiunfamiliareusufruendodelloscontodedicatoaiclientibancoposta-7-7"&gt; con selettore: 
["#heading-item-posteinsurancebrokerposteinsurancebroker-moduliguidare-sicuri-fase-di-vendita-faq-accordion-possibileassicurarelautodiunfamiliareusufruendodelloscontodedicatoaiclientibancoposta-7-7"]
Dettaglio + screenshot (accedere con le seguenti credenziali: user, axeposte@gmail.com; password, Poste2024!): https://axe.deque.com/issues/7d009237-2475-4a5b-bd3a-97a00037378c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91" t="e">
        <f>_xlfn.XLOOKUP(Tabella4[[#This Row],[ID Silk]],outTable[ID Silk],outTable[Numero ticket  ],,0,1)</f>
        <v>#N/A</v>
      </c>
    </row>
    <row r="392" spans="1:32">
      <c r="A392" s="34" t="str">
        <f>MID(Tabella4[[#This Row],[Servizio]],1,4)&amp;Tabella4[[#This Row],[UNI CEI EN 301549]]</f>
        <v>S0029.2.5.8</v>
      </c>
      <c r="B392" s="34" t="str">
        <f>Tabella4[[#This Row],[ID Silk]]&amp;"_1"</f>
        <v>S0029.2.5.8_1</v>
      </c>
      <c r="C392" s="34" t="s">
        <v>1737</v>
      </c>
      <c r="D392" s="2" t="str">
        <f>"(#"&amp;Tabella4[[#This Row],['#ID]]&amp;")"</f>
        <v>(#TM0295)</v>
      </c>
      <c r="E392" s="34" t="str">
        <f>IF(MID(Tabella4[[#This Row],['#ID]],1,1)="M","Mobile",IF(MID(Tabella4[[#This Row],['#ID]],1,1)="D","Desktop",IF(MID(Tabella4[[#This Row],['#ID]],1,2)="TM","Manuale","Documenti")))</f>
        <v>Manuale</v>
      </c>
      <c r="F392" s="34" t="s">
        <v>1006</v>
      </c>
      <c r="G392" s="34" t="s">
        <v>372</v>
      </c>
      <c r="H392" s="34" t="str">
        <f>IF(Tabella4[[#This Row],[Componente]]="Documenti","10.","9.")&amp;Tabella4[[#This Row],[Criterio]]</f>
        <v>9.2.5.8</v>
      </c>
      <c r="I392" s="34" t="s">
        <v>1023</v>
      </c>
      <c r="J392" s="34" t="s">
        <v>1032</v>
      </c>
      <c r="K392" s="34" t="s">
        <v>1033</v>
      </c>
      <c r="L392" s="34" t="s">
        <v>1034</v>
      </c>
      <c r="M392" s="34" t="s">
        <v>1035</v>
      </c>
      <c r="N392" t="s">
        <v>1484</v>
      </c>
      <c r="O392" t="s">
        <v>1485</v>
      </c>
      <c r="P392" t="s">
        <v>388</v>
      </c>
      <c r="R392" s="34" t="str">
        <f>IF(Tabella4[[#This Row],[Componente]]="Documenti",_xlfn.XLOOKUP(Tabella4[[#This Row],[URL]],Tabella27[URL],Tabella27[PDF ID],,0),_xlfn.XLOOKUP(Tabella4[[#This Row],[URL]],Tabella1[URL],Tabella1[Page ID],,0))</f>
        <v>#8</v>
      </c>
      <c r="S392" s="34" t="s">
        <v>1004</v>
      </c>
      <c r="T392" t="s">
        <v>518</v>
      </c>
      <c r="V392" t="s">
        <v>521</v>
      </c>
      <c r="W392" s="34" t="s">
        <v>1068</v>
      </c>
      <c r="X39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href="#item-posteinsurancebrokerposteinsurancebroker-moduliguidare-sicuri-fase-di-vendita-faq-accordion-possibileassicurarelautodiunfamiliareusufruendodelloscontodedicatoaiclientibancoposta-7" aria-expanded="false" aria-controls="item-posteinsurancebrokerposteinsurancebroker-moduliguidare-sicuri-fase-di-vendita-faq-accordion-possibileassicurarelautodiunfamiliareusufruendodelloscontodedicatoaiclientibancoposta-7" title="È possibile assicurare l’auto di un familiare usufruendo dello sconto dedicato ai clienti Banco Posta?"&gt;</v>
      </c>
      <c r="Y392" s="34" t="str">
        <f>SUBSTITUTE(IF(Tabella4[[#This Row],[Tool]]="axe-core",MID(Tabella4[[#This Row],[Rejected Element]],3,LEN(Tabella4[[#This Row],[Rejected Element]])-4),Tabella4[[#This Row],[Rejected Element]]),"\","")</f>
        <v>#heading-item-posteinsurancebrokerposteinsurancebroker-moduliguidare-sicuri-fase-di-vendita-faq-accordion-possibileassicurarelautodiunfamiliareusufruendodelloscontodedicatoaiclientibancoposta-7-7 &gt; .panel-title &gt; .accordion-toggle.collapsed[role="button"]</v>
      </c>
      <c r="Z392" s="34">
        <f>COUNTIFS(Tabella4[Detail univoco],Tabella4[[#This Row],[Detail univoco]],Tabella4[Rejected Element Univoco],Tabella4[[#This Row],[Rejected Element Univoco]],Tabella4[ItemsNodeLabel],Tabella4[[#This Row],[ItemsNodeLabel]])</f>
        <v>0</v>
      </c>
      <c r="AA392" s="34" t="str">
        <f>IF(Tabella4[[#This Row],[Componente]]="Documenti",VLOOKUP(Tabella4[[#This Row],[URL]],Tabella27[[URL]:[Servizio]],4,FALSE),VLOOKUP(Tabella4[[#This Row],[Page ID]],Tabella1[[Page ID]:[Servizio]],4,FALSE))</f>
        <v>S002 Poste Guidare Sicuri</v>
      </c>
      <c r="AB392" t="s">
        <v>1486</v>
      </c>
      <c r="AC392" s="34" t="str">
        <f>Tabella4[[#This Row],[User Impact]]</f>
        <v>2 - Serious</v>
      </c>
      <c r="AD392" s="34" t="str">
        <f>Copertina!C$2&amp;" - "&amp;Tabella4[[#This Row],[UNI CEI EN 301549]]&amp;" "&amp;VLOOKUP(Tabella4[[#This Row],[Criterio]],Tabella5[[ID]:[Criterio di successo]],2,FALSE)&amp;" - "&amp;Tabella4[[#This Row],[Servizio]]&amp;":"</f>
        <v>Insurance Brocker - 9.2.5.8 Dimensione dell'obiettivo (minimo) - S002 Poste Guidare Sicuri:</v>
      </c>
      <c r="AE39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(#TM0295)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href="#item-posteinsurancebrokerposteinsurancebroker-moduliguidare-sicuri-fase-di-vendita-faq-accordion-possibileassicurarelautodiunfamiliareusufruendodelloscontodedicatoaiclientibancoposta-7" aria-expanded="false" aria-controls="item-posteinsurancebrokerposteinsurancebroker-moduliguidare-sicuri-fase-di-vendita-faq-accordion-possibileassicurarelautodiunfamiliareusufruendodelloscontodedicatoaiclientibancoposta-7" title="È possibile assicurare l’auto di un familiare usufruendo dello sconto dedicato ai clienti Banco Posta?"&gt; con selettore: 
["#heading-item-posteinsurancebrokerposteinsurancebroker-moduliguidare-sicuri-fase-di-vendita-faq-accordion-possibileassicurarelautodiunfamiliareusufruendodelloscontodedicatoaiclientibancoposta-7-7 &gt; .panel-title &gt; .accordion-toggle.collapsed[role=\"button\"]"]
Dettaglio + screenshot (accedere con le seguenti credenziali: user, axeposte@gmail.com; password, Poste2024!): https://axe.deque.com/issues/8e0a6348-42e8-4011-b28c-6177dc1fe31e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92" t="e">
        <f>_xlfn.XLOOKUP(Tabella4[[#This Row],[ID Silk]],outTable[ID Silk],outTable[Numero ticket  ],,0,1)</f>
        <v>#N/A</v>
      </c>
    </row>
    <row r="393" spans="1:32">
      <c r="A393" s="34" t="str">
        <f>MID(Tabella4[[#This Row],[Servizio]],1,4)&amp;Tabella4[[#This Row],[UNI CEI EN 301549]]</f>
        <v>S0029.2.5.8</v>
      </c>
      <c r="B393" s="34" t="str">
        <f>Tabella4[[#This Row],[ID Silk]]&amp;"_1"</f>
        <v>S0029.2.5.8_1</v>
      </c>
      <c r="C393" s="34" t="s">
        <v>1738</v>
      </c>
      <c r="D393" s="2" t="str">
        <f>"(#"&amp;Tabella4[[#This Row],['#ID]]&amp;")"</f>
        <v>(#TM0296)</v>
      </c>
      <c r="E393" s="34" t="str">
        <f>IF(MID(Tabella4[[#This Row],['#ID]],1,1)="M","Mobile",IF(MID(Tabella4[[#This Row],['#ID]],1,1)="D","Desktop",IF(MID(Tabella4[[#This Row],['#ID]],1,2)="TM","Manuale","Documenti")))</f>
        <v>Manuale</v>
      </c>
      <c r="F393" s="34" t="s">
        <v>1006</v>
      </c>
      <c r="G393" s="34" t="s">
        <v>372</v>
      </c>
      <c r="H393" s="34" t="str">
        <f>IF(Tabella4[[#This Row],[Componente]]="Documenti","10.","9.")&amp;Tabella4[[#This Row],[Criterio]]</f>
        <v>9.2.5.8</v>
      </c>
      <c r="I393" s="34" t="s">
        <v>1023</v>
      </c>
      <c r="J393" s="34" t="s">
        <v>1032</v>
      </c>
      <c r="K393" s="34" t="s">
        <v>1033</v>
      </c>
      <c r="L393" s="34" t="s">
        <v>1034</v>
      </c>
      <c r="M393" s="34" t="s">
        <v>1035</v>
      </c>
      <c r="N393" t="s">
        <v>1320</v>
      </c>
      <c r="O393" t="s">
        <v>1321</v>
      </c>
      <c r="P393" t="s">
        <v>388</v>
      </c>
      <c r="R393" s="34" t="str">
        <f>IF(Tabella4[[#This Row],[Componente]]="Documenti",_xlfn.XLOOKUP(Tabella4[[#This Row],[URL]],Tabella27[URL],Tabella27[PDF ID],,0),_xlfn.XLOOKUP(Tabella4[[#This Row],[URL]],Tabella1[URL],Tabella1[Page ID],,0))</f>
        <v>#8</v>
      </c>
      <c r="S393" s="34" t="s">
        <v>1004</v>
      </c>
      <c r="T393" t="s">
        <v>518</v>
      </c>
      <c r="V393" t="s">
        <v>519</v>
      </c>
      <c r="W393" s="34" t="s">
        <v>1068</v>
      </c>
      <c r="X39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id="heading-item-posteinsurancebrokerposteinsurancebroker-moduliguidare-sicuri-fase-di-vendita-faq-accordion-possibileutilizzarelattestatodirischiodiunveicolovendutodemolitorottamatoesportatoallesterorubatopostoincontovendita-8-8"&gt;</v>
      </c>
      <c r="Y393" s="34" t="str">
        <f>SUBSTITUTE(IF(Tabella4[[#This Row],[Tool]]="axe-core",MID(Tabella4[[#This Row],[Rejected Element]],3,LEN(Tabella4[[#This Row],[Rejected Element]])-4),Tabella4[[#This Row],[Rejected Element]]),"\","")</f>
        <v>#heading-item-posteinsurancebrokerposteinsurancebroker-moduliguidare-sicuri-fase-di-vendita-faq-accordion-possibileutilizzarelattestatodirischiodiunveicolovendutodemolitorottamatoesportatoallesterorubatopostoincontovendita-8-8</v>
      </c>
      <c r="Z393" s="34">
        <f>COUNTIFS(Tabella4[Detail univoco],Tabella4[[#This Row],[Detail univoco]],Tabella4[Rejected Element Univoco],Tabella4[[#This Row],[Rejected Element Univoco]],Tabella4[ItemsNodeLabel],Tabella4[[#This Row],[ItemsNodeLabel]])</f>
        <v>0</v>
      </c>
      <c r="AA393" s="34" t="str">
        <f>IF(Tabella4[[#This Row],[Componente]]="Documenti",VLOOKUP(Tabella4[[#This Row],[URL]],Tabella27[[URL]:[Servizio]],4,FALSE),VLOOKUP(Tabella4[[#This Row],[Page ID]],Tabella1[[Page ID]:[Servizio]],4,FALSE))</f>
        <v>S002 Poste Guidare Sicuri</v>
      </c>
      <c r="AB393" t="s">
        <v>1487</v>
      </c>
      <c r="AC393" s="34" t="str">
        <f>Tabella4[[#This Row],[User Impact]]</f>
        <v>2 - Serious</v>
      </c>
      <c r="AD393" s="34" t="str">
        <f>Copertina!C$2&amp;" - "&amp;Tabella4[[#This Row],[UNI CEI EN 301549]]&amp;" "&amp;VLOOKUP(Tabella4[[#This Row],[Criterio]],Tabella5[[ID]:[Criterio di successo]],2,FALSE)&amp;" - "&amp;Tabella4[[#This Row],[Servizio]]&amp;":"</f>
        <v>Insurance Brocker - 9.2.5.8 Dimensione dell'obiettivo (minimo) - S002 Poste Guidare Sicuri:</v>
      </c>
      <c r="AE39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(#TM0296)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id="heading-item-posteinsurancebrokerposteinsurancebroker-moduliguidare-sicuri-fase-di-vendita-faq-accordion-possibileutilizzarelattestatodirischiodiunveicolovendutodemolitorottamatoesportatoallesterorubatopostoincontovendita-8-8"&gt; con selettore: 
["#heading-item-posteinsurancebrokerposteinsurancebroker-moduliguidare-sicuri-fase-di-vendita-faq-accordion-possibileutilizzarelattestatodirischiodiunveicolovendutodemolitorottamatoesportatoallesterorubatopostoincontovendita-8-8"]
Dettaglio + screenshot (accedere con le seguenti credenziali: user, axeposte@gmail.com; password, Poste2024!): https://axe.deque.com/issues/cb58eb5d-37c3-42d9-bcf3-96cdd372a141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93" t="e">
        <f>_xlfn.XLOOKUP(Tabella4[[#This Row],[ID Silk]],outTable[ID Silk],outTable[Numero ticket  ],,0,1)</f>
        <v>#N/A</v>
      </c>
    </row>
    <row r="394" spans="1:32">
      <c r="A394" s="34" t="str">
        <f>MID(Tabella4[[#This Row],[Servizio]],1,4)&amp;Tabella4[[#This Row],[UNI CEI EN 301549]]</f>
        <v>S0029.2.5.8</v>
      </c>
      <c r="B394" s="34" t="str">
        <f>Tabella4[[#This Row],[ID Silk]]&amp;"_1"</f>
        <v>S0029.2.5.8_1</v>
      </c>
      <c r="C394" s="34" t="s">
        <v>1739</v>
      </c>
      <c r="D394" s="2" t="str">
        <f>"(#"&amp;Tabella4[[#This Row],['#ID]]&amp;")"</f>
        <v>(#TM0297)</v>
      </c>
      <c r="E394" s="34" t="str">
        <f>IF(MID(Tabella4[[#This Row],['#ID]],1,1)="M","Mobile",IF(MID(Tabella4[[#This Row],['#ID]],1,1)="D","Desktop",IF(MID(Tabella4[[#This Row],['#ID]],1,2)="TM","Manuale","Documenti")))</f>
        <v>Manuale</v>
      </c>
      <c r="F394" s="34" t="s">
        <v>1006</v>
      </c>
      <c r="G394" s="34" t="s">
        <v>372</v>
      </c>
      <c r="H394" s="34" t="str">
        <f>IF(Tabella4[[#This Row],[Componente]]="Documenti","10.","9.")&amp;Tabella4[[#This Row],[Criterio]]</f>
        <v>9.2.5.8</v>
      </c>
      <c r="I394" s="34" t="s">
        <v>1023</v>
      </c>
      <c r="J394" s="34" t="s">
        <v>1032</v>
      </c>
      <c r="K394" s="34" t="s">
        <v>1033</v>
      </c>
      <c r="L394" s="34" t="s">
        <v>1034</v>
      </c>
      <c r="M394" s="34" t="s">
        <v>1035</v>
      </c>
      <c r="N394" t="s">
        <v>1488</v>
      </c>
      <c r="O394" t="s">
        <v>1489</v>
      </c>
      <c r="P394" t="s">
        <v>388</v>
      </c>
      <c r="R394" s="34" t="str">
        <f>IF(Tabella4[[#This Row],[Componente]]="Documenti",_xlfn.XLOOKUP(Tabella4[[#This Row],[URL]],Tabella27[URL],Tabella27[PDF ID],,0),_xlfn.XLOOKUP(Tabella4[[#This Row],[URL]],Tabella1[URL],Tabella1[Page ID],,0))</f>
        <v>#8</v>
      </c>
      <c r="S394" s="34" t="s">
        <v>1004</v>
      </c>
      <c r="T394" t="s">
        <v>518</v>
      </c>
      <c r="V394" t="s">
        <v>521</v>
      </c>
      <c r="W394" s="34" t="s">
        <v>1068</v>
      </c>
      <c r="X39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href="#item-posteinsurancebrokerposteinsurancebroker-moduliguidare-sicuri-fase-di-vendita-faq-accordion-possibileutilizzarelattestatodirischiodiunveicolovendutodemolitorottamatoesportatoallesterorubatopostoincontovendita-8" aria-expanded="false" aria-controls="item-posteinsurancebrokerposteinsurancebroker-moduliguidare-sicuri-fase-di-vendita-faq-accordion-possibileutilizzarelattestatodirischiodiunveicolovendutodemolitorottamatoesportatoallesterorubatopostoincontovendita-8" title="È possibile utilizzare l’attestato di rischio di un veicolo venduto / demolito / rottamato / esportato all’estero / rubato / posto in conto vendita?"&gt;</v>
      </c>
      <c r="Y394" s="34" t="str">
        <f>SUBSTITUTE(IF(Tabella4[[#This Row],[Tool]]="axe-core",MID(Tabella4[[#This Row],[Rejected Element]],3,LEN(Tabella4[[#This Row],[Rejected Element]])-4),Tabella4[[#This Row],[Rejected Element]]),"\","")</f>
        <v>#heading-item-posteinsurancebrokerposteinsurancebroker-moduliguidare-sicuri-fase-di-vendita-faq-accordion-possibileutilizzarelattestatodirischiodiunveicolovendutodemolitorottamatoesportatoallesterorubatopostoincontovendita-8-8 &gt; .panel-title &gt; .accordion-toggle.collapsed[role="button"]</v>
      </c>
      <c r="Z394" s="34">
        <f>COUNTIFS(Tabella4[Detail univoco],Tabella4[[#This Row],[Detail univoco]],Tabella4[Rejected Element Univoco],Tabella4[[#This Row],[Rejected Element Univoco]],Tabella4[ItemsNodeLabel],Tabella4[[#This Row],[ItemsNodeLabel]])</f>
        <v>0</v>
      </c>
      <c r="AA394" s="34" t="str">
        <f>IF(Tabella4[[#This Row],[Componente]]="Documenti",VLOOKUP(Tabella4[[#This Row],[URL]],Tabella27[[URL]:[Servizio]],4,FALSE),VLOOKUP(Tabella4[[#This Row],[Page ID]],Tabella1[[Page ID]:[Servizio]],4,FALSE))</f>
        <v>S002 Poste Guidare Sicuri</v>
      </c>
      <c r="AB394" t="s">
        <v>1490</v>
      </c>
      <c r="AC394" s="34" t="str">
        <f>Tabella4[[#This Row],[User Impact]]</f>
        <v>2 - Serious</v>
      </c>
      <c r="AD394" s="34" t="str">
        <f>Copertina!C$2&amp;" - "&amp;Tabella4[[#This Row],[UNI CEI EN 301549]]&amp;" "&amp;VLOOKUP(Tabella4[[#This Row],[Criterio]],Tabella5[[ID]:[Criterio di successo]],2,FALSE)&amp;" - "&amp;Tabella4[[#This Row],[Servizio]]&amp;":"</f>
        <v>Insurance Brocker - 9.2.5.8 Dimensione dell'obiettivo (minimo) - S002 Poste Guidare Sicuri:</v>
      </c>
      <c r="AE39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(#TM0297)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href="#item-posteinsurancebrokerposteinsurancebroker-moduliguidare-sicuri-fase-di-vendita-faq-accordion-possibileutilizzarelattestatodirischiodiunveicolovendutodemolitorottamatoesportatoallesterorubatopostoincontovendita-8" aria-expanded="false" aria-controls="item-posteinsurancebrokerposteinsurancebroker-moduliguidare-sicuri-fase-di-vendita-faq-accordion-possibileutilizzarelattestatodirischiodiunveicolovendutodemolitorottamatoesportatoallesterorubatopostoincontovendita-8" title="È possibile utilizzare l’attestato di rischio di un veicolo venduto / demolito / rottamato / esportato all’estero / rubato / posto in conto vendita?"&gt; con selettore: 
["#heading-item-posteinsurancebrokerposteinsurancebroker-moduliguidare-sicuri-fase-di-vendita-faq-accordion-possibileutilizzarelattestatodirischiodiunveicolovendutodemolitorottamatoesportatoallesterorubatopostoincontovendita-8-8 &gt; .panel-title &gt; .accordion-toggle.collapsed[role=\"button\"]"]
Dettaglio + screenshot (accedere con le seguenti credenziali: user, axeposte@gmail.com; password, Poste2024!): https://axe.deque.com/issues/0b090d35-2c5c-406f-b47b-3c860c362d34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94" t="e">
        <f>_xlfn.XLOOKUP(Tabella4[[#This Row],[ID Silk]],outTable[ID Silk],outTable[Numero ticket  ],,0,1)</f>
        <v>#N/A</v>
      </c>
    </row>
    <row r="395" spans="1:32">
      <c r="A395" s="34" t="str">
        <f>MID(Tabella4[[#This Row],[Servizio]],1,4)&amp;Tabella4[[#This Row],[UNI CEI EN 301549]]</f>
        <v>S0029.2.5.8</v>
      </c>
      <c r="B395" s="34" t="str">
        <f>Tabella4[[#This Row],[ID Silk]]&amp;"_1"</f>
        <v>S0029.2.5.8_1</v>
      </c>
      <c r="C395" s="34" t="s">
        <v>1740</v>
      </c>
      <c r="D395" s="2" t="str">
        <f>"(#"&amp;Tabella4[[#This Row],['#ID]]&amp;")"</f>
        <v>(#TM0298)</v>
      </c>
      <c r="E395" s="34" t="str">
        <f>IF(MID(Tabella4[[#This Row],['#ID]],1,1)="M","Mobile",IF(MID(Tabella4[[#This Row],['#ID]],1,1)="D","Desktop",IF(MID(Tabella4[[#This Row],['#ID]],1,2)="TM","Manuale","Documenti")))</f>
        <v>Manuale</v>
      </c>
      <c r="F395" s="34" t="s">
        <v>1006</v>
      </c>
      <c r="G395" s="34" t="s">
        <v>372</v>
      </c>
      <c r="H395" s="34" t="str">
        <f>IF(Tabella4[[#This Row],[Componente]]="Documenti","10.","9.")&amp;Tabella4[[#This Row],[Criterio]]</f>
        <v>9.2.5.8</v>
      </c>
      <c r="I395" s="34" t="s">
        <v>1023</v>
      </c>
      <c r="J395" s="34" t="s">
        <v>1032</v>
      </c>
      <c r="K395" s="34" t="s">
        <v>1033</v>
      </c>
      <c r="L395" s="34" t="s">
        <v>1034</v>
      </c>
      <c r="M395" s="34" t="s">
        <v>1035</v>
      </c>
      <c r="N395" t="s">
        <v>1323</v>
      </c>
      <c r="O395" t="s">
        <v>1324</v>
      </c>
      <c r="P395" t="s">
        <v>388</v>
      </c>
      <c r="R395" s="34" t="str">
        <f>IF(Tabella4[[#This Row],[Componente]]="Documenti",_xlfn.XLOOKUP(Tabella4[[#This Row],[URL]],Tabella27[URL],Tabella27[PDF ID],,0),_xlfn.XLOOKUP(Tabella4[[#This Row],[URL]],Tabella1[URL],Tabella1[Page ID],,0))</f>
        <v>#8</v>
      </c>
      <c r="S395" s="34" t="s">
        <v>1004</v>
      </c>
      <c r="T395" t="s">
        <v>518</v>
      </c>
      <c r="V395" t="s">
        <v>519</v>
      </c>
      <c r="W395" s="34" t="s">
        <v>1068</v>
      </c>
      <c r="X39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id="heading-item-posteinsurancebrokerposteinsurancebroker-moduliguidare-sicuri-fase-di-vendita-faq-accordion-possoutilizzarelattestatodirischiodiunmiofamiliare-9-9"&gt;</v>
      </c>
      <c r="Y395" s="34" t="str">
        <f>SUBSTITUTE(IF(Tabella4[[#This Row],[Tool]]="axe-core",MID(Tabella4[[#This Row],[Rejected Element]],3,LEN(Tabella4[[#This Row],[Rejected Element]])-4),Tabella4[[#This Row],[Rejected Element]]),"\","")</f>
        <v>#heading-item-posteinsurancebrokerposteinsurancebroker-moduliguidare-sicuri-fase-di-vendita-faq-accordion-possoutilizzarelattestatodirischiodiunmiofamiliare-9-9</v>
      </c>
      <c r="Z395" s="34">
        <f>COUNTIFS(Tabella4[Detail univoco],Tabella4[[#This Row],[Detail univoco]],Tabella4[Rejected Element Univoco],Tabella4[[#This Row],[Rejected Element Univoco]],Tabella4[ItemsNodeLabel],Tabella4[[#This Row],[ItemsNodeLabel]])</f>
        <v>0</v>
      </c>
      <c r="AA395" s="34" t="str">
        <f>IF(Tabella4[[#This Row],[Componente]]="Documenti",VLOOKUP(Tabella4[[#This Row],[URL]],Tabella27[[URL]:[Servizio]],4,FALSE),VLOOKUP(Tabella4[[#This Row],[Page ID]],Tabella1[[Page ID]:[Servizio]],4,FALSE))</f>
        <v>S002 Poste Guidare Sicuri</v>
      </c>
      <c r="AB395" t="s">
        <v>1491</v>
      </c>
      <c r="AC395" s="34" t="str">
        <f>Tabella4[[#This Row],[User Impact]]</f>
        <v>2 - Serious</v>
      </c>
      <c r="AD395" s="34" t="str">
        <f>Copertina!C$2&amp;" - "&amp;Tabella4[[#This Row],[UNI CEI EN 301549]]&amp;" "&amp;VLOOKUP(Tabella4[[#This Row],[Criterio]],Tabella5[[ID]:[Criterio di successo]],2,FALSE)&amp;" - "&amp;Tabella4[[#This Row],[Servizio]]&amp;":"</f>
        <v>Insurance Brocker - 9.2.5.8 Dimensione dell'obiettivo (minimo) - S002 Poste Guidare Sicuri:</v>
      </c>
      <c r="AE39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(#TM0298)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id="heading-item-posteinsurancebrokerposteinsurancebroker-moduliguidare-sicuri-fase-di-vendita-faq-accordion-possoutilizzarelattestatodirischiodiunmiofamiliare-9-9"&gt; con selettore: 
["#heading-item-posteinsurancebrokerposteinsurancebroker-moduliguidare-sicuri-fase-di-vendita-faq-accordion-possoutilizzarelattestatodirischiodiunmiofamiliare-9-9"]
Dettaglio + screenshot (accedere con le seguenti credenziali: user, axeposte@gmail.com; password, Poste2024!): https://axe.deque.com/issues/2c230e74-80b1-42ce-9253-6af5699b8e21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95" t="e">
        <f>_xlfn.XLOOKUP(Tabella4[[#This Row],[ID Silk]],outTable[ID Silk],outTable[Numero ticket  ],,0,1)</f>
        <v>#N/A</v>
      </c>
    </row>
    <row r="396" spans="1:32">
      <c r="A396" s="34" t="str">
        <f>MID(Tabella4[[#This Row],[Servizio]],1,4)&amp;Tabella4[[#This Row],[UNI CEI EN 301549]]</f>
        <v>S0029.2.5.8</v>
      </c>
      <c r="B396" s="34" t="str">
        <f>Tabella4[[#This Row],[ID Silk]]&amp;"_1"</f>
        <v>S0029.2.5.8_1</v>
      </c>
      <c r="C396" s="34" t="s">
        <v>1741</v>
      </c>
      <c r="D396" s="2" t="str">
        <f>"(#"&amp;Tabella4[[#This Row],['#ID]]&amp;")"</f>
        <v>(#TM0299)</v>
      </c>
      <c r="E396" s="34" t="str">
        <f>IF(MID(Tabella4[[#This Row],['#ID]],1,1)="M","Mobile",IF(MID(Tabella4[[#This Row],['#ID]],1,1)="D","Desktop",IF(MID(Tabella4[[#This Row],['#ID]],1,2)="TM","Manuale","Documenti")))</f>
        <v>Manuale</v>
      </c>
      <c r="F396" s="34" t="s">
        <v>1006</v>
      </c>
      <c r="G396" s="34" t="s">
        <v>372</v>
      </c>
      <c r="H396" s="34" t="str">
        <f>IF(Tabella4[[#This Row],[Componente]]="Documenti","10.","9.")&amp;Tabella4[[#This Row],[Criterio]]</f>
        <v>9.2.5.8</v>
      </c>
      <c r="I396" s="34" t="s">
        <v>1023</v>
      </c>
      <c r="J396" s="34" t="s">
        <v>1032</v>
      </c>
      <c r="K396" s="34" t="s">
        <v>1033</v>
      </c>
      <c r="L396" s="34" t="s">
        <v>1034</v>
      </c>
      <c r="M396" s="34" t="s">
        <v>1035</v>
      </c>
      <c r="N396" t="s">
        <v>1492</v>
      </c>
      <c r="O396" t="s">
        <v>1493</v>
      </c>
      <c r="P396" t="s">
        <v>388</v>
      </c>
      <c r="R396" s="34" t="str">
        <f>IF(Tabella4[[#This Row],[Componente]]="Documenti",_xlfn.XLOOKUP(Tabella4[[#This Row],[URL]],Tabella27[URL],Tabella27[PDF ID],,0),_xlfn.XLOOKUP(Tabella4[[#This Row],[URL]],Tabella1[URL],Tabella1[Page ID],,0))</f>
        <v>#8</v>
      </c>
      <c r="S396" s="34" t="s">
        <v>1004</v>
      </c>
      <c r="T396" t="s">
        <v>518</v>
      </c>
      <c r="V396" t="s">
        <v>521</v>
      </c>
      <c r="W396" s="34" t="s">
        <v>1068</v>
      </c>
      <c r="X39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href="#item-posteinsurancebrokerposteinsurancebroker-moduliguidare-sicuri-fase-di-vendita-faq-accordion-possoutilizzarelattestatodirischiodiunmiofamiliare-9" aria-expanded="false" aria-controls="item-posteinsurancebrokerposteinsurancebroker-moduliguidare-sicuri-fase-di-vendita-faq-accordion-possoutilizzarelattestatodirischiodiunmiofamiliare-9" title="Posso utilizzare l’attestato di rischio di un mio familiare?"&gt;</v>
      </c>
      <c r="Y396" s="34" t="str">
        <f>SUBSTITUTE(IF(Tabella4[[#This Row],[Tool]]="axe-core",MID(Tabella4[[#This Row],[Rejected Element]],3,LEN(Tabella4[[#This Row],[Rejected Element]])-4),Tabella4[[#This Row],[Rejected Element]]),"\","")</f>
        <v>#heading-item-posteinsurancebrokerposteinsurancebroker-moduliguidare-sicuri-fase-di-vendita-faq-accordion-possoutilizzarelattestatodirischiodiunmiofamiliare-9-9 &gt; .panel-title &gt; .accordion-toggle.collapsed[role="button"]</v>
      </c>
      <c r="Z396" s="34">
        <f>COUNTIFS(Tabella4[Detail univoco],Tabella4[[#This Row],[Detail univoco]],Tabella4[Rejected Element Univoco],Tabella4[[#This Row],[Rejected Element Univoco]],Tabella4[ItemsNodeLabel],Tabella4[[#This Row],[ItemsNodeLabel]])</f>
        <v>0</v>
      </c>
      <c r="AA396" s="34" t="str">
        <f>IF(Tabella4[[#This Row],[Componente]]="Documenti",VLOOKUP(Tabella4[[#This Row],[URL]],Tabella27[[URL]:[Servizio]],4,FALSE),VLOOKUP(Tabella4[[#This Row],[Page ID]],Tabella1[[Page ID]:[Servizio]],4,FALSE))</f>
        <v>S002 Poste Guidare Sicuri</v>
      </c>
      <c r="AB396" t="s">
        <v>1494</v>
      </c>
      <c r="AC396" s="34" t="str">
        <f>Tabella4[[#This Row],[User Impact]]</f>
        <v>2 - Serious</v>
      </c>
      <c r="AD396" s="34" t="str">
        <f>Copertina!C$2&amp;" - "&amp;Tabella4[[#This Row],[UNI CEI EN 301549]]&amp;" "&amp;VLOOKUP(Tabella4[[#This Row],[Criterio]],Tabella5[[ID]:[Criterio di successo]],2,FALSE)&amp;" - "&amp;Tabella4[[#This Row],[Servizio]]&amp;":"</f>
        <v>Insurance Brocker - 9.2.5.8 Dimensione dell'obiettivo (minimo) - S002 Poste Guidare Sicuri:</v>
      </c>
      <c r="AE39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(#TM0299)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href="#item-posteinsurancebrokerposteinsurancebroker-moduliguidare-sicuri-fase-di-vendita-faq-accordion-possoutilizzarelattestatodirischiodiunmiofamiliare-9" aria-expanded="false" aria-controls="item-posteinsurancebrokerposteinsurancebroker-moduliguidare-sicuri-fase-di-vendita-faq-accordion-possoutilizzarelattestatodirischiodiunmiofamiliare-9" title="Posso utilizzare l’attestato di rischio di un mio familiare?"&gt; con selettore: 
["#heading-item-posteinsurancebrokerposteinsurancebroker-moduliguidare-sicuri-fase-di-vendita-faq-accordion-possoutilizzarelattestatodirischiodiunmiofamiliare-9-9 &gt; .panel-title &gt; .accordion-toggle.collapsed[role=\"button\"]"]
Dettaglio + screenshot (accedere con le seguenti credenziali: user, axeposte@gmail.com; password, Poste2024!): https://axe.deque.com/issues/f4eaef23-09d5-4138-b810-eb07d0846cba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96" t="e">
        <f>_xlfn.XLOOKUP(Tabella4[[#This Row],[ID Silk]],outTable[ID Silk],outTable[Numero ticket  ],,0,1)</f>
        <v>#N/A</v>
      </c>
    </row>
    <row r="397" spans="1:32">
      <c r="A397" s="34" t="str">
        <f>MID(Tabella4[[#This Row],[Servizio]],1,4)&amp;Tabella4[[#This Row],[UNI CEI EN 301549]]</f>
        <v>S0029.2.5.8</v>
      </c>
      <c r="B397" s="34" t="str">
        <f>Tabella4[[#This Row],[ID Silk]]&amp;"_1"</f>
        <v>S0029.2.5.8_1</v>
      </c>
      <c r="C397" s="34" t="s">
        <v>1742</v>
      </c>
      <c r="D397" s="2" t="str">
        <f>"(#"&amp;Tabella4[[#This Row],['#ID]]&amp;")"</f>
        <v>(#TM0300)</v>
      </c>
      <c r="E397" s="34" t="str">
        <f>IF(MID(Tabella4[[#This Row],['#ID]],1,1)="M","Mobile",IF(MID(Tabella4[[#This Row],['#ID]],1,1)="D","Desktop",IF(MID(Tabella4[[#This Row],['#ID]],1,2)="TM","Manuale","Documenti")))</f>
        <v>Manuale</v>
      </c>
      <c r="F397" s="34" t="s">
        <v>1006</v>
      </c>
      <c r="G397" s="34" t="s">
        <v>372</v>
      </c>
      <c r="H397" s="34" t="str">
        <f>IF(Tabella4[[#This Row],[Componente]]="Documenti","10.","9.")&amp;Tabella4[[#This Row],[Criterio]]</f>
        <v>9.2.5.8</v>
      </c>
      <c r="I397" s="34" t="s">
        <v>1023</v>
      </c>
      <c r="J397" s="34" t="s">
        <v>1032</v>
      </c>
      <c r="K397" s="34" t="s">
        <v>1033</v>
      </c>
      <c r="L397" s="34" t="s">
        <v>1034</v>
      </c>
      <c r="M397" s="34" t="s">
        <v>1035</v>
      </c>
      <c r="N397" t="s">
        <v>1326</v>
      </c>
      <c r="O397" t="s">
        <v>1327</v>
      </c>
      <c r="P397" t="s">
        <v>388</v>
      </c>
      <c r="R397" s="34" t="str">
        <f>IF(Tabella4[[#This Row],[Componente]]="Documenti",_xlfn.XLOOKUP(Tabella4[[#This Row],[URL]],Tabella27[URL],Tabella27[PDF ID],,0),_xlfn.XLOOKUP(Tabella4[[#This Row],[URL]],Tabella1[URL],Tabella1[Page ID],,0))</f>
        <v>#8</v>
      </c>
      <c r="S397" s="34" t="s">
        <v>1004</v>
      </c>
      <c r="T397" t="s">
        <v>518</v>
      </c>
      <c r="V397" t="s">
        <v>519</v>
      </c>
      <c r="W397" s="34" t="s">
        <v>1068</v>
      </c>
      <c r="X39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id="heading-item-posteinsurancebrokerposteinsurancebroker-moduliguidare-sicuri-fase-di-vendita-faq-accordion-possibileassicurareunveicolodiversodallauto-10-10"&gt;</v>
      </c>
      <c r="Y397" s="34" t="str">
        <f>SUBSTITUTE(IF(Tabella4[[#This Row],[Tool]]="axe-core",MID(Tabella4[[#This Row],[Rejected Element]],3,LEN(Tabella4[[#This Row],[Rejected Element]])-4),Tabella4[[#This Row],[Rejected Element]]),"\","")</f>
        <v>#heading-item-posteinsurancebrokerposteinsurancebroker-moduliguidare-sicuri-fase-di-vendita-faq-accordion-possibileassicurareunveicolodiversodallauto-10-10</v>
      </c>
      <c r="Z397" s="34">
        <f>COUNTIFS(Tabella4[Detail univoco],Tabella4[[#This Row],[Detail univoco]],Tabella4[Rejected Element Univoco],Tabella4[[#This Row],[Rejected Element Univoco]],Tabella4[ItemsNodeLabel],Tabella4[[#This Row],[ItemsNodeLabel]])</f>
        <v>0</v>
      </c>
      <c r="AA397" s="34" t="str">
        <f>IF(Tabella4[[#This Row],[Componente]]="Documenti",VLOOKUP(Tabella4[[#This Row],[URL]],Tabella27[[URL]:[Servizio]],4,FALSE),VLOOKUP(Tabella4[[#This Row],[Page ID]],Tabella1[[Page ID]:[Servizio]],4,FALSE))</f>
        <v>S002 Poste Guidare Sicuri</v>
      </c>
      <c r="AB397" t="s">
        <v>1495</v>
      </c>
      <c r="AC397" s="34" t="str">
        <f>Tabella4[[#This Row],[User Impact]]</f>
        <v>2 - Serious</v>
      </c>
      <c r="AD397" s="34" t="str">
        <f>Copertina!C$2&amp;" - "&amp;Tabella4[[#This Row],[UNI CEI EN 301549]]&amp;" "&amp;VLOOKUP(Tabella4[[#This Row],[Criterio]],Tabella5[[ID]:[Criterio di successo]],2,FALSE)&amp;" - "&amp;Tabella4[[#This Row],[Servizio]]&amp;":"</f>
        <v>Insurance Brocker - 9.2.5.8 Dimensione dell'obiettivo (minimo) - S002 Poste Guidare Sicuri:</v>
      </c>
      <c r="AE39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(#TM0300)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id="heading-item-posteinsurancebrokerposteinsurancebroker-moduliguidare-sicuri-fase-di-vendita-faq-accordion-possibileassicurareunveicolodiversodallauto-10-10"&gt; con selettore: 
["#heading-item-posteinsurancebrokerposteinsurancebroker-moduliguidare-sicuri-fase-di-vendita-faq-accordion-possibileassicurareunveicolodiversodallauto-10-10"]
Dettaglio + screenshot (accedere con le seguenti credenziali: user, axeposte@gmail.com; password, Poste2024!): https://axe.deque.com/issues/e3e9d4ab-d8ca-4ee9-a46e-53b7e794fc68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97" t="e">
        <f>_xlfn.XLOOKUP(Tabella4[[#This Row],[ID Silk]],outTable[ID Silk],outTable[Numero ticket  ],,0,1)</f>
        <v>#N/A</v>
      </c>
    </row>
    <row r="398" spans="1:32">
      <c r="A398" s="34" t="str">
        <f>MID(Tabella4[[#This Row],[Servizio]],1,4)&amp;Tabella4[[#This Row],[UNI CEI EN 301549]]</f>
        <v>S0029.2.5.8</v>
      </c>
      <c r="B398" s="34" t="str">
        <f>Tabella4[[#This Row],[ID Silk]]&amp;"_1"</f>
        <v>S0029.2.5.8_1</v>
      </c>
      <c r="C398" s="34" t="s">
        <v>1743</v>
      </c>
      <c r="D398" s="2" t="str">
        <f>"(#"&amp;Tabella4[[#This Row],['#ID]]&amp;")"</f>
        <v>(#TM0301)</v>
      </c>
      <c r="E398" s="34" t="str">
        <f>IF(MID(Tabella4[[#This Row],['#ID]],1,1)="M","Mobile",IF(MID(Tabella4[[#This Row],['#ID]],1,1)="D","Desktop",IF(MID(Tabella4[[#This Row],['#ID]],1,2)="TM","Manuale","Documenti")))</f>
        <v>Manuale</v>
      </c>
      <c r="F398" s="34" t="s">
        <v>1006</v>
      </c>
      <c r="G398" s="34" t="s">
        <v>372</v>
      </c>
      <c r="H398" s="34" t="str">
        <f>IF(Tabella4[[#This Row],[Componente]]="Documenti","10.","9.")&amp;Tabella4[[#This Row],[Criterio]]</f>
        <v>9.2.5.8</v>
      </c>
      <c r="I398" s="34" t="s">
        <v>1023</v>
      </c>
      <c r="J398" s="34" t="s">
        <v>1032</v>
      </c>
      <c r="K398" s="34" t="s">
        <v>1033</v>
      </c>
      <c r="L398" s="34" t="s">
        <v>1034</v>
      </c>
      <c r="M398" s="34" t="s">
        <v>1035</v>
      </c>
      <c r="N398" t="s">
        <v>1496</v>
      </c>
      <c r="O398" t="s">
        <v>1497</v>
      </c>
      <c r="P398" t="s">
        <v>388</v>
      </c>
      <c r="R398" s="34" t="str">
        <f>IF(Tabella4[[#This Row],[Componente]]="Documenti",_xlfn.XLOOKUP(Tabella4[[#This Row],[URL]],Tabella27[URL],Tabella27[PDF ID],,0),_xlfn.XLOOKUP(Tabella4[[#This Row],[URL]],Tabella1[URL],Tabella1[Page ID],,0))</f>
        <v>#8</v>
      </c>
      <c r="S398" s="34" t="s">
        <v>1004</v>
      </c>
      <c r="T398" t="s">
        <v>518</v>
      </c>
      <c r="V398" t="s">
        <v>521</v>
      </c>
      <c r="W398" s="34" t="s">
        <v>1068</v>
      </c>
      <c r="X39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href="#item-posteinsurancebrokerposteinsurancebroker-moduliguidare-sicuri-fase-di-vendita-faq-accordion-possibileassicurareunveicolodiversodallauto-10" aria-expanded="false" aria-controls="item-posteinsurancebrokerposteinsurancebroker-moduliguidare-sicuri-fase-di-vendita-faq-accordion-possibileassicurareunveicolodiversodallauto-10" title=" È possibile assicurare un veicolo diverso dall’auto?"&gt;</v>
      </c>
      <c r="Y398" s="34" t="str">
        <f>SUBSTITUTE(IF(Tabella4[[#This Row],[Tool]]="axe-core",MID(Tabella4[[#This Row],[Rejected Element]],3,LEN(Tabella4[[#This Row],[Rejected Element]])-4),Tabella4[[#This Row],[Rejected Element]]),"\","")</f>
        <v>#heading-item-posteinsurancebrokerposteinsurancebroker-moduliguidare-sicuri-fase-di-vendita-faq-accordion-possibileassicurareunveicolodiversodallauto-10-10 &gt; .panel-title &gt; .accordion-toggle.collapsed[role="button"]</v>
      </c>
      <c r="Z398" s="34">
        <f>COUNTIFS(Tabella4[Detail univoco],Tabella4[[#This Row],[Detail univoco]],Tabella4[Rejected Element Univoco],Tabella4[[#This Row],[Rejected Element Univoco]],Tabella4[ItemsNodeLabel],Tabella4[[#This Row],[ItemsNodeLabel]])</f>
        <v>0</v>
      </c>
      <c r="AA398" s="34" t="str">
        <f>IF(Tabella4[[#This Row],[Componente]]="Documenti",VLOOKUP(Tabella4[[#This Row],[URL]],Tabella27[[URL]:[Servizio]],4,FALSE),VLOOKUP(Tabella4[[#This Row],[Page ID]],Tabella1[[Page ID]:[Servizio]],4,FALSE))</f>
        <v>S002 Poste Guidare Sicuri</v>
      </c>
      <c r="AB398" t="s">
        <v>1498</v>
      </c>
      <c r="AC398" s="34" t="str">
        <f>Tabella4[[#This Row],[User Impact]]</f>
        <v>2 - Serious</v>
      </c>
      <c r="AD398" s="34" t="str">
        <f>Copertina!C$2&amp;" - "&amp;Tabella4[[#This Row],[UNI CEI EN 301549]]&amp;" "&amp;VLOOKUP(Tabella4[[#This Row],[Criterio]],Tabella5[[ID]:[Criterio di successo]],2,FALSE)&amp;" - "&amp;Tabella4[[#This Row],[Servizio]]&amp;":"</f>
        <v>Insurance Brocker - 9.2.5.8 Dimensione dell'obiettivo (minimo) - S002 Poste Guidare Sicuri:</v>
      </c>
      <c r="AE39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(#TM0301)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href="#item-posteinsurancebrokerposteinsurancebroker-moduliguidare-sicuri-fase-di-vendita-faq-accordion-possibileassicurareunveicolodiversodallauto-10" aria-expanded="false" aria-controls="item-posteinsurancebrokerposteinsurancebroker-moduliguidare-sicuri-fase-di-vendita-faq-accordion-possibileassicurareunveicolodiversodallauto-10" title=" È possibile assicurare un veicolo diverso dall’auto?"&gt; con selettore: 
["#heading-item-posteinsurancebrokerposteinsurancebroker-moduliguidare-sicuri-fase-di-vendita-faq-accordion-possibileassicurareunveicolodiversodallauto-10-10 &gt; .panel-title &gt; .accordion-toggle.collapsed[role=\"button\"]"]
Dettaglio + screenshot (accedere con le seguenti credenziali: user, axeposte@gmail.com; password, Poste2024!): https://axe.deque.com/issues/bbd52ffe-c9db-42f1-b3a7-628623b397d3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98" t="e">
        <f>_xlfn.XLOOKUP(Tabella4[[#This Row],[ID Silk]],outTable[ID Silk],outTable[Numero ticket  ],,0,1)</f>
        <v>#N/A</v>
      </c>
    </row>
    <row r="399" spans="1:32">
      <c r="A399" s="34" t="str">
        <f>MID(Tabella4[[#This Row],[Servizio]],1,4)&amp;Tabella4[[#This Row],[UNI CEI EN 301549]]</f>
        <v>S0029.2.5.8</v>
      </c>
      <c r="B399" s="34" t="str">
        <f>Tabella4[[#This Row],[ID Silk]]&amp;"_1"</f>
        <v>S0029.2.5.8_1</v>
      </c>
      <c r="C399" s="34" t="s">
        <v>1744</v>
      </c>
      <c r="D399" s="2" t="str">
        <f>"(#"&amp;Tabella4[[#This Row],['#ID]]&amp;")"</f>
        <v>(#TM0302)</v>
      </c>
      <c r="E399" s="34" t="str">
        <f>IF(MID(Tabella4[[#This Row],['#ID]],1,1)="M","Mobile",IF(MID(Tabella4[[#This Row],['#ID]],1,1)="D","Desktop",IF(MID(Tabella4[[#This Row],['#ID]],1,2)="TM","Manuale","Documenti")))</f>
        <v>Manuale</v>
      </c>
      <c r="F399" s="34" t="s">
        <v>1006</v>
      </c>
      <c r="G399" s="34" t="s">
        <v>372</v>
      </c>
      <c r="H399" s="34" t="str">
        <f>IF(Tabella4[[#This Row],[Componente]]="Documenti","10.","9.")&amp;Tabella4[[#This Row],[Criterio]]</f>
        <v>9.2.5.8</v>
      </c>
      <c r="I399" s="34" t="s">
        <v>1023</v>
      </c>
      <c r="J399" s="34" t="s">
        <v>1032</v>
      </c>
      <c r="K399" s="34" t="s">
        <v>1033</v>
      </c>
      <c r="L399" s="34" t="s">
        <v>1034</v>
      </c>
      <c r="M399" s="34" t="s">
        <v>1035</v>
      </c>
      <c r="N399" t="s">
        <v>1329</v>
      </c>
      <c r="O399" t="s">
        <v>1330</v>
      </c>
      <c r="P399" t="s">
        <v>388</v>
      </c>
      <c r="R399" s="34" t="str">
        <f>IF(Tabella4[[#This Row],[Componente]]="Documenti",_xlfn.XLOOKUP(Tabella4[[#This Row],[URL]],Tabella27[URL],Tabella27[PDF ID],,0),_xlfn.XLOOKUP(Tabella4[[#This Row],[URL]],Tabella1[URL],Tabella1[Page ID],,0))</f>
        <v>#8</v>
      </c>
      <c r="S399" s="34" t="s">
        <v>1004</v>
      </c>
      <c r="T399" t="s">
        <v>518</v>
      </c>
      <c r="V399" t="s">
        <v>519</v>
      </c>
      <c r="W399" s="34" t="s">
        <v>1068</v>
      </c>
      <c r="X39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id="heading-item-posteinsurancebrokerposteinsurancebroker-moduliguidare-sicuri-fase-di-vendita-faq-accordion-checosilquestionariodiadeguatezzaobbligatorio-11-11"&gt;</v>
      </c>
      <c r="Y399" s="34" t="str">
        <f>SUBSTITUTE(IF(Tabella4[[#This Row],[Tool]]="axe-core",MID(Tabella4[[#This Row],[Rejected Element]],3,LEN(Tabella4[[#This Row],[Rejected Element]])-4),Tabella4[[#This Row],[Rejected Element]]),"\","")</f>
        <v>#heading-item-posteinsurancebrokerposteinsurancebroker-moduliguidare-sicuri-fase-di-vendita-faq-accordion-checosilquestionariodiadeguatezzaobbligatorio-11-11</v>
      </c>
      <c r="Z399" s="34">
        <f>COUNTIFS(Tabella4[Detail univoco],Tabella4[[#This Row],[Detail univoco]],Tabella4[Rejected Element Univoco],Tabella4[[#This Row],[Rejected Element Univoco]],Tabella4[ItemsNodeLabel],Tabella4[[#This Row],[ItemsNodeLabel]])</f>
        <v>0</v>
      </c>
      <c r="AA399" s="34" t="str">
        <f>IF(Tabella4[[#This Row],[Componente]]="Documenti",VLOOKUP(Tabella4[[#This Row],[URL]],Tabella27[[URL]:[Servizio]],4,FALSE),VLOOKUP(Tabella4[[#This Row],[Page ID]],Tabella1[[Page ID]:[Servizio]],4,FALSE))</f>
        <v>S002 Poste Guidare Sicuri</v>
      </c>
      <c r="AB399" t="s">
        <v>1499</v>
      </c>
      <c r="AC399" s="34" t="str">
        <f>Tabella4[[#This Row],[User Impact]]</f>
        <v>2 - Serious</v>
      </c>
      <c r="AD399" s="34" t="str">
        <f>Copertina!C$2&amp;" - "&amp;Tabella4[[#This Row],[UNI CEI EN 301549]]&amp;" "&amp;VLOOKUP(Tabella4[[#This Row],[Criterio]],Tabella5[[ID]:[Criterio di successo]],2,FALSE)&amp;" - "&amp;Tabella4[[#This Row],[Servizio]]&amp;":"</f>
        <v>Insurance Brocker - 9.2.5.8 Dimensione dell'obiettivo (minimo) - S002 Poste Guidare Sicuri:</v>
      </c>
      <c r="AE39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(#TM0302)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id="heading-item-posteinsurancebrokerposteinsurancebroker-moduliguidare-sicuri-fase-di-vendita-faq-accordion-checosilquestionariodiadeguatezzaobbligatorio-11-11"&gt; con selettore: 
["#heading-item-posteinsurancebrokerposteinsurancebroker-moduliguidare-sicuri-fase-di-vendita-faq-accordion-checosilquestionariodiadeguatezzaobbligatorio-11-11"]
Dettaglio + screenshot (accedere con le seguenti credenziali: user, axeposte@gmail.com; password, Poste2024!): https://axe.deque.com/issues/bfe7ab7c-caa0-426b-83ec-31e7b7e86b93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399" t="e">
        <f>_xlfn.XLOOKUP(Tabella4[[#This Row],[ID Silk]],outTable[ID Silk],outTable[Numero ticket  ],,0,1)</f>
        <v>#N/A</v>
      </c>
    </row>
    <row r="400" spans="1:32">
      <c r="A400" s="34" t="str">
        <f>MID(Tabella4[[#This Row],[Servizio]],1,4)&amp;Tabella4[[#This Row],[UNI CEI EN 301549]]</f>
        <v>S0029.2.5.8</v>
      </c>
      <c r="B400" s="34" t="str">
        <f>Tabella4[[#This Row],[ID Silk]]&amp;"_1"</f>
        <v>S0029.2.5.8_1</v>
      </c>
      <c r="C400" s="34" t="s">
        <v>1745</v>
      </c>
      <c r="D400" s="2" t="str">
        <f>"(#"&amp;Tabella4[[#This Row],['#ID]]&amp;")"</f>
        <v>(#TM0303)</v>
      </c>
      <c r="E400" s="34" t="str">
        <f>IF(MID(Tabella4[[#This Row],['#ID]],1,1)="M","Mobile",IF(MID(Tabella4[[#This Row],['#ID]],1,1)="D","Desktop",IF(MID(Tabella4[[#This Row],['#ID]],1,2)="TM","Manuale","Documenti")))</f>
        <v>Manuale</v>
      </c>
      <c r="F400" s="34" t="s">
        <v>1006</v>
      </c>
      <c r="G400" s="34" t="s">
        <v>372</v>
      </c>
      <c r="H400" s="34" t="str">
        <f>IF(Tabella4[[#This Row],[Componente]]="Documenti","10.","9.")&amp;Tabella4[[#This Row],[Criterio]]</f>
        <v>9.2.5.8</v>
      </c>
      <c r="I400" s="34" t="s">
        <v>1023</v>
      </c>
      <c r="J400" s="34" t="s">
        <v>1032</v>
      </c>
      <c r="K400" s="34" t="s">
        <v>1033</v>
      </c>
      <c r="L400" s="34" t="s">
        <v>1034</v>
      </c>
      <c r="M400" s="34" t="s">
        <v>1035</v>
      </c>
      <c r="N400" t="s">
        <v>1500</v>
      </c>
      <c r="O400" t="s">
        <v>1501</v>
      </c>
      <c r="P400" t="s">
        <v>388</v>
      </c>
      <c r="R400" s="34" t="str">
        <f>IF(Tabella4[[#This Row],[Componente]]="Documenti",_xlfn.XLOOKUP(Tabella4[[#This Row],[URL]],Tabella27[URL],Tabella27[PDF ID],,0),_xlfn.XLOOKUP(Tabella4[[#This Row],[URL]],Tabella1[URL],Tabella1[Page ID],,0))</f>
        <v>#8</v>
      </c>
      <c r="S400" s="34" t="s">
        <v>1004</v>
      </c>
      <c r="T400" t="s">
        <v>518</v>
      </c>
      <c r="V400" t="s">
        <v>521</v>
      </c>
      <c r="W400" s="34" t="s">
        <v>1068</v>
      </c>
      <c r="X40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href="#item-posteinsurancebrokerposteinsurancebroker-moduliguidare-sicuri-fase-di-vendita-faq-accordion-checosilquestionariodiadeguatezzaobbligatorio-11" aria-expanded="false" aria-controls="item-posteinsurancebrokerposteinsurancebroker-moduliguidare-sicuri-fase-di-vendita-faq-accordion-checosilquestionariodiadeguatezzaobbligatorio-11" title="Che cos’è il questionario di adeguatezza? È obbligatorio?"&gt;</v>
      </c>
      <c r="Y400" s="34" t="str">
        <f>SUBSTITUTE(IF(Tabella4[[#This Row],[Tool]]="axe-core",MID(Tabella4[[#This Row],[Rejected Element]],3,LEN(Tabella4[[#This Row],[Rejected Element]])-4),Tabella4[[#This Row],[Rejected Element]]),"\","")</f>
        <v>#heading-item-posteinsurancebrokerposteinsurancebroker-moduliguidare-sicuri-fase-di-vendita-faq-accordion-checosilquestionariodiadeguatezzaobbligatorio-11-11 &gt; .panel-title &gt; .accordion-toggle.collapsed[role="button"]</v>
      </c>
      <c r="Z400" s="34">
        <f>COUNTIFS(Tabella4[Detail univoco],Tabella4[[#This Row],[Detail univoco]],Tabella4[Rejected Element Univoco],Tabella4[[#This Row],[Rejected Element Univoco]],Tabella4[ItemsNodeLabel],Tabella4[[#This Row],[ItemsNodeLabel]])</f>
        <v>0</v>
      </c>
      <c r="AA400" s="34" t="str">
        <f>IF(Tabella4[[#This Row],[Componente]]="Documenti",VLOOKUP(Tabella4[[#This Row],[URL]],Tabella27[[URL]:[Servizio]],4,FALSE),VLOOKUP(Tabella4[[#This Row],[Page ID]],Tabella1[[Page ID]:[Servizio]],4,FALSE))</f>
        <v>S002 Poste Guidare Sicuri</v>
      </c>
      <c r="AB400" t="s">
        <v>1502</v>
      </c>
      <c r="AC400" s="34" t="str">
        <f>Tabella4[[#This Row],[User Impact]]</f>
        <v>2 - Serious</v>
      </c>
      <c r="AD400" s="34" t="str">
        <f>Copertina!C$2&amp;" - "&amp;Tabella4[[#This Row],[UNI CEI EN 301549]]&amp;" "&amp;VLOOKUP(Tabella4[[#This Row],[Criterio]],Tabella5[[ID]:[Criterio di successo]],2,FALSE)&amp;" - "&amp;Tabella4[[#This Row],[Servizio]]&amp;":"</f>
        <v>Insurance Brocker - 9.2.5.8 Dimensione dell'obiettivo (minimo) - S002 Poste Guidare Sicuri:</v>
      </c>
      <c r="AE40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(#TM0303)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href="#item-posteinsurancebrokerposteinsurancebroker-moduliguidare-sicuri-fase-di-vendita-faq-accordion-checosilquestionariodiadeguatezzaobbligatorio-11" aria-expanded="false" aria-controls="item-posteinsurancebrokerposteinsurancebroker-moduliguidare-sicuri-fase-di-vendita-faq-accordion-checosilquestionariodiadeguatezzaobbligatorio-11" title="Che cos’è il questionario di adeguatezza? È obbligatorio?"&gt; con selettore: 
["#heading-item-posteinsurancebrokerposteinsurancebroker-moduliguidare-sicuri-fase-di-vendita-faq-accordion-checosilquestionariodiadeguatezzaobbligatorio-11-11 &gt; .panel-title &gt; .accordion-toggle.collapsed[role=\"button\"]"]
Dettaglio + screenshot (accedere con le seguenti credenziali: user, axeposte@gmail.com; password, Poste2024!): https://axe.deque.com/issues/01c6b23e-05e5-429b-bea9-69eddd625a2b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00" t="e">
        <f>_xlfn.XLOOKUP(Tabella4[[#This Row],[ID Silk]],outTable[ID Silk],outTable[Numero ticket  ],,0,1)</f>
        <v>#N/A</v>
      </c>
    </row>
    <row r="401" spans="1:32">
      <c r="A401" s="34" t="str">
        <f>MID(Tabella4[[#This Row],[Servizio]],1,4)&amp;Tabella4[[#This Row],[UNI CEI EN 301549]]</f>
        <v>S0029.2.5.8</v>
      </c>
      <c r="B401" s="34" t="str">
        <f>Tabella4[[#This Row],[ID Silk]]&amp;"_1"</f>
        <v>S0029.2.5.8_1</v>
      </c>
      <c r="C401" s="34" t="s">
        <v>1746</v>
      </c>
      <c r="D401" s="2" t="str">
        <f>"(#"&amp;Tabella4[[#This Row],['#ID]]&amp;")"</f>
        <v>(#TM0304)</v>
      </c>
      <c r="E401" s="34" t="str">
        <f>IF(MID(Tabella4[[#This Row],['#ID]],1,1)="M","Mobile",IF(MID(Tabella4[[#This Row],['#ID]],1,1)="D","Desktop",IF(MID(Tabella4[[#This Row],['#ID]],1,2)="TM","Manuale","Documenti")))</f>
        <v>Manuale</v>
      </c>
      <c r="F401" s="34" t="s">
        <v>1006</v>
      </c>
      <c r="G401" s="34" t="s">
        <v>372</v>
      </c>
      <c r="H401" s="34" t="str">
        <f>IF(Tabella4[[#This Row],[Componente]]="Documenti","10.","9.")&amp;Tabella4[[#This Row],[Criterio]]</f>
        <v>9.2.5.8</v>
      </c>
      <c r="I401" s="34" t="s">
        <v>1023</v>
      </c>
      <c r="J401" s="34" t="s">
        <v>1032</v>
      </c>
      <c r="K401" s="34" t="s">
        <v>1033</v>
      </c>
      <c r="L401" s="34" t="s">
        <v>1034</v>
      </c>
      <c r="M401" s="34" t="s">
        <v>1035</v>
      </c>
      <c r="N401" t="s">
        <v>1332</v>
      </c>
      <c r="O401" t="s">
        <v>1333</v>
      </c>
      <c r="P401" t="s">
        <v>388</v>
      </c>
      <c r="R401" s="34" t="str">
        <f>IF(Tabella4[[#This Row],[Componente]]="Documenti",_xlfn.XLOOKUP(Tabella4[[#This Row],[URL]],Tabella27[URL],Tabella27[PDF ID],,0),_xlfn.XLOOKUP(Tabella4[[#This Row],[URL]],Tabella1[URL],Tabella1[Page ID],,0))</f>
        <v>#8</v>
      </c>
      <c r="S401" s="34" t="s">
        <v>1004</v>
      </c>
      <c r="T401" t="s">
        <v>518</v>
      </c>
      <c r="V401" t="s">
        <v>519</v>
      </c>
      <c r="W401" s="34" t="s">
        <v>1068</v>
      </c>
      <c r="X40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id="heading-item-posteinsurancebrokerposteinsurancebroker-moduliguidare-sicuri-fase-di-vendita-faq-accordion-hodirittoaqualchescontosullamiapolizzacomeclientebancoposta-12-12"&gt;</v>
      </c>
      <c r="Y401" s="34" t="str">
        <f>SUBSTITUTE(IF(Tabella4[[#This Row],[Tool]]="axe-core",MID(Tabella4[[#This Row],[Rejected Element]],3,LEN(Tabella4[[#This Row],[Rejected Element]])-4),Tabella4[[#This Row],[Rejected Element]]),"\","")</f>
        <v>#heading-item-posteinsurancebrokerposteinsurancebroker-moduliguidare-sicuri-fase-di-vendita-faq-accordion-hodirittoaqualchescontosullamiapolizzacomeclientebancoposta-12-12</v>
      </c>
      <c r="Z401" s="34">
        <f>COUNTIFS(Tabella4[Detail univoco],Tabella4[[#This Row],[Detail univoco]],Tabella4[Rejected Element Univoco],Tabella4[[#This Row],[Rejected Element Univoco]],Tabella4[ItemsNodeLabel],Tabella4[[#This Row],[ItemsNodeLabel]])</f>
        <v>0</v>
      </c>
      <c r="AA401" s="34" t="str">
        <f>IF(Tabella4[[#This Row],[Componente]]="Documenti",VLOOKUP(Tabella4[[#This Row],[URL]],Tabella27[[URL]:[Servizio]],4,FALSE),VLOOKUP(Tabella4[[#This Row],[Page ID]],Tabella1[[Page ID]:[Servizio]],4,FALSE))</f>
        <v>S002 Poste Guidare Sicuri</v>
      </c>
      <c r="AB401" t="s">
        <v>1503</v>
      </c>
      <c r="AC401" s="34" t="str">
        <f>Tabella4[[#This Row],[User Impact]]</f>
        <v>2 - Serious</v>
      </c>
      <c r="AD401" s="34" t="str">
        <f>Copertina!C$2&amp;" - "&amp;Tabella4[[#This Row],[UNI CEI EN 301549]]&amp;" "&amp;VLOOKUP(Tabella4[[#This Row],[Criterio]],Tabella5[[ID]:[Criterio di successo]],2,FALSE)&amp;" - "&amp;Tabella4[[#This Row],[Servizio]]&amp;":"</f>
        <v>Insurance Brocker - 9.2.5.8 Dimensione dell'obiettivo (minimo) - S002 Poste Guidare Sicuri:</v>
      </c>
      <c r="AE40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(#TM0304)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id="heading-item-posteinsurancebrokerposteinsurancebroker-moduliguidare-sicuri-fase-di-vendita-faq-accordion-hodirittoaqualchescontosullamiapolizzacomeclientebancoposta-12-12"&gt; con selettore: 
["#heading-item-posteinsurancebrokerposteinsurancebroker-moduliguidare-sicuri-fase-di-vendita-faq-accordion-hodirittoaqualchescontosullamiapolizzacomeclientebancoposta-12-12"]
Dettaglio + screenshot (accedere con le seguenti credenziali: user, axeposte@gmail.com; password, Poste2024!): https://axe.deque.com/issues/4ed01785-6c31-4bc5-8883-03502821f504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01" t="e">
        <f>_xlfn.XLOOKUP(Tabella4[[#This Row],[ID Silk]],outTable[ID Silk],outTable[Numero ticket  ],,0,1)</f>
        <v>#N/A</v>
      </c>
    </row>
    <row r="402" spans="1:32">
      <c r="A402" s="34" t="str">
        <f>MID(Tabella4[[#This Row],[Servizio]],1,4)&amp;Tabella4[[#This Row],[UNI CEI EN 301549]]</f>
        <v>S0029.2.5.8</v>
      </c>
      <c r="B402" s="34" t="str">
        <f>Tabella4[[#This Row],[ID Silk]]&amp;"_1"</f>
        <v>S0029.2.5.8_1</v>
      </c>
      <c r="C402" s="34" t="s">
        <v>1747</v>
      </c>
      <c r="D402" s="2" t="str">
        <f>"(#"&amp;Tabella4[[#This Row],['#ID]]&amp;")"</f>
        <v>(#TM0305)</v>
      </c>
      <c r="E402" s="34" t="str">
        <f>IF(MID(Tabella4[[#This Row],['#ID]],1,1)="M","Mobile",IF(MID(Tabella4[[#This Row],['#ID]],1,1)="D","Desktop",IF(MID(Tabella4[[#This Row],['#ID]],1,2)="TM","Manuale","Documenti")))</f>
        <v>Manuale</v>
      </c>
      <c r="F402" s="34" t="s">
        <v>1006</v>
      </c>
      <c r="G402" s="34" t="s">
        <v>372</v>
      </c>
      <c r="H402" s="34" t="str">
        <f>IF(Tabella4[[#This Row],[Componente]]="Documenti","10.","9.")&amp;Tabella4[[#This Row],[Criterio]]</f>
        <v>9.2.5.8</v>
      </c>
      <c r="I402" s="34" t="s">
        <v>1023</v>
      </c>
      <c r="J402" s="34" t="s">
        <v>1032</v>
      </c>
      <c r="K402" s="34" t="s">
        <v>1033</v>
      </c>
      <c r="L402" s="34" t="s">
        <v>1034</v>
      </c>
      <c r="M402" s="34" t="s">
        <v>1035</v>
      </c>
      <c r="N402" t="s">
        <v>1504</v>
      </c>
      <c r="O402" t="s">
        <v>1505</v>
      </c>
      <c r="P402" t="s">
        <v>388</v>
      </c>
      <c r="R402" s="34" t="str">
        <f>IF(Tabella4[[#This Row],[Componente]]="Documenti",_xlfn.XLOOKUP(Tabella4[[#This Row],[URL]],Tabella27[URL],Tabella27[PDF ID],,0),_xlfn.XLOOKUP(Tabella4[[#This Row],[URL]],Tabella1[URL],Tabella1[Page ID],,0))</f>
        <v>#8</v>
      </c>
      <c r="S402" s="34" t="s">
        <v>1004</v>
      </c>
      <c r="T402" t="s">
        <v>518</v>
      </c>
      <c r="V402" t="s">
        <v>521</v>
      </c>
      <c r="W402" s="34" t="s">
        <v>1068</v>
      </c>
      <c r="X40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href="#item-posteinsurancebrokerposteinsurancebroker-moduliguidare-sicuri-fase-di-vendita-faq-accordion-hodirittoaqualchescontosullamiapolizzacomeclientebancoposta-12" aria-expanded="false" aria-controls="item-posteinsurancebrokerposteinsurancebroker-moduliguidare-sicuri-fase-di-vendita-faq-accordion-hodirittoaqualchescontosullamiapolizzacomeclientebancoposta-12" title="Ho diritto a qualche sconto sulla mia polizza come cliente Banco Posta?"&gt;</v>
      </c>
      <c r="Y402" s="34" t="str">
        <f>SUBSTITUTE(IF(Tabella4[[#This Row],[Tool]]="axe-core",MID(Tabella4[[#This Row],[Rejected Element]],3,LEN(Tabella4[[#This Row],[Rejected Element]])-4),Tabella4[[#This Row],[Rejected Element]]),"\","")</f>
        <v>#heading-item-posteinsurancebrokerposteinsurancebroker-moduliguidare-sicuri-fase-di-vendita-faq-accordion-hodirittoaqualchescontosullamiapolizzacomeclientebancoposta-12-12 &gt; .panel-title &gt; .accordion-toggle.collapsed[role="button"]</v>
      </c>
      <c r="Z402" s="34">
        <f>COUNTIFS(Tabella4[Detail univoco],Tabella4[[#This Row],[Detail univoco]],Tabella4[Rejected Element Univoco],Tabella4[[#This Row],[Rejected Element Univoco]],Tabella4[ItemsNodeLabel],Tabella4[[#This Row],[ItemsNodeLabel]])</f>
        <v>0</v>
      </c>
      <c r="AA402" s="34" t="str">
        <f>IF(Tabella4[[#This Row],[Componente]]="Documenti",VLOOKUP(Tabella4[[#This Row],[URL]],Tabella27[[URL]:[Servizio]],4,FALSE),VLOOKUP(Tabella4[[#This Row],[Page ID]],Tabella1[[Page ID]:[Servizio]],4,FALSE))</f>
        <v>S002 Poste Guidare Sicuri</v>
      </c>
      <c r="AB402" t="s">
        <v>1506</v>
      </c>
      <c r="AC402" s="34" t="str">
        <f>Tabella4[[#This Row],[User Impact]]</f>
        <v>2 - Serious</v>
      </c>
      <c r="AD402" s="34" t="str">
        <f>Copertina!C$2&amp;" - "&amp;Tabella4[[#This Row],[UNI CEI EN 301549]]&amp;" "&amp;VLOOKUP(Tabella4[[#This Row],[Criterio]],Tabella5[[ID]:[Criterio di successo]],2,FALSE)&amp;" - "&amp;Tabella4[[#This Row],[Servizio]]&amp;":"</f>
        <v>Insurance Brocker - 9.2.5.8 Dimensione dell'obiettivo (minimo) - S002 Poste Guidare Sicuri:</v>
      </c>
      <c r="AE40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(#TM0305)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href="#item-posteinsurancebrokerposteinsurancebroker-moduliguidare-sicuri-fase-di-vendita-faq-accordion-hodirittoaqualchescontosullamiapolizzacomeclientebancoposta-12" aria-expanded="false" aria-controls="item-posteinsurancebrokerposteinsurancebroker-moduliguidare-sicuri-fase-di-vendita-faq-accordion-hodirittoaqualchescontosullamiapolizzacomeclientebancoposta-12" title="Ho diritto a qualche sconto sulla mia polizza come cliente Banco Posta?"&gt; con selettore: 
["#heading-item-posteinsurancebrokerposteinsurancebroker-moduliguidare-sicuri-fase-di-vendita-faq-accordion-hodirittoaqualchescontosullamiapolizzacomeclientebancoposta-12-12 &gt; .panel-title &gt; .accordion-toggle.collapsed[role=\"button\"]"]
Dettaglio + screenshot (accedere con le seguenti credenziali: user, axeposte@gmail.com; password, Poste2024!): https://axe.deque.com/issues/cd2c383b-3aac-4324-a038-1b2a21f3bd9f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02" t="e">
        <f>_xlfn.XLOOKUP(Tabella4[[#This Row],[ID Silk]],outTable[ID Silk],outTable[Numero ticket  ],,0,1)</f>
        <v>#N/A</v>
      </c>
    </row>
    <row r="403" spans="1:32">
      <c r="A403" s="34" t="str">
        <f>MID(Tabella4[[#This Row],[Servizio]],1,4)&amp;Tabella4[[#This Row],[UNI CEI EN 301549]]</f>
        <v>S0029.2.5.8</v>
      </c>
      <c r="B403" s="34" t="str">
        <f>Tabella4[[#This Row],[ID Silk]]&amp;"_1"</f>
        <v>S0029.2.5.8_1</v>
      </c>
      <c r="C403" s="34" t="s">
        <v>1748</v>
      </c>
      <c r="D403" s="2" t="str">
        <f>"(#"&amp;Tabella4[[#This Row],['#ID]]&amp;")"</f>
        <v>(#TM0306)</v>
      </c>
      <c r="E403" s="34" t="str">
        <f>IF(MID(Tabella4[[#This Row],['#ID]],1,1)="M","Mobile",IF(MID(Tabella4[[#This Row],['#ID]],1,1)="D","Desktop",IF(MID(Tabella4[[#This Row],['#ID]],1,2)="TM","Manuale","Documenti")))</f>
        <v>Manuale</v>
      </c>
      <c r="F403" s="34" t="s">
        <v>1006</v>
      </c>
      <c r="G403" s="34" t="s">
        <v>372</v>
      </c>
      <c r="H403" s="34" t="str">
        <f>IF(Tabella4[[#This Row],[Componente]]="Documenti","10.","9.")&amp;Tabella4[[#This Row],[Criterio]]</f>
        <v>9.2.5.8</v>
      </c>
      <c r="I403" s="34" t="s">
        <v>1023</v>
      </c>
      <c r="J403" s="34" t="s">
        <v>1032</v>
      </c>
      <c r="K403" s="34" t="s">
        <v>1033</v>
      </c>
      <c r="L403" s="34" t="s">
        <v>1034</v>
      </c>
      <c r="M403" s="34" t="s">
        <v>1035</v>
      </c>
      <c r="N403" t="s">
        <v>1335</v>
      </c>
      <c r="O403" t="s">
        <v>1336</v>
      </c>
      <c r="P403" t="s">
        <v>388</v>
      </c>
      <c r="R403" s="34" t="str">
        <f>IF(Tabella4[[#This Row],[Componente]]="Documenti",_xlfn.XLOOKUP(Tabella4[[#This Row],[URL]],Tabella27[URL],Tabella27[PDF ID],,0),_xlfn.XLOOKUP(Tabella4[[#This Row],[URL]],Tabella1[URL],Tabella1[Page ID],,0))</f>
        <v>#8</v>
      </c>
      <c r="S403" s="34" t="s">
        <v>1004</v>
      </c>
      <c r="T403" t="s">
        <v>518</v>
      </c>
      <c r="V403" t="s">
        <v>519</v>
      </c>
      <c r="W403" s="34" t="s">
        <v>1068</v>
      </c>
      <c r="X40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id="heading-item-posteinsurancebrokerposteinsurancebroker-moduliguidare-sicuri-fase-di-vendita-faq-accordion-quantotempocivuoleperfinalizzarelapolizzadopoaverconsegnatoladocumentazionenecessaria-13-13"&gt;</v>
      </c>
      <c r="Y403" s="34" t="str">
        <f>SUBSTITUTE(IF(Tabella4[[#This Row],[Tool]]="axe-core",MID(Tabella4[[#This Row],[Rejected Element]],3,LEN(Tabella4[[#This Row],[Rejected Element]])-4),Tabella4[[#This Row],[Rejected Element]]),"\","")</f>
        <v>#heading-item-posteinsurancebrokerposteinsurancebroker-moduliguidare-sicuri-fase-di-vendita-faq-accordion-quantotempocivuoleperfinalizzarelapolizzadopoaverconsegnatoladocumentazionenecessaria-13-13</v>
      </c>
      <c r="Z403" s="34">
        <f>COUNTIFS(Tabella4[Detail univoco],Tabella4[[#This Row],[Detail univoco]],Tabella4[Rejected Element Univoco],Tabella4[[#This Row],[Rejected Element Univoco]],Tabella4[ItemsNodeLabel],Tabella4[[#This Row],[ItemsNodeLabel]])</f>
        <v>0</v>
      </c>
      <c r="AA403" s="34" t="str">
        <f>IF(Tabella4[[#This Row],[Componente]]="Documenti",VLOOKUP(Tabella4[[#This Row],[URL]],Tabella27[[URL]:[Servizio]],4,FALSE),VLOOKUP(Tabella4[[#This Row],[Page ID]],Tabella1[[Page ID]:[Servizio]],4,FALSE))</f>
        <v>S002 Poste Guidare Sicuri</v>
      </c>
      <c r="AB403" t="s">
        <v>1507</v>
      </c>
      <c r="AC403" s="34" t="str">
        <f>Tabella4[[#This Row],[User Impact]]</f>
        <v>2 - Serious</v>
      </c>
      <c r="AD403" s="34" t="str">
        <f>Copertina!C$2&amp;" - "&amp;Tabella4[[#This Row],[UNI CEI EN 301549]]&amp;" "&amp;VLOOKUP(Tabella4[[#This Row],[Criterio]],Tabella5[[ID]:[Criterio di successo]],2,FALSE)&amp;" - "&amp;Tabella4[[#This Row],[Servizio]]&amp;":"</f>
        <v>Insurance Brocker - 9.2.5.8 Dimensione dell'obiettivo (minimo) - S002 Poste Guidare Sicuri:</v>
      </c>
      <c r="AE40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(#TM0306)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id="heading-item-posteinsurancebrokerposteinsurancebroker-moduliguidare-sicuri-fase-di-vendita-faq-accordion-quantotempocivuoleperfinalizzarelapolizzadopoaverconsegnatoladocumentazionenecessaria-13-13"&gt; con selettore: 
["#heading-item-posteinsurancebrokerposteinsurancebroker-moduliguidare-sicuri-fase-di-vendita-faq-accordion-quantotempocivuoleperfinalizzarelapolizzadopoaverconsegnatoladocumentazionenecessaria-13-13"]
Dettaglio + screenshot (accedere con le seguenti credenziali: user, axeposte@gmail.com; password, Poste2024!): https://axe.deque.com/issues/0a223228-5fb1-4970-af34-817dc1295533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03" t="e">
        <f>_xlfn.XLOOKUP(Tabella4[[#This Row],[ID Silk]],outTable[ID Silk],outTable[Numero ticket  ],,0,1)</f>
        <v>#N/A</v>
      </c>
    </row>
    <row r="404" spans="1:32">
      <c r="A404" s="34" t="str">
        <f>MID(Tabella4[[#This Row],[Servizio]],1,4)&amp;Tabella4[[#This Row],[UNI CEI EN 301549]]</f>
        <v>S0029.2.5.8</v>
      </c>
      <c r="B404" s="34" t="str">
        <f>Tabella4[[#This Row],[ID Silk]]&amp;"_1"</f>
        <v>S0029.2.5.8_1</v>
      </c>
      <c r="C404" s="34" t="s">
        <v>1749</v>
      </c>
      <c r="D404" s="2" t="str">
        <f>"(#"&amp;Tabella4[[#This Row],['#ID]]&amp;")"</f>
        <v>(#TM0307)</v>
      </c>
      <c r="E404" s="34" t="str">
        <f>IF(MID(Tabella4[[#This Row],['#ID]],1,1)="M","Mobile",IF(MID(Tabella4[[#This Row],['#ID]],1,1)="D","Desktop",IF(MID(Tabella4[[#This Row],['#ID]],1,2)="TM","Manuale","Documenti")))</f>
        <v>Manuale</v>
      </c>
      <c r="F404" s="34" t="s">
        <v>1006</v>
      </c>
      <c r="G404" s="34" t="s">
        <v>372</v>
      </c>
      <c r="H404" s="34" t="str">
        <f>IF(Tabella4[[#This Row],[Componente]]="Documenti","10.","9.")&amp;Tabella4[[#This Row],[Criterio]]</f>
        <v>9.2.5.8</v>
      </c>
      <c r="I404" s="34" t="s">
        <v>1023</v>
      </c>
      <c r="J404" s="34" t="s">
        <v>1032</v>
      </c>
      <c r="K404" s="34" t="s">
        <v>1033</v>
      </c>
      <c r="L404" s="34" t="s">
        <v>1034</v>
      </c>
      <c r="M404" s="34" t="s">
        <v>1035</v>
      </c>
      <c r="N404" t="s">
        <v>1508</v>
      </c>
      <c r="O404" t="s">
        <v>1509</v>
      </c>
      <c r="P404" t="s">
        <v>388</v>
      </c>
      <c r="R404" s="34" t="str">
        <f>IF(Tabella4[[#This Row],[Componente]]="Documenti",_xlfn.XLOOKUP(Tabella4[[#This Row],[URL]],Tabella27[URL],Tabella27[PDF ID],,0),_xlfn.XLOOKUP(Tabella4[[#This Row],[URL]],Tabella1[URL],Tabella1[Page ID],,0))</f>
        <v>#8</v>
      </c>
      <c r="S404" s="34" t="s">
        <v>1004</v>
      </c>
      <c r="T404" t="s">
        <v>518</v>
      </c>
      <c r="V404" t="s">
        <v>521</v>
      </c>
      <c r="W404" s="34" t="s">
        <v>1068</v>
      </c>
      <c r="X40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href="#item-posteinsurancebrokerposteinsurancebroker-moduliguidare-sicuri-fase-di-vendita-faq-accordion-quantotempocivuoleperfinalizzarelapolizzadopoaverconsegnatoladocumentazionenecessaria-13" aria-expanded="false" aria-controls="item-posteinsurancebrokerposteinsurancebroker-moduliguidare-sicuri-fase-di-vendita-faq-accordion-quantotempocivuoleperfinalizzarelapolizzadopoaverconsegnatoladocumentazionenecessaria-13" title="Quanto tempo ci vuole per finalizzare la polizza dopo aver consegnato la documentazione necessaria?"&gt;</v>
      </c>
      <c r="Y404" s="34" t="str">
        <f>SUBSTITUTE(IF(Tabella4[[#This Row],[Tool]]="axe-core",MID(Tabella4[[#This Row],[Rejected Element]],3,LEN(Tabella4[[#This Row],[Rejected Element]])-4),Tabella4[[#This Row],[Rejected Element]]),"\","")</f>
        <v>#heading-item-posteinsurancebrokerposteinsurancebroker-moduliguidare-sicuri-fase-di-vendita-faq-accordion-quantotempocivuoleperfinalizzarelapolizzadopoaverconsegnatoladocumentazionenecessaria-13-13 &gt; .panel-title &gt; .accordion-toggle.collapsed[role="button"]</v>
      </c>
      <c r="Z404" s="34">
        <f>COUNTIFS(Tabella4[Detail univoco],Tabella4[[#This Row],[Detail univoco]],Tabella4[Rejected Element Univoco],Tabella4[[#This Row],[Rejected Element Univoco]],Tabella4[ItemsNodeLabel],Tabella4[[#This Row],[ItemsNodeLabel]])</f>
        <v>0</v>
      </c>
      <c r="AA404" s="34" t="str">
        <f>IF(Tabella4[[#This Row],[Componente]]="Documenti",VLOOKUP(Tabella4[[#This Row],[URL]],Tabella27[[URL]:[Servizio]],4,FALSE),VLOOKUP(Tabella4[[#This Row],[Page ID]],Tabella1[[Page ID]:[Servizio]],4,FALSE))</f>
        <v>S002 Poste Guidare Sicuri</v>
      </c>
      <c r="AB404" t="s">
        <v>1510</v>
      </c>
      <c r="AC404" s="34" t="str">
        <f>Tabella4[[#This Row],[User Impact]]</f>
        <v>2 - Serious</v>
      </c>
      <c r="AD404" s="34" t="str">
        <f>Copertina!C$2&amp;" - "&amp;Tabella4[[#This Row],[UNI CEI EN 301549]]&amp;" "&amp;VLOOKUP(Tabella4[[#This Row],[Criterio]],Tabella5[[ID]:[Criterio di successo]],2,FALSE)&amp;" - "&amp;Tabella4[[#This Row],[Servizio]]&amp;":"</f>
        <v>Insurance Brocker - 9.2.5.8 Dimensione dell'obiettivo (minimo) - S002 Poste Guidare Sicuri:</v>
      </c>
      <c r="AE40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(#TM0307)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href="#item-posteinsurancebrokerposteinsurancebroker-moduliguidare-sicuri-fase-di-vendita-faq-accordion-quantotempocivuoleperfinalizzarelapolizzadopoaverconsegnatoladocumentazionenecessaria-13" aria-expanded="false" aria-controls="item-posteinsurancebrokerposteinsurancebroker-moduliguidare-sicuri-fase-di-vendita-faq-accordion-quantotempocivuoleperfinalizzarelapolizzadopoaverconsegnatoladocumentazionenecessaria-13" title="Quanto tempo ci vuole per finalizzare la polizza dopo aver consegnato la documentazione necessaria?"&gt; con selettore: 
["#heading-item-posteinsurancebrokerposteinsurancebroker-moduliguidare-sicuri-fase-di-vendita-faq-accordion-quantotempocivuoleperfinalizzarelapolizzadopoaverconsegnatoladocumentazionenecessaria-13-13 &gt; .panel-title &gt; .accordion-toggle.collapsed[role=\"button\"]"]
Dettaglio + screenshot (accedere con le seguenti credenziali: user, axeposte@gmail.com; password, Poste2024!): https://axe.deque.com/issues/ac194f2e-ed30-4e06-b1e7-562077e44ec7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04" t="e">
        <f>_xlfn.XLOOKUP(Tabella4[[#This Row],[ID Silk]],outTable[ID Silk],outTable[Numero ticket  ],,0,1)</f>
        <v>#N/A</v>
      </c>
    </row>
    <row r="405" spans="1:32">
      <c r="A405" s="34" t="str">
        <f>MID(Tabella4[[#This Row],[Servizio]],1,4)&amp;Tabella4[[#This Row],[UNI CEI EN 301549]]</f>
        <v>S0029.2.5.8</v>
      </c>
      <c r="B405" s="34" t="str">
        <f>Tabella4[[#This Row],[ID Silk]]&amp;"_1"</f>
        <v>S0029.2.5.8_1</v>
      </c>
      <c r="C405" s="34" t="s">
        <v>1750</v>
      </c>
      <c r="D405" s="2" t="str">
        <f>"(#"&amp;Tabella4[[#This Row],['#ID]]&amp;")"</f>
        <v>(#TM0308)</v>
      </c>
      <c r="E405" s="34" t="str">
        <f>IF(MID(Tabella4[[#This Row],['#ID]],1,1)="M","Mobile",IF(MID(Tabella4[[#This Row],['#ID]],1,1)="D","Desktop",IF(MID(Tabella4[[#This Row],['#ID]],1,2)="TM","Manuale","Documenti")))</f>
        <v>Manuale</v>
      </c>
      <c r="F405" s="34" t="s">
        <v>1006</v>
      </c>
      <c r="G405" s="34" t="s">
        <v>372</v>
      </c>
      <c r="H405" s="34" t="str">
        <f>IF(Tabella4[[#This Row],[Componente]]="Documenti","10.","9.")&amp;Tabella4[[#This Row],[Criterio]]</f>
        <v>9.2.5.8</v>
      </c>
      <c r="I405" s="34" t="s">
        <v>1023</v>
      </c>
      <c r="J405" s="34" t="s">
        <v>1032</v>
      </c>
      <c r="K405" s="34" t="s">
        <v>1033</v>
      </c>
      <c r="L405" s="34" t="s">
        <v>1034</v>
      </c>
      <c r="M405" s="34" t="s">
        <v>1035</v>
      </c>
      <c r="N405" t="s">
        <v>1338</v>
      </c>
      <c r="O405" t="s">
        <v>1339</v>
      </c>
      <c r="P405" t="s">
        <v>388</v>
      </c>
      <c r="R405" s="34" t="str">
        <f>IF(Tabella4[[#This Row],[Componente]]="Documenti",_xlfn.XLOOKUP(Tabella4[[#This Row],[URL]],Tabella27[URL],Tabella27[PDF ID],,0),_xlfn.XLOOKUP(Tabella4[[#This Row],[URL]],Tabella1[URL],Tabella1[Page ID],,0))</f>
        <v>#8</v>
      </c>
      <c r="S405" s="34" t="s">
        <v>1004</v>
      </c>
      <c r="T405" t="s">
        <v>518</v>
      </c>
      <c r="V405" t="s">
        <v>519</v>
      </c>
      <c r="W405" s="34" t="s">
        <v>1068</v>
      </c>
      <c r="X40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id="heading-item-posteinsurancebrokerposteinsurancebroker-moduliguidare-sicuri-fase-di-vendita-faq-accordion-perquantorimanevalidoilpreventivo-14-14"&gt;</v>
      </c>
      <c r="Y405" s="34" t="str">
        <f>SUBSTITUTE(IF(Tabella4[[#This Row],[Tool]]="axe-core",MID(Tabella4[[#This Row],[Rejected Element]],3,LEN(Tabella4[[#This Row],[Rejected Element]])-4),Tabella4[[#This Row],[Rejected Element]]),"\","")</f>
        <v>#heading-item-posteinsurancebrokerposteinsurancebroker-moduliguidare-sicuri-fase-di-vendita-faq-accordion-perquantorimanevalidoilpreventivo-14-14</v>
      </c>
      <c r="Z405" s="34">
        <f>COUNTIFS(Tabella4[Detail univoco],Tabella4[[#This Row],[Detail univoco]],Tabella4[Rejected Element Univoco],Tabella4[[#This Row],[Rejected Element Univoco]],Tabella4[ItemsNodeLabel],Tabella4[[#This Row],[ItemsNodeLabel]])</f>
        <v>0</v>
      </c>
      <c r="AA405" s="34" t="str">
        <f>IF(Tabella4[[#This Row],[Componente]]="Documenti",VLOOKUP(Tabella4[[#This Row],[URL]],Tabella27[[URL]:[Servizio]],4,FALSE),VLOOKUP(Tabella4[[#This Row],[Page ID]],Tabella1[[Page ID]:[Servizio]],4,FALSE))</f>
        <v>S002 Poste Guidare Sicuri</v>
      </c>
      <c r="AB405" t="s">
        <v>1511</v>
      </c>
      <c r="AC405" s="34" t="str">
        <f>Tabella4[[#This Row],[User Impact]]</f>
        <v>2 - Serious</v>
      </c>
      <c r="AD405" s="34" t="str">
        <f>Copertina!C$2&amp;" - "&amp;Tabella4[[#This Row],[UNI CEI EN 301549]]&amp;" "&amp;VLOOKUP(Tabella4[[#This Row],[Criterio]],Tabella5[[ID]:[Criterio di successo]],2,FALSE)&amp;" - "&amp;Tabella4[[#This Row],[Servizio]]&amp;":"</f>
        <v>Insurance Brocker - 9.2.5.8 Dimensione dell'obiettivo (minimo) - S002 Poste Guidare Sicuri:</v>
      </c>
      <c r="AE40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(#TM0308)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id="heading-item-posteinsurancebrokerposteinsurancebroker-moduliguidare-sicuri-fase-di-vendita-faq-accordion-perquantorimanevalidoilpreventivo-14-14"&gt; con selettore: 
["#heading-item-posteinsurancebrokerposteinsurancebroker-moduliguidare-sicuri-fase-di-vendita-faq-accordion-perquantorimanevalidoilpreventivo-14-14"]
Dettaglio + screenshot (accedere con le seguenti credenziali: user, axeposte@gmail.com; password, Poste2024!): https://axe.deque.com/issues/5869a715-ae9a-4a5b-91b4-9be27cbab984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05" t="e">
        <f>_xlfn.XLOOKUP(Tabella4[[#This Row],[ID Silk]],outTable[ID Silk],outTable[Numero ticket  ],,0,1)</f>
        <v>#N/A</v>
      </c>
    </row>
    <row r="406" spans="1:32">
      <c r="A406" s="34" t="str">
        <f>MID(Tabella4[[#This Row],[Servizio]],1,4)&amp;Tabella4[[#This Row],[UNI CEI EN 301549]]</f>
        <v>S0029.2.5.8</v>
      </c>
      <c r="B406" s="34" t="str">
        <f>Tabella4[[#This Row],[ID Silk]]&amp;"_1"</f>
        <v>S0029.2.5.8_1</v>
      </c>
      <c r="C406" s="34" t="s">
        <v>1751</v>
      </c>
      <c r="D406" s="2" t="str">
        <f>"(#"&amp;Tabella4[[#This Row],['#ID]]&amp;")"</f>
        <v>(#TM0309)</v>
      </c>
      <c r="E406" s="34" t="str">
        <f>IF(MID(Tabella4[[#This Row],['#ID]],1,1)="M","Mobile",IF(MID(Tabella4[[#This Row],['#ID]],1,1)="D","Desktop",IF(MID(Tabella4[[#This Row],['#ID]],1,2)="TM","Manuale","Documenti")))</f>
        <v>Manuale</v>
      </c>
      <c r="F406" s="34" t="s">
        <v>1006</v>
      </c>
      <c r="G406" s="34" t="s">
        <v>372</v>
      </c>
      <c r="H406" s="34" t="str">
        <f>IF(Tabella4[[#This Row],[Componente]]="Documenti","10.","9.")&amp;Tabella4[[#This Row],[Criterio]]</f>
        <v>9.2.5.8</v>
      </c>
      <c r="I406" s="34" t="s">
        <v>1023</v>
      </c>
      <c r="J406" s="34" t="s">
        <v>1032</v>
      </c>
      <c r="K406" s="34" t="s">
        <v>1033</v>
      </c>
      <c r="L406" s="34" t="s">
        <v>1034</v>
      </c>
      <c r="M406" s="34" t="s">
        <v>1035</v>
      </c>
      <c r="N406" t="s">
        <v>1512</v>
      </c>
      <c r="O406" t="s">
        <v>1513</v>
      </c>
      <c r="P406" t="s">
        <v>388</v>
      </c>
      <c r="R406" s="34" t="str">
        <f>IF(Tabella4[[#This Row],[Componente]]="Documenti",_xlfn.XLOOKUP(Tabella4[[#This Row],[URL]],Tabella27[URL],Tabella27[PDF ID],,0),_xlfn.XLOOKUP(Tabella4[[#This Row],[URL]],Tabella1[URL],Tabella1[Page ID],,0))</f>
        <v>#8</v>
      </c>
      <c r="S406" s="34" t="s">
        <v>1004</v>
      </c>
      <c r="T406" t="s">
        <v>518</v>
      </c>
      <c r="V406" t="s">
        <v>521</v>
      </c>
      <c r="W406" s="34" t="s">
        <v>1068</v>
      </c>
      <c r="X40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href="#item-posteinsurancebrokerposteinsurancebroker-moduliguidare-sicuri-fase-di-vendita-faq-accordion-perquantorimanevalidoilpreventivo-14" aria-expanded="false" aria-controls="item-posteinsurancebrokerposteinsurancebroker-moduliguidare-sicuri-fase-di-vendita-faq-accordion-perquantorimanevalidoilpreventivo-14" title="Per quanto rimane valido il preventivo?"&gt;</v>
      </c>
      <c r="Y406" s="34" t="str">
        <f>SUBSTITUTE(IF(Tabella4[[#This Row],[Tool]]="axe-core",MID(Tabella4[[#This Row],[Rejected Element]],3,LEN(Tabella4[[#This Row],[Rejected Element]])-4),Tabella4[[#This Row],[Rejected Element]]),"\","")</f>
        <v>#heading-item-posteinsurancebrokerposteinsurancebroker-moduliguidare-sicuri-fase-di-vendita-faq-accordion-perquantorimanevalidoilpreventivo-14-14 &gt; .panel-title &gt; .accordion-toggle.collapsed[role="button"]</v>
      </c>
      <c r="Z406" s="34">
        <f>COUNTIFS(Tabella4[Detail univoco],Tabella4[[#This Row],[Detail univoco]],Tabella4[Rejected Element Univoco],Tabella4[[#This Row],[Rejected Element Univoco]],Tabella4[ItemsNodeLabel],Tabella4[[#This Row],[ItemsNodeLabel]])</f>
        <v>0</v>
      </c>
      <c r="AA406" s="34" t="str">
        <f>IF(Tabella4[[#This Row],[Componente]]="Documenti",VLOOKUP(Tabella4[[#This Row],[URL]],Tabella27[[URL]:[Servizio]],4,FALSE),VLOOKUP(Tabella4[[#This Row],[Page ID]],Tabella1[[Page ID]:[Servizio]],4,FALSE))</f>
        <v>S002 Poste Guidare Sicuri</v>
      </c>
      <c r="AB406" t="s">
        <v>1514</v>
      </c>
      <c r="AC406" s="34" t="str">
        <f>Tabella4[[#This Row],[User Impact]]</f>
        <v>2 - Serious</v>
      </c>
      <c r="AD406" s="34" t="str">
        <f>Copertina!C$2&amp;" - "&amp;Tabella4[[#This Row],[UNI CEI EN 301549]]&amp;" "&amp;VLOOKUP(Tabella4[[#This Row],[Criterio]],Tabella5[[ID]:[Criterio di successo]],2,FALSE)&amp;" - "&amp;Tabella4[[#This Row],[Servizio]]&amp;":"</f>
        <v>Insurance Brocker - 9.2.5.8 Dimensione dell'obiettivo (minimo) - S002 Poste Guidare Sicuri:</v>
      </c>
      <c r="AE40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(#TM0309)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href="#item-posteinsurancebrokerposteinsurancebroker-moduliguidare-sicuri-fase-di-vendita-faq-accordion-perquantorimanevalidoilpreventivo-14" aria-expanded="false" aria-controls="item-posteinsurancebrokerposteinsurancebroker-moduliguidare-sicuri-fase-di-vendita-faq-accordion-perquantorimanevalidoilpreventivo-14" title="Per quanto rimane valido il preventivo?"&gt; con selettore: 
["#heading-item-posteinsurancebrokerposteinsurancebroker-moduliguidare-sicuri-fase-di-vendita-faq-accordion-perquantorimanevalidoilpreventivo-14-14 &gt; .panel-title &gt; .accordion-toggle.collapsed[role=\"button\"]"]
Dettaglio + screenshot (accedere con le seguenti credenziali: user, axeposte@gmail.com; password, Poste2024!): https://axe.deque.com/issues/d2c2c022-00da-43f1-9476-142ba046a5a4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06" t="e">
        <f>_xlfn.XLOOKUP(Tabella4[[#This Row],[ID Silk]],outTable[ID Silk],outTable[Numero ticket  ],,0,1)</f>
        <v>#N/A</v>
      </c>
    </row>
    <row r="407" spans="1:32">
      <c r="A407" s="34" t="str">
        <f>MID(Tabella4[[#This Row],[Servizio]],1,4)&amp;Tabella4[[#This Row],[UNI CEI EN 301549]]</f>
        <v>S0029.2.5.8</v>
      </c>
      <c r="B407" s="34" t="str">
        <f>Tabella4[[#This Row],[ID Silk]]&amp;"_1"</f>
        <v>S0029.2.5.8_1</v>
      </c>
      <c r="C407" s="34" t="s">
        <v>1752</v>
      </c>
      <c r="D407" s="2" t="str">
        <f>"(#"&amp;Tabella4[[#This Row],['#ID]]&amp;")"</f>
        <v>(#TM0310)</v>
      </c>
      <c r="E407" s="34" t="str">
        <f>IF(MID(Tabella4[[#This Row],['#ID]],1,1)="M","Mobile",IF(MID(Tabella4[[#This Row],['#ID]],1,1)="D","Desktop",IF(MID(Tabella4[[#This Row],['#ID]],1,2)="TM","Manuale","Documenti")))</f>
        <v>Manuale</v>
      </c>
      <c r="F407" s="34" t="s">
        <v>1006</v>
      </c>
      <c r="G407" s="34" t="s">
        <v>372</v>
      </c>
      <c r="H407" s="34" t="str">
        <f>IF(Tabella4[[#This Row],[Componente]]="Documenti","10.","9.")&amp;Tabella4[[#This Row],[Criterio]]</f>
        <v>9.2.5.8</v>
      </c>
      <c r="I407" s="34" t="s">
        <v>1023</v>
      </c>
      <c r="J407" s="34" t="s">
        <v>1032</v>
      </c>
      <c r="K407" s="34" t="s">
        <v>1033</v>
      </c>
      <c r="L407" s="34" t="s">
        <v>1034</v>
      </c>
      <c r="M407" s="34" t="s">
        <v>1035</v>
      </c>
      <c r="N407" t="s">
        <v>1341</v>
      </c>
      <c r="O407" t="s">
        <v>1342</v>
      </c>
      <c r="P407" t="s">
        <v>388</v>
      </c>
      <c r="R407" s="34" t="str">
        <f>IF(Tabella4[[#This Row],[Componente]]="Documenti",_xlfn.XLOOKUP(Tabella4[[#This Row],[URL]],Tabella27[URL],Tabella27[PDF ID],,0),_xlfn.XLOOKUP(Tabella4[[#This Row],[URL]],Tabella1[URL],Tabella1[Page ID],,0))</f>
        <v>#8</v>
      </c>
      <c r="S407" s="34" t="s">
        <v>1004</v>
      </c>
      <c r="T407" t="s">
        <v>518</v>
      </c>
      <c r="V407" t="s">
        <v>519</v>
      </c>
      <c r="W407" s="34" t="s">
        <v>1068</v>
      </c>
      <c r="X40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id="heading-item-posteinsurancebrokerposteinsurancebroker-moduliguidare-sicuri-fase-di-vendita-faq-accordion-laumentodellaclassebonusmalusdipendedallentitdeldannoprovocato-15-15"&gt;</v>
      </c>
      <c r="Y407" s="34" t="str">
        <f>SUBSTITUTE(IF(Tabella4[[#This Row],[Tool]]="axe-core",MID(Tabella4[[#This Row],[Rejected Element]],3,LEN(Tabella4[[#This Row],[Rejected Element]])-4),Tabella4[[#This Row],[Rejected Element]]),"\","")</f>
        <v>#heading-item-posteinsurancebrokerposteinsurancebroker-moduliguidare-sicuri-fase-di-vendita-faq-accordion-laumentodellaclassebonusmalusdipendedallentitdeldannoprovocato-15-15</v>
      </c>
      <c r="Z407" s="34">
        <f>COUNTIFS(Tabella4[Detail univoco],Tabella4[[#This Row],[Detail univoco]],Tabella4[Rejected Element Univoco],Tabella4[[#This Row],[Rejected Element Univoco]],Tabella4[ItemsNodeLabel],Tabella4[[#This Row],[ItemsNodeLabel]])</f>
        <v>0</v>
      </c>
      <c r="AA407" s="34" t="str">
        <f>IF(Tabella4[[#This Row],[Componente]]="Documenti",VLOOKUP(Tabella4[[#This Row],[URL]],Tabella27[[URL]:[Servizio]],4,FALSE),VLOOKUP(Tabella4[[#This Row],[Page ID]],Tabella1[[Page ID]:[Servizio]],4,FALSE))</f>
        <v>S002 Poste Guidare Sicuri</v>
      </c>
      <c r="AB407" t="s">
        <v>1515</v>
      </c>
      <c r="AC407" s="34" t="str">
        <f>Tabella4[[#This Row],[User Impact]]</f>
        <v>2 - Serious</v>
      </c>
      <c r="AD407" s="34" t="str">
        <f>Copertina!C$2&amp;" - "&amp;Tabella4[[#This Row],[UNI CEI EN 301549]]&amp;" "&amp;VLOOKUP(Tabella4[[#This Row],[Criterio]],Tabella5[[ID]:[Criterio di successo]],2,FALSE)&amp;" - "&amp;Tabella4[[#This Row],[Servizio]]&amp;":"</f>
        <v>Insurance Brocker - 9.2.5.8 Dimensione dell'obiettivo (minimo) - S002 Poste Guidare Sicuri:</v>
      </c>
      <c r="AE40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(#TM0310)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id="heading-item-posteinsurancebrokerposteinsurancebroker-moduliguidare-sicuri-fase-di-vendita-faq-accordion-laumentodellaclassebonusmalusdipendedallentitdeldannoprovocato-15-15"&gt; con selettore: 
["#heading-item-posteinsurancebrokerposteinsurancebroker-moduliguidare-sicuri-fase-di-vendita-faq-accordion-laumentodellaclassebonusmalusdipendedallentitdeldannoprovocato-15-15"]
Dettaglio + screenshot (accedere con le seguenti credenziali: user, axeposte@gmail.com; password, Poste2024!): https://axe.deque.com/issues/f9b6d367-c298-466e-acfd-58b4a833540d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07" t="e">
        <f>_xlfn.XLOOKUP(Tabella4[[#This Row],[ID Silk]],outTable[ID Silk],outTable[Numero ticket  ],,0,1)</f>
        <v>#N/A</v>
      </c>
    </row>
    <row r="408" spans="1:32">
      <c r="A408" s="34" t="str">
        <f>MID(Tabella4[[#This Row],[Servizio]],1,4)&amp;Tabella4[[#This Row],[UNI CEI EN 301549]]</f>
        <v>S0029.2.5.8</v>
      </c>
      <c r="B408" s="34" t="str">
        <f>Tabella4[[#This Row],[ID Silk]]&amp;"_1"</f>
        <v>S0029.2.5.8_1</v>
      </c>
      <c r="C408" s="34" t="s">
        <v>1753</v>
      </c>
      <c r="D408" s="2" t="str">
        <f>"(#"&amp;Tabella4[[#This Row],['#ID]]&amp;")"</f>
        <v>(#TM0311)</v>
      </c>
      <c r="E408" s="34" t="str">
        <f>IF(MID(Tabella4[[#This Row],['#ID]],1,1)="M","Mobile",IF(MID(Tabella4[[#This Row],['#ID]],1,1)="D","Desktop",IF(MID(Tabella4[[#This Row],['#ID]],1,2)="TM","Manuale","Documenti")))</f>
        <v>Manuale</v>
      </c>
      <c r="F408" s="34" t="s">
        <v>1006</v>
      </c>
      <c r="G408" s="34" t="s">
        <v>372</v>
      </c>
      <c r="H408" s="34" t="str">
        <f>IF(Tabella4[[#This Row],[Componente]]="Documenti","10.","9.")&amp;Tabella4[[#This Row],[Criterio]]</f>
        <v>9.2.5.8</v>
      </c>
      <c r="I408" s="34" t="s">
        <v>1023</v>
      </c>
      <c r="J408" s="34" t="s">
        <v>1032</v>
      </c>
      <c r="K408" s="34" t="s">
        <v>1033</v>
      </c>
      <c r="L408" s="34" t="s">
        <v>1034</v>
      </c>
      <c r="M408" s="34" t="s">
        <v>1035</v>
      </c>
      <c r="N408" t="s">
        <v>1516</v>
      </c>
      <c r="O408" t="s">
        <v>1517</v>
      </c>
      <c r="P408" t="s">
        <v>388</v>
      </c>
      <c r="R408" s="34" t="str">
        <f>IF(Tabella4[[#This Row],[Componente]]="Documenti",_xlfn.XLOOKUP(Tabella4[[#This Row],[URL]],Tabella27[URL],Tabella27[PDF ID],,0),_xlfn.XLOOKUP(Tabella4[[#This Row],[URL]],Tabella1[URL],Tabella1[Page ID],,0))</f>
        <v>#8</v>
      </c>
      <c r="S408" s="34" t="s">
        <v>1004</v>
      </c>
      <c r="T408" t="s">
        <v>518</v>
      </c>
      <c r="V408" t="s">
        <v>521</v>
      </c>
      <c r="W408" s="34" t="s">
        <v>1068</v>
      </c>
      <c r="X40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href="#item-posteinsurancebrokerposteinsurancebroker-moduliguidare-sicuri-fase-di-vendita-faq-accordion-laumentodellaclassebonusmalusdipendedallentitdeldannoprovocato-15" aria-expanded="false" aria-controls="item-posteinsurancebrokerposteinsurancebroker-moduliguidare-sicuri-fase-di-vendita-faq-accordion-laumentodellaclassebonusmalusdipendedallentitdeldannoprovocato-15" title="L’aumento della classe Bonus / Malus dipende dall’entità del danno provocato?"&gt;</v>
      </c>
      <c r="Y408" s="34" t="str">
        <f>SUBSTITUTE(IF(Tabella4[[#This Row],[Tool]]="axe-core",MID(Tabella4[[#This Row],[Rejected Element]],3,LEN(Tabella4[[#This Row],[Rejected Element]])-4),Tabella4[[#This Row],[Rejected Element]]),"\","")</f>
        <v>#heading-item-posteinsurancebrokerposteinsurancebroker-moduliguidare-sicuri-fase-di-vendita-faq-accordion-laumentodellaclassebonusmalusdipendedallentitdeldannoprovocato-15-15 &gt; .panel-title &gt; .accordion-toggle.collapsed[role="button"]</v>
      </c>
      <c r="Z408" s="34">
        <f>COUNTIFS(Tabella4[Detail univoco],Tabella4[[#This Row],[Detail univoco]],Tabella4[Rejected Element Univoco],Tabella4[[#This Row],[Rejected Element Univoco]],Tabella4[ItemsNodeLabel],Tabella4[[#This Row],[ItemsNodeLabel]])</f>
        <v>0</v>
      </c>
      <c r="AA408" s="34" t="str">
        <f>IF(Tabella4[[#This Row],[Componente]]="Documenti",VLOOKUP(Tabella4[[#This Row],[URL]],Tabella27[[URL]:[Servizio]],4,FALSE),VLOOKUP(Tabella4[[#This Row],[Page ID]],Tabella1[[Page ID]:[Servizio]],4,FALSE))</f>
        <v>S002 Poste Guidare Sicuri</v>
      </c>
      <c r="AB408" t="s">
        <v>1518</v>
      </c>
      <c r="AC408" s="34" t="str">
        <f>Tabella4[[#This Row],[User Impact]]</f>
        <v>2 - Serious</v>
      </c>
      <c r="AD408" s="34" t="str">
        <f>Copertina!C$2&amp;" - "&amp;Tabella4[[#This Row],[UNI CEI EN 301549]]&amp;" "&amp;VLOOKUP(Tabella4[[#This Row],[Criterio]],Tabella5[[ID]:[Criterio di successo]],2,FALSE)&amp;" - "&amp;Tabella4[[#This Row],[Servizio]]&amp;":"</f>
        <v>Insurance Brocker - 9.2.5.8 Dimensione dell'obiettivo (minimo) - S002 Poste Guidare Sicuri:</v>
      </c>
      <c r="AE40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(#TM0311)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href="#item-posteinsurancebrokerposteinsurancebroker-moduliguidare-sicuri-fase-di-vendita-faq-accordion-laumentodellaclassebonusmalusdipendedallentitdeldannoprovocato-15" aria-expanded="false" aria-controls="item-posteinsurancebrokerposteinsurancebroker-moduliguidare-sicuri-fase-di-vendita-faq-accordion-laumentodellaclassebonusmalusdipendedallentitdeldannoprovocato-15" title="L’aumento della classe Bonus / Malus dipende dall’entità del danno provocato?"&gt; con selettore: 
["#heading-item-posteinsurancebrokerposteinsurancebroker-moduliguidare-sicuri-fase-di-vendita-faq-accordion-laumentodellaclassebonusmalusdipendedallentitdeldannoprovocato-15-15 &gt; .panel-title &gt; .accordion-toggle.collapsed[role=\"button\"]"]
Dettaglio + screenshot (accedere con le seguenti credenziali: user, axeposte@gmail.com; password, Poste2024!): https://axe.deque.com/issues/7154ffc3-fa66-4f35-9eb6-297b8a82efa9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08" t="e">
        <f>_xlfn.XLOOKUP(Tabella4[[#This Row],[ID Silk]],outTable[ID Silk],outTable[Numero ticket  ],,0,1)</f>
        <v>#N/A</v>
      </c>
    </row>
    <row r="409" spans="1:32">
      <c r="A409" s="34" t="str">
        <f>MID(Tabella4[[#This Row],[Servizio]],1,4)&amp;Tabella4[[#This Row],[UNI CEI EN 301549]]</f>
        <v>S0029.2.5.8</v>
      </c>
      <c r="B409" s="34" t="str">
        <f>Tabella4[[#This Row],[ID Silk]]&amp;"_1"</f>
        <v>S0029.2.5.8_1</v>
      </c>
      <c r="C409" s="34" t="s">
        <v>1754</v>
      </c>
      <c r="D409" s="2" t="str">
        <f>"(#"&amp;Tabella4[[#This Row],['#ID]]&amp;")"</f>
        <v>(#TM0312)</v>
      </c>
      <c r="E409" s="34" t="str">
        <f>IF(MID(Tabella4[[#This Row],['#ID]],1,1)="M","Mobile",IF(MID(Tabella4[[#This Row],['#ID]],1,1)="D","Desktop",IF(MID(Tabella4[[#This Row],['#ID]],1,2)="TM","Manuale","Documenti")))</f>
        <v>Manuale</v>
      </c>
      <c r="F409" s="34" t="s">
        <v>1006</v>
      </c>
      <c r="G409" s="34" t="s">
        <v>372</v>
      </c>
      <c r="H409" s="34" t="str">
        <f>IF(Tabella4[[#This Row],[Componente]]="Documenti","10.","9.")&amp;Tabella4[[#This Row],[Criterio]]</f>
        <v>9.2.5.8</v>
      </c>
      <c r="I409" s="34" t="s">
        <v>1023</v>
      </c>
      <c r="J409" s="34" t="s">
        <v>1032</v>
      </c>
      <c r="K409" s="34" t="s">
        <v>1033</v>
      </c>
      <c r="L409" s="34" t="s">
        <v>1034</v>
      </c>
      <c r="M409" s="34" t="s">
        <v>1035</v>
      </c>
      <c r="N409" t="s">
        <v>1344</v>
      </c>
      <c r="O409" t="s">
        <v>1345</v>
      </c>
      <c r="P409" t="s">
        <v>388</v>
      </c>
      <c r="R409" s="34" t="str">
        <f>IF(Tabella4[[#This Row],[Componente]]="Documenti",_xlfn.XLOOKUP(Tabella4[[#This Row],[URL]],Tabella27[URL],Tabella27[PDF ID],,0),_xlfn.XLOOKUP(Tabella4[[#This Row],[URL]],Tabella1[URL],Tabella1[Page ID],,0))</f>
        <v>#8</v>
      </c>
      <c r="S409" s="34" t="s">
        <v>1004</v>
      </c>
      <c r="T409" t="s">
        <v>518</v>
      </c>
      <c r="V409" t="s">
        <v>519</v>
      </c>
      <c r="W409" s="34" t="s">
        <v>1068</v>
      </c>
      <c r="X40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id="heading-item-posteinsurancebrokerposteinsurancebroker-moduliguidare-sicuri-fase-di-vendita-faq-accordion-necessarioindicareilconducenteabitualedellauto-16-16"&gt;</v>
      </c>
      <c r="Y409" s="34" t="str">
        <f>SUBSTITUTE(IF(Tabella4[[#This Row],[Tool]]="axe-core",MID(Tabella4[[#This Row],[Rejected Element]],3,LEN(Tabella4[[#This Row],[Rejected Element]])-4),Tabella4[[#This Row],[Rejected Element]]),"\","")</f>
        <v>#heading-item-posteinsurancebrokerposteinsurancebroker-moduliguidare-sicuri-fase-di-vendita-faq-accordion-necessarioindicareilconducenteabitualedellauto-16-16</v>
      </c>
      <c r="Z409" s="34">
        <f>COUNTIFS(Tabella4[Detail univoco],Tabella4[[#This Row],[Detail univoco]],Tabella4[Rejected Element Univoco],Tabella4[[#This Row],[Rejected Element Univoco]],Tabella4[ItemsNodeLabel],Tabella4[[#This Row],[ItemsNodeLabel]])</f>
        <v>0</v>
      </c>
      <c r="AA409" s="34" t="str">
        <f>IF(Tabella4[[#This Row],[Componente]]="Documenti",VLOOKUP(Tabella4[[#This Row],[URL]],Tabella27[[URL]:[Servizio]],4,FALSE),VLOOKUP(Tabella4[[#This Row],[Page ID]],Tabella1[[Page ID]:[Servizio]],4,FALSE))</f>
        <v>S002 Poste Guidare Sicuri</v>
      </c>
      <c r="AB409" t="s">
        <v>1519</v>
      </c>
      <c r="AC409" s="34" t="str">
        <f>Tabella4[[#This Row],[User Impact]]</f>
        <v>2 - Serious</v>
      </c>
      <c r="AD409" s="34" t="str">
        <f>Copertina!C$2&amp;" - "&amp;Tabella4[[#This Row],[UNI CEI EN 301549]]&amp;" "&amp;VLOOKUP(Tabella4[[#This Row],[Criterio]],Tabella5[[ID]:[Criterio di successo]],2,FALSE)&amp;" - "&amp;Tabella4[[#This Row],[Servizio]]&amp;":"</f>
        <v>Insurance Brocker - 9.2.5.8 Dimensione dell'obiettivo (minimo) - S002 Poste Guidare Sicuri:</v>
      </c>
      <c r="AE40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(#TM0312)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id="heading-item-posteinsurancebrokerposteinsurancebroker-moduliguidare-sicuri-fase-di-vendita-faq-accordion-necessarioindicareilconducenteabitualedellauto-16-16"&gt; con selettore: 
["#heading-item-posteinsurancebrokerposteinsurancebroker-moduliguidare-sicuri-fase-di-vendita-faq-accordion-necessarioindicareilconducenteabitualedellauto-16-16"]
Dettaglio + screenshot (accedere con le seguenti credenziali: user, axeposte@gmail.com; password, Poste2024!): https://axe.deque.com/issues/f1cf77e4-c5c6-4365-bef3-01d7e0deb3b8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09" t="e">
        <f>_xlfn.XLOOKUP(Tabella4[[#This Row],[ID Silk]],outTable[ID Silk],outTable[Numero ticket  ],,0,1)</f>
        <v>#N/A</v>
      </c>
    </row>
    <row r="410" spans="1:32">
      <c r="A410" s="34" t="str">
        <f>MID(Tabella4[[#This Row],[Servizio]],1,4)&amp;Tabella4[[#This Row],[UNI CEI EN 301549]]</f>
        <v>S0029.2.5.8</v>
      </c>
      <c r="B410" s="34" t="str">
        <f>Tabella4[[#This Row],[ID Silk]]&amp;"_1"</f>
        <v>S0029.2.5.8_1</v>
      </c>
      <c r="C410" s="34" t="s">
        <v>1755</v>
      </c>
      <c r="D410" s="2" t="str">
        <f>"(#"&amp;Tabella4[[#This Row],['#ID]]&amp;")"</f>
        <v>(#TM0313)</v>
      </c>
      <c r="E410" s="34" t="str">
        <f>IF(MID(Tabella4[[#This Row],['#ID]],1,1)="M","Mobile",IF(MID(Tabella4[[#This Row],['#ID]],1,1)="D","Desktop",IF(MID(Tabella4[[#This Row],['#ID]],1,2)="TM","Manuale","Documenti")))</f>
        <v>Manuale</v>
      </c>
      <c r="F410" s="34" t="s">
        <v>1006</v>
      </c>
      <c r="G410" s="34" t="s">
        <v>372</v>
      </c>
      <c r="H410" s="34" t="str">
        <f>IF(Tabella4[[#This Row],[Componente]]="Documenti","10.","9.")&amp;Tabella4[[#This Row],[Criterio]]</f>
        <v>9.2.5.8</v>
      </c>
      <c r="I410" s="34" t="s">
        <v>1023</v>
      </c>
      <c r="J410" s="34" t="s">
        <v>1032</v>
      </c>
      <c r="K410" s="34" t="s">
        <v>1033</v>
      </c>
      <c r="L410" s="34" t="s">
        <v>1034</v>
      </c>
      <c r="M410" s="34" t="s">
        <v>1035</v>
      </c>
      <c r="N410" t="s">
        <v>1520</v>
      </c>
      <c r="O410" t="s">
        <v>1521</v>
      </c>
      <c r="P410" t="s">
        <v>388</v>
      </c>
      <c r="R410" s="34" t="str">
        <f>IF(Tabella4[[#This Row],[Componente]]="Documenti",_xlfn.XLOOKUP(Tabella4[[#This Row],[URL]],Tabella27[URL],Tabella27[PDF ID],,0),_xlfn.XLOOKUP(Tabella4[[#This Row],[URL]],Tabella1[URL],Tabella1[Page ID],,0))</f>
        <v>#8</v>
      </c>
      <c r="S410" s="34" t="s">
        <v>1004</v>
      </c>
      <c r="T410" t="s">
        <v>518</v>
      </c>
      <c r="V410" t="s">
        <v>521</v>
      </c>
      <c r="W410" s="34" t="s">
        <v>1068</v>
      </c>
      <c r="X41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href="#item-posteinsurancebrokerposteinsurancebroker-moduliguidare-sicuri-fase-di-vendita-faq-accordion-necessarioindicareilconducenteabitualedellauto-16" aria-expanded="false" aria-controls="item-posteinsurancebrokerposteinsurancebroker-moduliguidare-sicuri-fase-di-vendita-faq-accordion-necessarioindicareilconducenteabitualedellauto-16" title="È necessario indicare il conducente abituale dell’auto?"&gt;</v>
      </c>
      <c r="Y410" s="34" t="str">
        <f>SUBSTITUTE(IF(Tabella4[[#This Row],[Tool]]="axe-core",MID(Tabella4[[#This Row],[Rejected Element]],3,LEN(Tabella4[[#This Row],[Rejected Element]])-4),Tabella4[[#This Row],[Rejected Element]]),"\","")</f>
        <v>#heading-item-posteinsurancebrokerposteinsurancebroker-moduliguidare-sicuri-fase-di-vendita-faq-accordion-necessarioindicareilconducenteabitualedellauto-16-16 &gt; .panel-title &gt; .accordion-toggle.collapsed[role="button"]</v>
      </c>
      <c r="Z410" s="34">
        <f>COUNTIFS(Tabella4[Detail univoco],Tabella4[[#This Row],[Detail univoco]],Tabella4[Rejected Element Univoco],Tabella4[[#This Row],[Rejected Element Univoco]],Tabella4[ItemsNodeLabel],Tabella4[[#This Row],[ItemsNodeLabel]])</f>
        <v>0</v>
      </c>
      <c r="AA410" s="34" t="str">
        <f>IF(Tabella4[[#This Row],[Componente]]="Documenti",VLOOKUP(Tabella4[[#This Row],[URL]],Tabella27[[URL]:[Servizio]],4,FALSE),VLOOKUP(Tabella4[[#This Row],[Page ID]],Tabella1[[Page ID]:[Servizio]],4,FALSE))</f>
        <v>S002 Poste Guidare Sicuri</v>
      </c>
      <c r="AB410" t="s">
        <v>1522</v>
      </c>
      <c r="AC410" s="34" t="str">
        <f>Tabella4[[#This Row],[User Impact]]</f>
        <v>2 - Serious</v>
      </c>
      <c r="AD410" s="34" t="str">
        <f>Copertina!C$2&amp;" - "&amp;Tabella4[[#This Row],[UNI CEI EN 301549]]&amp;" "&amp;VLOOKUP(Tabella4[[#This Row],[Criterio]],Tabella5[[ID]:[Criterio di successo]],2,FALSE)&amp;" - "&amp;Tabella4[[#This Row],[Servizio]]&amp;":"</f>
        <v>Insurance Brocker - 9.2.5.8 Dimensione dell'obiettivo (minimo) - S002 Poste Guidare Sicuri:</v>
      </c>
      <c r="AE41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(#TM0313)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href="#item-posteinsurancebrokerposteinsurancebroker-moduliguidare-sicuri-fase-di-vendita-faq-accordion-necessarioindicareilconducenteabitualedellauto-16" aria-expanded="false" aria-controls="item-posteinsurancebrokerposteinsurancebroker-moduliguidare-sicuri-fase-di-vendita-faq-accordion-necessarioindicareilconducenteabitualedellauto-16" title="È necessario indicare il conducente abituale dell’auto?"&gt; con selettore: 
["#heading-item-posteinsurancebrokerposteinsurancebroker-moduliguidare-sicuri-fase-di-vendita-faq-accordion-necessarioindicareilconducenteabitualedellauto-16-16 &gt; .panel-title &gt; .accordion-toggle.collapsed[role=\"button\"]"]
Dettaglio + screenshot (accedere con le seguenti credenziali: user, axeposte@gmail.com; password, Poste2024!): https://axe.deque.com/issues/58b23c8b-032d-454f-aafd-b5fb8ec14982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10" t="e">
        <f>_xlfn.XLOOKUP(Tabella4[[#This Row],[ID Silk]],outTable[ID Silk],outTable[Numero ticket  ],,0,1)</f>
        <v>#N/A</v>
      </c>
    </row>
    <row r="411" spans="1:32">
      <c r="A411" s="34" t="str">
        <f>MID(Tabella4[[#This Row],[Servizio]],1,4)&amp;Tabella4[[#This Row],[UNI CEI EN 301549]]</f>
        <v>S0029.2.5.8</v>
      </c>
      <c r="B411" s="34" t="str">
        <f>Tabella4[[#This Row],[ID Silk]]&amp;"_1"</f>
        <v>S0029.2.5.8_1</v>
      </c>
      <c r="C411" s="34" t="s">
        <v>1756</v>
      </c>
      <c r="D411" s="2" t="str">
        <f>"(#"&amp;Tabella4[[#This Row],['#ID]]&amp;")"</f>
        <v>(#TM0314)</v>
      </c>
      <c r="E411" s="34" t="str">
        <f>IF(MID(Tabella4[[#This Row],['#ID]],1,1)="M","Mobile",IF(MID(Tabella4[[#This Row],['#ID]],1,1)="D","Desktop",IF(MID(Tabella4[[#This Row],['#ID]],1,2)="TM","Manuale","Documenti")))</f>
        <v>Manuale</v>
      </c>
      <c r="F411" s="34" t="s">
        <v>1006</v>
      </c>
      <c r="G411" s="34" t="s">
        <v>372</v>
      </c>
      <c r="H411" s="34" t="str">
        <f>IF(Tabella4[[#This Row],[Componente]]="Documenti","10.","9.")&amp;Tabella4[[#This Row],[Criterio]]</f>
        <v>9.2.5.8</v>
      </c>
      <c r="I411" s="34" t="s">
        <v>1023</v>
      </c>
      <c r="J411" s="34" t="s">
        <v>1032</v>
      </c>
      <c r="K411" s="34" t="s">
        <v>1033</v>
      </c>
      <c r="L411" s="34" t="s">
        <v>1034</v>
      </c>
      <c r="M411" s="34" t="s">
        <v>1035</v>
      </c>
      <c r="N411" t="s">
        <v>1347</v>
      </c>
      <c r="O411" t="s">
        <v>1348</v>
      </c>
      <c r="P411" t="s">
        <v>388</v>
      </c>
      <c r="R411" s="34" t="str">
        <f>IF(Tabella4[[#This Row],[Componente]]="Documenti",_xlfn.XLOOKUP(Tabella4[[#This Row],[URL]],Tabella27[URL],Tabella27[PDF ID],,0),_xlfn.XLOOKUP(Tabella4[[#This Row],[URL]],Tabella1[URL],Tabella1[Page ID],,0))</f>
        <v>#8</v>
      </c>
      <c r="S411" s="34" t="s">
        <v>1004</v>
      </c>
      <c r="T411" t="s">
        <v>518</v>
      </c>
      <c r="V411" t="s">
        <v>519</v>
      </c>
      <c r="W411" s="34" t="s">
        <v>1068</v>
      </c>
      <c r="X41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id="heading-item-posteinsurancebrokerposteinsurancebroker-moduliguidare-sicuri-fase-di-vendita-faq-accordion-possibilemodificareilpreventivoemessoinufficiopostaleunavoltagenerato-17-17"&gt;</v>
      </c>
      <c r="Y411" s="34" t="str">
        <f>SUBSTITUTE(IF(Tabella4[[#This Row],[Tool]]="axe-core",MID(Tabella4[[#This Row],[Rejected Element]],3,LEN(Tabella4[[#This Row],[Rejected Element]])-4),Tabella4[[#This Row],[Rejected Element]]),"\","")</f>
        <v>#heading-item-posteinsurancebrokerposteinsurancebroker-moduliguidare-sicuri-fase-di-vendita-faq-accordion-possibilemodificareilpreventivoemessoinufficiopostaleunavoltagenerato-17-17</v>
      </c>
      <c r="Z411" s="34">
        <f>COUNTIFS(Tabella4[Detail univoco],Tabella4[[#This Row],[Detail univoco]],Tabella4[Rejected Element Univoco],Tabella4[[#This Row],[Rejected Element Univoco]],Tabella4[ItemsNodeLabel],Tabella4[[#This Row],[ItemsNodeLabel]])</f>
        <v>0</v>
      </c>
      <c r="AA411" s="34" t="str">
        <f>IF(Tabella4[[#This Row],[Componente]]="Documenti",VLOOKUP(Tabella4[[#This Row],[URL]],Tabella27[[URL]:[Servizio]],4,FALSE),VLOOKUP(Tabella4[[#This Row],[Page ID]],Tabella1[[Page ID]:[Servizio]],4,FALSE))</f>
        <v>S002 Poste Guidare Sicuri</v>
      </c>
      <c r="AB411" t="s">
        <v>1523</v>
      </c>
      <c r="AC411" s="34" t="str">
        <f>Tabella4[[#This Row],[User Impact]]</f>
        <v>2 - Serious</v>
      </c>
      <c r="AD411" s="34" t="str">
        <f>Copertina!C$2&amp;" - "&amp;Tabella4[[#This Row],[UNI CEI EN 301549]]&amp;" "&amp;VLOOKUP(Tabella4[[#This Row],[Criterio]],Tabella5[[ID]:[Criterio di successo]],2,FALSE)&amp;" - "&amp;Tabella4[[#This Row],[Servizio]]&amp;":"</f>
        <v>Insurance Brocker - 9.2.5.8 Dimensione dell'obiettivo (minimo) - S002 Poste Guidare Sicuri:</v>
      </c>
      <c r="AE41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(#TM0314)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id="heading-item-posteinsurancebrokerposteinsurancebroker-moduliguidare-sicuri-fase-di-vendita-faq-accordion-possibilemodificareilpreventivoemessoinufficiopostaleunavoltagenerato-17-17"&gt; con selettore: 
["#heading-item-posteinsurancebrokerposteinsurancebroker-moduliguidare-sicuri-fase-di-vendita-faq-accordion-possibilemodificareilpreventivoemessoinufficiopostaleunavoltagenerato-17-17"]
Dettaglio + screenshot (accedere con le seguenti credenziali: user, axeposte@gmail.com; password, Poste2024!): https://axe.deque.com/issues/9388a345-9925-4dab-8893-f2218c0bced6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11" t="e">
        <f>_xlfn.XLOOKUP(Tabella4[[#This Row],[ID Silk]],outTable[ID Silk],outTable[Numero ticket  ],,0,1)</f>
        <v>#N/A</v>
      </c>
    </row>
    <row r="412" spans="1:32">
      <c r="A412" s="34" t="str">
        <f>MID(Tabella4[[#This Row],[Servizio]],1,4)&amp;Tabella4[[#This Row],[UNI CEI EN 301549]]</f>
        <v>S0029.2.5.8</v>
      </c>
      <c r="B412" s="34" t="str">
        <f>Tabella4[[#This Row],[ID Silk]]&amp;"_1"</f>
        <v>S0029.2.5.8_1</v>
      </c>
      <c r="C412" s="34" t="s">
        <v>1757</v>
      </c>
      <c r="D412" s="2" t="str">
        <f>"(#"&amp;Tabella4[[#This Row],['#ID]]&amp;")"</f>
        <v>(#TM0315)</v>
      </c>
      <c r="E412" s="34" t="str">
        <f>IF(MID(Tabella4[[#This Row],['#ID]],1,1)="M","Mobile",IF(MID(Tabella4[[#This Row],['#ID]],1,1)="D","Desktop",IF(MID(Tabella4[[#This Row],['#ID]],1,2)="TM","Manuale","Documenti")))</f>
        <v>Manuale</v>
      </c>
      <c r="F412" s="34" t="s">
        <v>1006</v>
      </c>
      <c r="G412" s="34" t="s">
        <v>372</v>
      </c>
      <c r="H412" s="34" t="str">
        <f>IF(Tabella4[[#This Row],[Componente]]="Documenti","10.","9.")&amp;Tabella4[[#This Row],[Criterio]]</f>
        <v>9.2.5.8</v>
      </c>
      <c r="I412" s="34" t="s">
        <v>1023</v>
      </c>
      <c r="J412" s="34" t="s">
        <v>1032</v>
      </c>
      <c r="K412" s="34" t="s">
        <v>1033</v>
      </c>
      <c r="L412" s="34" t="s">
        <v>1034</v>
      </c>
      <c r="M412" s="34" t="s">
        <v>1035</v>
      </c>
      <c r="N412" t="s">
        <v>1524</v>
      </c>
      <c r="O412" t="s">
        <v>1525</v>
      </c>
      <c r="P412" t="s">
        <v>388</v>
      </c>
      <c r="R412" s="34" t="str">
        <f>IF(Tabella4[[#This Row],[Componente]]="Documenti",_xlfn.XLOOKUP(Tabella4[[#This Row],[URL]],Tabella27[URL],Tabella27[PDF ID],,0),_xlfn.XLOOKUP(Tabella4[[#This Row],[URL]],Tabella1[URL],Tabella1[Page ID],,0))</f>
        <v>#8</v>
      </c>
      <c r="S412" s="34" t="s">
        <v>1004</v>
      </c>
      <c r="T412" t="s">
        <v>518</v>
      </c>
      <c r="V412" t="s">
        <v>521</v>
      </c>
      <c r="W412" s="34" t="s">
        <v>1068</v>
      </c>
      <c r="X41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href="#item-posteinsurancebrokerposteinsurancebroker-moduliguidare-sicuri-fase-di-vendita-faq-accordion-possibilemodificareilpreventivoemessoinufficiopostaleunavoltagenerato-17" aria-expanded="false" aria-controls="item-posteinsurancebrokerposteinsurancebroker-moduliguidare-sicuri-fase-di-vendita-faq-accordion-possibilemodificareilpreventivoemessoinufficiopostaleunavoltagenerato-17" title="È possibile modificare il preventivo emesso in Ufficio Postale una volta generato?"&gt;</v>
      </c>
      <c r="Y412" s="34" t="str">
        <f>SUBSTITUTE(IF(Tabella4[[#This Row],[Tool]]="axe-core",MID(Tabella4[[#This Row],[Rejected Element]],3,LEN(Tabella4[[#This Row],[Rejected Element]])-4),Tabella4[[#This Row],[Rejected Element]]),"\","")</f>
        <v>#heading-item-posteinsurancebrokerposteinsurancebroker-moduliguidare-sicuri-fase-di-vendita-faq-accordion-possibilemodificareilpreventivoemessoinufficiopostaleunavoltagenerato-17-17 &gt; .panel-title &gt; .accordion-toggle.collapsed[role="button"]</v>
      </c>
      <c r="Z412" s="34">
        <f>COUNTIFS(Tabella4[Detail univoco],Tabella4[[#This Row],[Detail univoco]],Tabella4[Rejected Element Univoco],Tabella4[[#This Row],[Rejected Element Univoco]],Tabella4[ItemsNodeLabel],Tabella4[[#This Row],[ItemsNodeLabel]])</f>
        <v>0</v>
      </c>
      <c r="AA412" s="34" t="str">
        <f>IF(Tabella4[[#This Row],[Componente]]="Documenti",VLOOKUP(Tabella4[[#This Row],[URL]],Tabella27[[URL]:[Servizio]],4,FALSE),VLOOKUP(Tabella4[[#This Row],[Page ID]],Tabella1[[Page ID]:[Servizio]],4,FALSE))</f>
        <v>S002 Poste Guidare Sicuri</v>
      </c>
      <c r="AB412" t="s">
        <v>1526</v>
      </c>
      <c r="AC412" s="34" t="str">
        <f>Tabella4[[#This Row],[User Impact]]</f>
        <v>2 - Serious</v>
      </c>
      <c r="AD412" s="34" t="str">
        <f>Copertina!C$2&amp;" - "&amp;Tabella4[[#This Row],[UNI CEI EN 301549]]&amp;" "&amp;VLOOKUP(Tabella4[[#This Row],[Criterio]],Tabella5[[ID]:[Criterio di successo]],2,FALSE)&amp;" - "&amp;Tabella4[[#This Row],[Servizio]]&amp;":"</f>
        <v>Insurance Brocker - 9.2.5.8 Dimensione dell'obiettivo (minimo) - S002 Poste Guidare Sicuri:</v>
      </c>
      <c r="AE41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(#TM0315)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href="#item-posteinsurancebrokerposteinsurancebroker-moduliguidare-sicuri-fase-di-vendita-faq-accordion-possibilemodificareilpreventivoemessoinufficiopostaleunavoltagenerato-17" aria-expanded="false" aria-controls="item-posteinsurancebrokerposteinsurancebroker-moduliguidare-sicuri-fase-di-vendita-faq-accordion-possibilemodificareilpreventivoemessoinufficiopostaleunavoltagenerato-17" title="È possibile modificare il preventivo emesso in Ufficio Postale una volta generato?"&gt; con selettore: 
["#heading-item-posteinsurancebrokerposteinsurancebroker-moduliguidare-sicuri-fase-di-vendita-faq-accordion-possibilemodificareilpreventivoemessoinufficiopostaleunavoltagenerato-17-17 &gt; .panel-title &gt; .accordion-toggle.collapsed[role=\"button\"]"]
Dettaglio + screenshot (accedere con le seguenti credenziali: user, axeposte@gmail.com; password, Poste2024!): https://axe.deque.com/issues/a156124b-4b49-4ddb-8f7c-e5fe5cc8f8b7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12" t="e">
        <f>_xlfn.XLOOKUP(Tabella4[[#This Row],[ID Silk]],outTable[ID Silk],outTable[Numero ticket  ],,0,1)</f>
        <v>#N/A</v>
      </c>
    </row>
    <row r="413" spans="1:32">
      <c r="A413" s="34" t="str">
        <f>MID(Tabella4[[#This Row],[Servizio]],1,4)&amp;Tabella4[[#This Row],[UNI CEI EN 301549]]</f>
        <v>S0029.2.5.8</v>
      </c>
      <c r="B413" s="34" t="str">
        <f>Tabella4[[#This Row],[ID Silk]]&amp;"_1"</f>
        <v>S0029.2.5.8_1</v>
      </c>
      <c r="C413" s="34" t="s">
        <v>1758</v>
      </c>
      <c r="D413" s="2" t="str">
        <f>"(#"&amp;Tabella4[[#This Row],['#ID]]&amp;")"</f>
        <v>(#TM0316)</v>
      </c>
      <c r="E413" s="34" t="str">
        <f>IF(MID(Tabella4[[#This Row],['#ID]],1,1)="M","Mobile",IF(MID(Tabella4[[#This Row],['#ID]],1,1)="D","Desktop",IF(MID(Tabella4[[#This Row],['#ID]],1,2)="TM","Manuale","Documenti")))</f>
        <v>Manuale</v>
      </c>
      <c r="F413" s="34" t="s">
        <v>1006</v>
      </c>
      <c r="G413" s="34" t="s">
        <v>372</v>
      </c>
      <c r="H413" s="34" t="str">
        <f>IF(Tabella4[[#This Row],[Componente]]="Documenti","10.","9.")&amp;Tabella4[[#This Row],[Criterio]]</f>
        <v>9.2.5.8</v>
      </c>
      <c r="I413" s="34" t="s">
        <v>1023</v>
      </c>
      <c r="J413" s="34" t="s">
        <v>1032</v>
      </c>
      <c r="K413" s="34" t="s">
        <v>1033</v>
      </c>
      <c r="L413" s="34" t="s">
        <v>1034</v>
      </c>
      <c r="M413" s="34" t="s">
        <v>1035</v>
      </c>
      <c r="N413" t="s">
        <v>1350</v>
      </c>
      <c r="O413" t="s">
        <v>1351</v>
      </c>
      <c r="P413" t="s">
        <v>388</v>
      </c>
      <c r="R413" s="34" t="str">
        <f>IF(Tabella4[[#This Row],[Componente]]="Documenti",_xlfn.XLOOKUP(Tabella4[[#This Row],[URL]],Tabella27[URL],Tabella27[PDF ID],,0),_xlfn.XLOOKUP(Tabella4[[#This Row],[URL]],Tabella1[URL],Tabella1[Page ID],,0))</f>
        <v>#8</v>
      </c>
      <c r="S413" s="34" t="s">
        <v>1004</v>
      </c>
      <c r="T413" t="s">
        <v>518</v>
      </c>
      <c r="V413" t="s">
        <v>519</v>
      </c>
      <c r="W413" s="34" t="s">
        <v>1068</v>
      </c>
      <c r="X41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id="heading-item-posteinsurancebrokerposteinsurancebroker-moduliguidare-sicuri-fase-di-vendita-faq-accordion-possibileassicurareilganciotrainoedilrimorchio-18-18"&gt;</v>
      </c>
      <c r="Y413" s="34" t="str">
        <f>SUBSTITUTE(IF(Tabella4[[#This Row],[Tool]]="axe-core",MID(Tabella4[[#This Row],[Rejected Element]],3,LEN(Tabella4[[#This Row],[Rejected Element]])-4),Tabella4[[#This Row],[Rejected Element]]),"\","")</f>
        <v>#heading-item-posteinsurancebrokerposteinsurancebroker-moduliguidare-sicuri-fase-di-vendita-faq-accordion-possibileassicurareilganciotrainoedilrimorchio-18-18</v>
      </c>
      <c r="Z413" s="34">
        <f>COUNTIFS(Tabella4[Detail univoco],Tabella4[[#This Row],[Detail univoco]],Tabella4[Rejected Element Univoco],Tabella4[[#This Row],[Rejected Element Univoco]],Tabella4[ItemsNodeLabel],Tabella4[[#This Row],[ItemsNodeLabel]])</f>
        <v>0</v>
      </c>
      <c r="AA413" s="34" t="str">
        <f>IF(Tabella4[[#This Row],[Componente]]="Documenti",VLOOKUP(Tabella4[[#This Row],[URL]],Tabella27[[URL]:[Servizio]],4,FALSE),VLOOKUP(Tabella4[[#This Row],[Page ID]],Tabella1[[Page ID]:[Servizio]],4,FALSE))</f>
        <v>S002 Poste Guidare Sicuri</v>
      </c>
      <c r="AB413" t="s">
        <v>1527</v>
      </c>
      <c r="AC413" s="34" t="str">
        <f>Tabella4[[#This Row],[User Impact]]</f>
        <v>2 - Serious</v>
      </c>
      <c r="AD413" s="34" t="str">
        <f>Copertina!C$2&amp;" - "&amp;Tabella4[[#This Row],[UNI CEI EN 301549]]&amp;" "&amp;VLOOKUP(Tabella4[[#This Row],[Criterio]],Tabella5[[ID]:[Criterio di successo]],2,FALSE)&amp;" - "&amp;Tabella4[[#This Row],[Servizio]]&amp;":"</f>
        <v>Insurance Brocker - 9.2.5.8 Dimensione dell'obiettivo (minimo) - S002 Poste Guidare Sicuri:</v>
      </c>
      <c r="AE41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(#TM0316)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id="heading-item-posteinsurancebrokerposteinsurancebroker-moduliguidare-sicuri-fase-di-vendita-faq-accordion-possibileassicurareilganciotrainoedilrimorchio-18-18"&gt; con selettore: 
["#heading-item-posteinsurancebrokerposteinsurancebroker-moduliguidare-sicuri-fase-di-vendita-faq-accordion-possibileassicurareilganciotrainoedilrimorchio-18-18"]
Dettaglio + screenshot (accedere con le seguenti credenziali: user, axeposte@gmail.com; password, Poste2024!): https://axe.deque.com/issues/84510a2d-eb3a-4396-af65-c22a4dbe49b3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13" t="e">
        <f>_xlfn.XLOOKUP(Tabella4[[#This Row],[ID Silk]],outTable[ID Silk],outTable[Numero ticket  ],,0,1)</f>
        <v>#N/A</v>
      </c>
    </row>
    <row r="414" spans="1:32">
      <c r="A414" s="34" t="str">
        <f>MID(Tabella4[[#This Row],[Servizio]],1,4)&amp;Tabella4[[#This Row],[UNI CEI EN 301549]]</f>
        <v>S0029.2.5.8</v>
      </c>
      <c r="B414" s="34" t="str">
        <f>Tabella4[[#This Row],[ID Silk]]&amp;"_1"</f>
        <v>S0029.2.5.8_1</v>
      </c>
      <c r="C414" s="34" t="s">
        <v>1759</v>
      </c>
      <c r="D414" s="2" t="str">
        <f>"(#"&amp;Tabella4[[#This Row],['#ID]]&amp;")"</f>
        <v>(#TM0317)</v>
      </c>
      <c r="E414" s="34" t="str">
        <f>IF(MID(Tabella4[[#This Row],['#ID]],1,1)="M","Mobile",IF(MID(Tabella4[[#This Row],['#ID]],1,1)="D","Desktop",IF(MID(Tabella4[[#This Row],['#ID]],1,2)="TM","Manuale","Documenti")))</f>
        <v>Manuale</v>
      </c>
      <c r="F414" s="34" t="s">
        <v>1006</v>
      </c>
      <c r="G414" s="34" t="s">
        <v>372</v>
      </c>
      <c r="H414" s="34" t="str">
        <f>IF(Tabella4[[#This Row],[Componente]]="Documenti","10.","9.")&amp;Tabella4[[#This Row],[Criterio]]</f>
        <v>9.2.5.8</v>
      </c>
      <c r="I414" s="34" t="s">
        <v>1023</v>
      </c>
      <c r="J414" s="34" t="s">
        <v>1032</v>
      </c>
      <c r="K414" s="34" t="s">
        <v>1033</v>
      </c>
      <c r="L414" s="34" t="s">
        <v>1034</v>
      </c>
      <c r="M414" s="34" t="s">
        <v>1035</v>
      </c>
      <c r="N414" t="s">
        <v>1528</v>
      </c>
      <c r="O414" t="s">
        <v>1529</v>
      </c>
      <c r="P414" t="s">
        <v>388</v>
      </c>
      <c r="R414" s="34" t="str">
        <f>IF(Tabella4[[#This Row],[Componente]]="Documenti",_xlfn.XLOOKUP(Tabella4[[#This Row],[URL]],Tabella27[URL],Tabella27[PDF ID],,0),_xlfn.XLOOKUP(Tabella4[[#This Row],[URL]],Tabella1[URL],Tabella1[Page ID],,0))</f>
        <v>#8</v>
      </c>
      <c r="S414" s="34" t="s">
        <v>1004</v>
      </c>
      <c r="T414" t="s">
        <v>518</v>
      </c>
      <c r="V414" t="s">
        <v>521</v>
      </c>
      <c r="W414" s="34" t="s">
        <v>1068</v>
      </c>
      <c r="X41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href="#item-posteinsurancebrokerposteinsurancebroker-moduliguidare-sicuri-fase-di-vendita-faq-accordion-possibileassicurareilganciotrainoedilrimorchio-18" aria-expanded="false" aria-controls="item-posteinsurancebrokerposteinsurancebroker-moduliguidare-sicuri-fase-di-vendita-faq-accordion-possibileassicurareilganciotrainoedilrimorchio-18" title="È possibile assicurare il gancio traino ed il rimorchio?"&gt;</v>
      </c>
      <c r="Y414" s="34" t="str">
        <f>SUBSTITUTE(IF(Tabella4[[#This Row],[Tool]]="axe-core",MID(Tabella4[[#This Row],[Rejected Element]],3,LEN(Tabella4[[#This Row],[Rejected Element]])-4),Tabella4[[#This Row],[Rejected Element]]),"\","")</f>
        <v>#heading-item-posteinsurancebrokerposteinsurancebroker-moduliguidare-sicuri-fase-di-vendita-faq-accordion-possibileassicurareilganciotrainoedilrimorchio-18-18 &gt; .panel-title &gt; .accordion-toggle.collapsed[role="button"]</v>
      </c>
      <c r="Z414" s="34">
        <f>COUNTIFS(Tabella4[Detail univoco],Tabella4[[#This Row],[Detail univoco]],Tabella4[Rejected Element Univoco],Tabella4[[#This Row],[Rejected Element Univoco]],Tabella4[ItemsNodeLabel],Tabella4[[#This Row],[ItemsNodeLabel]])</f>
        <v>0</v>
      </c>
      <c r="AA414" s="34" t="str">
        <f>IF(Tabella4[[#This Row],[Componente]]="Documenti",VLOOKUP(Tabella4[[#This Row],[URL]],Tabella27[[URL]:[Servizio]],4,FALSE),VLOOKUP(Tabella4[[#This Row],[Page ID]],Tabella1[[Page ID]:[Servizio]],4,FALSE))</f>
        <v>S002 Poste Guidare Sicuri</v>
      </c>
      <c r="AB414" t="s">
        <v>1530</v>
      </c>
      <c r="AC414" s="34" t="str">
        <f>Tabella4[[#This Row],[User Impact]]</f>
        <v>2 - Serious</v>
      </c>
      <c r="AD414" s="34" t="str">
        <f>Copertina!C$2&amp;" - "&amp;Tabella4[[#This Row],[UNI CEI EN 301549]]&amp;" "&amp;VLOOKUP(Tabella4[[#This Row],[Criterio]],Tabella5[[ID]:[Criterio di successo]],2,FALSE)&amp;" - "&amp;Tabella4[[#This Row],[Servizio]]&amp;":"</f>
        <v>Insurance Brocker - 9.2.5.8 Dimensione dell'obiettivo (minimo) - S002 Poste Guidare Sicuri:</v>
      </c>
      <c r="AE41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(#TM0317)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href="#item-posteinsurancebrokerposteinsurancebroker-moduliguidare-sicuri-fase-di-vendita-faq-accordion-possibileassicurareilganciotrainoedilrimorchio-18" aria-expanded="false" aria-controls="item-posteinsurancebrokerposteinsurancebroker-moduliguidare-sicuri-fase-di-vendita-faq-accordion-possibileassicurareilganciotrainoedilrimorchio-18" title="È possibile assicurare il gancio traino ed il rimorchio?"&gt; con selettore: 
["#heading-item-posteinsurancebrokerposteinsurancebroker-moduliguidare-sicuri-fase-di-vendita-faq-accordion-possibileassicurareilganciotrainoedilrimorchio-18-18 &gt; .panel-title &gt; .accordion-toggle.collapsed[role=\"button\"]"]
Dettaglio + screenshot (accedere con le seguenti credenziali: user, axeposte@gmail.com; password, Poste2024!): https://axe.deque.com/issues/8d4b2a68-234a-4ddc-beda-f856514306bf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14" t="e">
        <f>_xlfn.XLOOKUP(Tabella4[[#This Row],[ID Silk]],outTable[ID Silk],outTable[Numero ticket  ],,0,1)</f>
        <v>#N/A</v>
      </c>
    </row>
    <row r="415" spans="1:32">
      <c r="A415" s="34" t="str">
        <f>MID(Tabella4[[#This Row],[Servizio]],1,4)&amp;Tabella4[[#This Row],[UNI CEI EN 301549]]</f>
        <v>S0029.2.5.8</v>
      </c>
      <c r="B415" s="34" t="str">
        <f>Tabella4[[#This Row],[ID Silk]]&amp;"_1"</f>
        <v>S0029.2.5.8_1</v>
      </c>
      <c r="C415" s="34" t="s">
        <v>1760</v>
      </c>
      <c r="D415" s="2" t="str">
        <f>"(#"&amp;Tabella4[[#This Row],['#ID]]&amp;")"</f>
        <v>(#TM0318)</v>
      </c>
      <c r="E415" s="34" t="str">
        <f>IF(MID(Tabella4[[#This Row],['#ID]],1,1)="M","Mobile",IF(MID(Tabella4[[#This Row],['#ID]],1,1)="D","Desktop",IF(MID(Tabella4[[#This Row],['#ID]],1,2)="TM","Manuale","Documenti")))</f>
        <v>Manuale</v>
      </c>
      <c r="F415" s="34" t="s">
        <v>1006</v>
      </c>
      <c r="G415" s="34" t="s">
        <v>372</v>
      </c>
      <c r="H415" s="34" t="str">
        <f>IF(Tabella4[[#This Row],[Componente]]="Documenti","10.","9.")&amp;Tabella4[[#This Row],[Criterio]]</f>
        <v>9.2.5.8</v>
      </c>
      <c r="I415" s="34" t="s">
        <v>1023</v>
      </c>
      <c r="J415" s="34" t="s">
        <v>1032</v>
      </c>
      <c r="K415" s="34" t="s">
        <v>1033</v>
      </c>
      <c r="L415" s="34" t="s">
        <v>1034</v>
      </c>
      <c r="M415" s="34" t="s">
        <v>1035</v>
      </c>
      <c r="N415" t="s">
        <v>1353</v>
      </c>
      <c r="O415" t="s">
        <v>1354</v>
      </c>
      <c r="P415" t="s">
        <v>388</v>
      </c>
      <c r="R415" s="34" t="str">
        <f>IF(Tabella4[[#This Row],[Componente]]="Documenti",_xlfn.XLOOKUP(Tabella4[[#This Row],[URL]],Tabella27[URL],Tabella27[PDF ID],,0),_xlfn.XLOOKUP(Tabella4[[#This Row],[URL]],Tabella1[URL],Tabella1[Page ID],,0))</f>
        <v>#8</v>
      </c>
      <c r="S415" s="34" t="s">
        <v>1004</v>
      </c>
      <c r="T415" t="s">
        <v>518</v>
      </c>
      <c r="V415" t="s">
        <v>519</v>
      </c>
      <c r="W415" s="34" t="s">
        <v>1068</v>
      </c>
      <c r="X41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id="heading-item-posteinsurancebrokerposteinsurancebroker-moduliguidare-sicuri-fase-di-vendita-faq-accordion-cosasiintendeperdirittodirivalsa-19-19"&gt;</v>
      </c>
      <c r="Y415" s="34" t="str">
        <f>SUBSTITUTE(IF(Tabella4[[#This Row],[Tool]]="axe-core",MID(Tabella4[[#This Row],[Rejected Element]],3,LEN(Tabella4[[#This Row],[Rejected Element]])-4),Tabella4[[#This Row],[Rejected Element]]),"\","")</f>
        <v>#heading-item-posteinsurancebrokerposteinsurancebroker-moduliguidare-sicuri-fase-di-vendita-faq-accordion-cosasiintendeperdirittodirivalsa-19-19</v>
      </c>
      <c r="Z415" s="34">
        <f>COUNTIFS(Tabella4[Detail univoco],Tabella4[[#This Row],[Detail univoco]],Tabella4[Rejected Element Univoco],Tabella4[[#This Row],[Rejected Element Univoco]],Tabella4[ItemsNodeLabel],Tabella4[[#This Row],[ItemsNodeLabel]])</f>
        <v>0</v>
      </c>
      <c r="AA415" s="34" t="str">
        <f>IF(Tabella4[[#This Row],[Componente]]="Documenti",VLOOKUP(Tabella4[[#This Row],[URL]],Tabella27[[URL]:[Servizio]],4,FALSE),VLOOKUP(Tabella4[[#This Row],[Page ID]],Tabella1[[Page ID]:[Servizio]],4,FALSE))</f>
        <v>S002 Poste Guidare Sicuri</v>
      </c>
      <c r="AB415" t="s">
        <v>1531</v>
      </c>
      <c r="AC415" s="34" t="str">
        <f>Tabella4[[#This Row],[User Impact]]</f>
        <v>2 - Serious</v>
      </c>
      <c r="AD415" s="34" t="str">
        <f>Copertina!C$2&amp;" - "&amp;Tabella4[[#This Row],[UNI CEI EN 301549]]&amp;" "&amp;VLOOKUP(Tabella4[[#This Row],[Criterio]],Tabella5[[ID]:[Criterio di successo]],2,FALSE)&amp;" - "&amp;Tabella4[[#This Row],[Servizio]]&amp;":"</f>
        <v>Insurance Brocker - 9.2.5.8 Dimensione dell'obiettivo (minimo) - S002 Poste Guidare Sicuri:</v>
      </c>
      <c r="AE41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(#TM0318)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id="heading-item-posteinsurancebrokerposteinsurancebroker-moduliguidare-sicuri-fase-di-vendita-faq-accordion-cosasiintendeperdirittodirivalsa-19-19"&gt; con selettore: 
["#heading-item-posteinsurancebrokerposteinsurancebroker-moduliguidare-sicuri-fase-di-vendita-faq-accordion-cosasiintendeperdirittodirivalsa-19-19"]
Dettaglio + screenshot (accedere con le seguenti credenziali: user, axeposte@gmail.com; password, Poste2024!): https://axe.deque.com/issues/fe676c82-1da2-4410-8824-efec6ab0c39b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15" t="e">
        <f>_xlfn.XLOOKUP(Tabella4[[#This Row],[ID Silk]],outTable[ID Silk],outTable[Numero ticket  ],,0,1)</f>
        <v>#N/A</v>
      </c>
    </row>
    <row r="416" spans="1:32">
      <c r="A416" s="34" t="str">
        <f>MID(Tabella4[[#This Row],[Servizio]],1,4)&amp;Tabella4[[#This Row],[UNI CEI EN 301549]]</f>
        <v>S0029.2.5.8</v>
      </c>
      <c r="B416" s="34" t="str">
        <f>Tabella4[[#This Row],[ID Silk]]&amp;"_1"</f>
        <v>S0029.2.5.8_1</v>
      </c>
      <c r="C416" s="34" t="s">
        <v>1761</v>
      </c>
      <c r="D416" s="2" t="str">
        <f>"(#"&amp;Tabella4[[#This Row],['#ID]]&amp;")"</f>
        <v>(#TM0319)</v>
      </c>
      <c r="E416" s="34" t="str">
        <f>IF(MID(Tabella4[[#This Row],['#ID]],1,1)="M","Mobile",IF(MID(Tabella4[[#This Row],['#ID]],1,1)="D","Desktop",IF(MID(Tabella4[[#This Row],['#ID]],1,2)="TM","Manuale","Documenti")))</f>
        <v>Manuale</v>
      </c>
      <c r="F416" s="34" t="s">
        <v>1006</v>
      </c>
      <c r="G416" s="34" t="s">
        <v>372</v>
      </c>
      <c r="H416" s="34" t="str">
        <f>IF(Tabella4[[#This Row],[Componente]]="Documenti","10.","9.")&amp;Tabella4[[#This Row],[Criterio]]</f>
        <v>9.2.5.8</v>
      </c>
      <c r="I416" s="34" t="s">
        <v>1023</v>
      </c>
      <c r="J416" s="34" t="s">
        <v>1032</v>
      </c>
      <c r="K416" s="34" t="s">
        <v>1033</v>
      </c>
      <c r="L416" s="34" t="s">
        <v>1034</v>
      </c>
      <c r="M416" s="34" t="s">
        <v>1035</v>
      </c>
      <c r="N416" t="s">
        <v>1532</v>
      </c>
      <c r="O416" t="s">
        <v>1533</v>
      </c>
      <c r="P416" t="s">
        <v>388</v>
      </c>
      <c r="R416" s="34" t="str">
        <f>IF(Tabella4[[#This Row],[Componente]]="Documenti",_xlfn.XLOOKUP(Tabella4[[#This Row],[URL]],Tabella27[URL],Tabella27[PDF ID],,0),_xlfn.XLOOKUP(Tabella4[[#This Row],[URL]],Tabella1[URL],Tabella1[Page ID],,0))</f>
        <v>#8</v>
      </c>
      <c r="S416" s="34" t="s">
        <v>1004</v>
      </c>
      <c r="T416" t="s">
        <v>518</v>
      </c>
      <c r="V416" t="s">
        <v>521</v>
      </c>
      <c r="W416" s="34" t="s">
        <v>1068</v>
      </c>
      <c r="X41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href="#item-posteinsurancebrokerposteinsurancebroker-moduliguidare-sicuri-fase-di-vendita-faq-accordion-cosasiintendeperdirittodirivalsa-19" aria-expanded="false" aria-controls="item-posteinsurancebrokerposteinsurancebroker-moduliguidare-sicuri-fase-di-vendita-faq-accordion-cosasiintendeperdirittodirivalsa-19" title="Cosa si intende per diritto di rivalsa?"&gt;</v>
      </c>
      <c r="Y416" s="34" t="str">
        <f>SUBSTITUTE(IF(Tabella4[[#This Row],[Tool]]="axe-core",MID(Tabella4[[#This Row],[Rejected Element]],3,LEN(Tabella4[[#This Row],[Rejected Element]])-4),Tabella4[[#This Row],[Rejected Element]]),"\","")</f>
        <v>#heading-item-posteinsurancebrokerposteinsurancebroker-moduliguidare-sicuri-fase-di-vendita-faq-accordion-cosasiintendeperdirittodirivalsa-19-19 &gt; .panel-title &gt; .accordion-toggle.collapsed[role="button"]</v>
      </c>
      <c r="Z416" s="34">
        <f>COUNTIFS(Tabella4[Detail univoco],Tabella4[[#This Row],[Detail univoco]],Tabella4[Rejected Element Univoco],Tabella4[[#This Row],[Rejected Element Univoco]],Tabella4[ItemsNodeLabel],Tabella4[[#This Row],[ItemsNodeLabel]])</f>
        <v>0</v>
      </c>
      <c r="AA416" s="34" t="str">
        <f>IF(Tabella4[[#This Row],[Componente]]="Documenti",VLOOKUP(Tabella4[[#This Row],[URL]],Tabella27[[URL]:[Servizio]],4,FALSE),VLOOKUP(Tabella4[[#This Row],[Page ID]],Tabella1[[Page ID]:[Servizio]],4,FALSE))</f>
        <v>S002 Poste Guidare Sicuri</v>
      </c>
      <c r="AB416" t="s">
        <v>1534</v>
      </c>
      <c r="AC416" s="34" t="str">
        <f>Tabella4[[#This Row],[User Impact]]</f>
        <v>2 - Serious</v>
      </c>
      <c r="AD416" s="34" t="str">
        <f>Copertina!C$2&amp;" - "&amp;Tabella4[[#This Row],[UNI CEI EN 301549]]&amp;" "&amp;VLOOKUP(Tabella4[[#This Row],[Criterio]],Tabella5[[ID]:[Criterio di successo]],2,FALSE)&amp;" - "&amp;Tabella4[[#This Row],[Servizio]]&amp;":"</f>
        <v>Insurance Brocker - 9.2.5.8 Dimensione dell'obiettivo (minimo) - S002 Poste Guidare Sicuri:</v>
      </c>
      <c r="AE41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(#TM0319)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href="#item-posteinsurancebrokerposteinsurancebroker-moduliguidare-sicuri-fase-di-vendita-faq-accordion-cosasiintendeperdirittodirivalsa-19" aria-expanded="false" aria-controls="item-posteinsurancebrokerposteinsurancebroker-moduliguidare-sicuri-fase-di-vendita-faq-accordion-cosasiintendeperdirittodirivalsa-19" title="Cosa si intende per diritto di rivalsa?"&gt; con selettore: 
["#heading-item-posteinsurancebrokerposteinsurancebroker-moduliguidare-sicuri-fase-di-vendita-faq-accordion-cosasiintendeperdirittodirivalsa-19-19 &gt; .panel-title &gt; .accordion-toggle.collapsed[role=\"button\"]"]
Dettaglio + screenshot (accedere con le seguenti credenziali: user, axeposte@gmail.com; password, Poste2024!): https://axe.deque.com/issues/2bc68fa1-ff0a-487a-a14d-a25676e52ab3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16" t="e">
        <f>_xlfn.XLOOKUP(Tabella4[[#This Row],[ID Silk]],outTable[ID Silk],outTable[Numero ticket  ],,0,1)</f>
        <v>#N/A</v>
      </c>
    </row>
    <row r="417" spans="1:32">
      <c r="A417" s="34" t="str">
        <f>MID(Tabella4[[#This Row],[Servizio]],1,4)&amp;Tabella4[[#This Row],[UNI CEI EN 301549]]</f>
        <v>S0029.2.5.8</v>
      </c>
      <c r="B417" s="34" t="str">
        <f>Tabella4[[#This Row],[ID Silk]]&amp;"_1"</f>
        <v>S0029.2.5.8_1</v>
      </c>
      <c r="C417" s="34" t="s">
        <v>1762</v>
      </c>
      <c r="D417" s="2" t="str">
        <f>"(#"&amp;Tabella4[[#This Row],['#ID]]&amp;")"</f>
        <v>(#TM0320)</v>
      </c>
      <c r="E417" s="34" t="str">
        <f>IF(MID(Tabella4[[#This Row],['#ID]],1,1)="M","Mobile",IF(MID(Tabella4[[#This Row],['#ID]],1,1)="D","Desktop",IF(MID(Tabella4[[#This Row],['#ID]],1,2)="TM","Manuale","Documenti")))</f>
        <v>Manuale</v>
      </c>
      <c r="F417" s="34" t="s">
        <v>1006</v>
      </c>
      <c r="G417" s="34" t="s">
        <v>372</v>
      </c>
      <c r="H417" s="34" t="str">
        <f>IF(Tabella4[[#This Row],[Componente]]="Documenti","10.","9.")&amp;Tabella4[[#This Row],[Criterio]]</f>
        <v>9.2.5.8</v>
      </c>
      <c r="I417" s="34" t="s">
        <v>1023</v>
      </c>
      <c r="J417" s="34" t="s">
        <v>1032</v>
      </c>
      <c r="K417" s="34" t="s">
        <v>1033</v>
      </c>
      <c r="L417" s="34" t="s">
        <v>1034</v>
      </c>
      <c r="M417" s="34" t="s">
        <v>1035</v>
      </c>
      <c r="N417" t="s">
        <v>1356</v>
      </c>
      <c r="O417" t="s">
        <v>1357</v>
      </c>
      <c r="P417" t="s">
        <v>388</v>
      </c>
      <c r="R417" s="34" t="str">
        <f>IF(Tabella4[[#This Row],[Componente]]="Documenti",_xlfn.XLOOKUP(Tabella4[[#This Row],[URL]],Tabella27[URL],Tabella27[PDF ID],,0),_xlfn.XLOOKUP(Tabella4[[#This Row],[URL]],Tabella1[URL],Tabella1[Page ID],,0))</f>
        <v>#8</v>
      </c>
      <c r="S417" s="34" t="s">
        <v>1004</v>
      </c>
      <c r="T417" t="s">
        <v>518</v>
      </c>
      <c r="V417" t="s">
        <v>519</v>
      </c>
      <c r="W417" s="34" t="s">
        <v>1068</v>
      </c>
      <c r="X41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id="heading-item-posteinsurancebrokerposteinsurancebroker-moduliguidare-sicuri-fase-di-vendita-faq-accordion-cosildispositivosatellitare-20-20"&gt;</v>
      </c>
      <c r="Y417" s="34" t="str">
        <f>SUBSTITUTE(IF(Tabella4[[#This Row],[Tool]]="axe-core",MID(Tabella4[[#This Row],[Rejected Element]],3,LEN(Tabella4[[#This Row],[Rejected Element]])-4),Tabella4[[#This Row],[Rejected Element]]),"\","")</f>
        <v>#heading-item-posteinsurancebrokerposteinsurancebroker-moduliguidare-sicuri-fase-di-vendita-faq-accordion-cosildispositivosatellitare-20-20</v>
      </c>
      <c r="Z417" s="34">
        <f>COUNTIFS(Tabella4[Detail univoco],Tabella4[[#This Row],[Detail univoco]],Tabella4[Rejected Element Univoco],Tabella4[[#This Row],[Rejected Element Univoco]],Tabella4[ItemsNodeLabel],Tabella4[[#This Row],[ItemsNodeLabel]])</f>
        <v>0</v>
      </c>
      <c r="AA417" s="34" t="str">
        <f>IF(Tabella4[[#This Row],[Componente]]="Documenti",VLOOKUP(Tabella4[[#This Row],[URL]],Tabella27[[URL]:[Servizio]],4,FALSE),VLOOKUP(Tabella4[[#This Row],[Page ID]],Tabella1[[Page ID]:[Servizio]],4,FALSE))</f>
        <v>S002 Poste Guidare Sicuri</v>
      </c>
      <c r="AB417" t="s">
        <v>1535</v>
      </c>
      <c r="AC417" s="34" t="str">
        <f>Tabella4[[#This Row],[User Impact]]</f>
        <v>2 - Serious</v>
      </c>
      <c r="AD417" s="34" t="str">
        <f>Copertina!C$2&amp;" - "&amp;Tabella4[[#This Row],[UNI CEI EN 301549]]&amp;" "&amp;VLOOKUP(Tabella4[[#This Row],[Criterio]],Tabella5[[ID]:[Criterio di successo]],2,FALSE)&amp;" - "&amp;Tabella4[[#This Row],[Servizio]]&amp;":"</f>
        <v>Insurance Brocker - 9.2.5.8 Dimensione dell'obiettivo (minimo) - S002 Poste Guidare Sicuri:</v>
      </c>
      <c r="AE41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(#TM0320)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id="heading-item-posteinsurancebrokerposteinsurancebroker-moduliguidare-sicuri-fase-di-vendita-faq-accordion-cosildispositivosatellitare-20-20"&gt; con selettore: 
["#heading-item-posteinsurancebrokerposteinsurancebroker-moduliguidare-sicuri-fase-di-vendita-faq-accordion-cosildispositivosatellitare-20-20"]
Dettaglio + screenshot (accedere con le seguenti credenziali: user, axeposte@gmail.com; password, Poste2024!): https://axe.deque.com/issues/49dee15c-b17d-4570-b57d-c4a5040920fb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17" t="e">
        <f>_xlfn.XLOOKUP(Tabella4[[#This Row],[ID Silk]],outTable[ID Silk],outTable[Numero ticket  ],,0,1)</f>
        <v>#N/A</v>
      </c>
    </row>
    <row r="418" spans="1:32">
      <c r="A418" s="34" t="str">
        <f>MID(Tabella4[[#This Row],[Servizio]],1,4)&amp;Tabella4[[#This Row],[UNI CEI EN 301549]]</f>
        <v>S0029.2.5.8</v>
      </c>
      <c r="B418" s="34" t="str">
        <f>Tabella4[[#This Row],[ID Silk]]&amp;"_1"</f>
        <v>S0029.2.5.8_1</v>
      </c>
      <c r="C418" s="34" t="s">
        <v>1763</v>
      </c>
      <c r="D418" s="2" t="str">
        <f>"(#"&amp;Tabella4[[#This Row],['#ID]]&amp;")"</f>
        <v>(#TM0321)</v>
      </c>
      <c r="E418" s="34" t="str">
        <f>IF(MID(Tabella4[[#This Row],['#ID]],1,1)="M","Mobile",IF(MID(Tabella4[[#This Row],['#ID]],1,1)="D","Desktop",IF(MID(Tabella4[[#This Row],['#ID]],1,2)="TM","Manuale","Documenti")))</f>
        <v>Manuale</v>
      </c>
      <c r="F418" s="34" t="s">
        <v>1006</v>
      </c>
      <c r="G418" s="34" t="s">
        <v>372</v>
      </c>
      <c r="H418" s="34" t="str">
        <f>IF(Tabella4[[#This Row],[Componente]]="Documenti","10.","9.")&amp;Tabella4[[#This Row],[Criterio]]</f>
        <v>9.2.5.8</v>
      </c>
      <c r="I418" s="34" t="s">
        <v>1023</v>
      </c>
      <c r="J418" s="34" t="s">
        <v>1032</v>
      </c>
      <c r="K418" s="34" t="s">
        <v>1033</v>
      </c>
      <c r="L418" s="34" t="s">
        <v>1034</v>
      </c>
      <c r="M418" s="34" t="s">
        <v>1035</v>
      </c>
      <c r="N418" t="s">
        <v>1536</v>
      </c>
      <c r="O418" t="s">
        <v>1537</v>
      </c>
      <c r="P418" t="s">
        <v>388</v>
      </c>
      <c r="R418" s="34" t="str">
        <f>IF(Tabella4[[#This Row],[Componente]]="Documenti",_xlfn.XLOOKUP(Tabella4[[#This Row],[URL]],Tabella27[URL],Tabella27[PDF ID],,0),_xlfn.XLOOKUP(Tabella4[[#This Row],[URL]],Tabella1[URL],Tabella1[Page ID],,0))</f>
        <v>#8</v>
      </c>
      <c r="S418" s="34" t="s">
        <v>1004</v>
      </c>
      <c r="T418" t="s">
        <v>518</v>
      </c>
      <c r="V418" t="s">
        <v>521</v>
      </c>
      <c r="W418" s="34" t="s">
        <v>1068</v>
      </c>
      <c r="X41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href="#item-posteinsurancebrokerposteinsurancebroker-moduliguidare-sicuri-fase-di-vendita-faq-accordion-cosildispositivosatellitare-20" aria-expanded="false" aria-controls="item-posteinsurancebrokerposteinsurancebroker-moduliguidare-sicuri-fase-di-vendita-faq-accordion-cosildispositivosatellitare-20" title="Cos’è il dispositivo satellitare?"&gt;</v>
      </c>
      <c r="Y418" s="34" t="str">
        <f>SUBSTITUTE(IF(Tabella4[[#This Row],[Tool]]="axe-core",MID(Tabella4[[#This Row],[Rejected Element]],3,LEN(Tabella4[[#This Row],[Rejected Element]])-4),Tabella4[[#This Row],[Rejected Element]]),"\","")</f>
        <v>#heading-item-posteinsurancebrokerposteinsurancebroker-moduliguidare-sicuri-fase-di-vendita-faq-accordion-cosildispositivosatellitare-20-20 &gt; .panel-title &gt; .accordion-toggle.collapsed[role="button"]</v>
      </c>
      <c r="Z418" s="34">
        <f>COUNTIFS(Tabella4[Detail univoco],Tabella4[[#This Row],[Detail univoco]],Tabella4[Rejected Element Univoco],Tabella4[[#This Row],[Rejected Element Univoco]],Tabella4[ItemsNodeLabel],Tabella4[[#This Row],[ItemsNodeLabel]])</f>
        <v>0</v>
      </c>
      <c r="AA418" s="34" t="str">
        <f>IF(Tabella4[[#This Row],[Componente]]="Documenti",VLOOKUP(Tabella4[[#This Row],[URL]],Tabella27[[URL]:[Servizio]],4,FALSE),VLOOKUP(Tabella4[[#This Row],[Page ID]],Tabella1[[Page ID]:[Servizio]],4,FALSE))</f>
        <v>S002 Poste Guidare Sicuri</v>
      </c>
      <c r="AB418" t="s">
        <v>1538</v>
      </c>
      <c r="AC418" s="34" t="str">
        <f>Tabella4[[#This Row],[User Impact]]</f>
        <v>2 - Serious</v>
      </c>
      <c r="AD418" s="34" t="str">
        <f>Copertina!C$2&amp;" - "&amp;Tabella4[[#This Row],[UNI CEI EN 301549]]&amp;" "&amp;VLOOKUP(Tabella4[[#This Row],[Criterio]],Tabella5[[ID]:[Criterio di successo]],2,FALSE)&amp;" - "&amp;Tabella4[[#This Row],[Servizio]]&amp;":"</f>
        <v>Insurance Brocker - 9.2.5.8 Dimensione dell'obiettivo (minimo) - S002 Poste Guidare Sicuri:</v>
      </c>
      <c r="AE41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(#TM0321)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href="#item-posteinsurancebrokerposteinsurancebroker-moduliguidare-sicuri-fase-di-vendita-faq-accordion-cosildispositivosatellitare-20" aria-expanded="false" aria-controls="item-posteinsurancebrokerposteinsurancebroker-moduliguidare-sicuri-fase-di-vendita-faq-accordion-cosildispositivosatellitare-20" title="Cos’è il dispositivo satellitare?"&gt; con selettore: 
["#heading-item-posteinsurancebrokerposteinsurancebroker-moduliguidare-sicuri-fase-di-vendita-faq-accordion-cosildispositivosatellitare-20-20 &gt; .panel-title &gt; .accordion-toggle.collapsed[role=\"button\"]"]
Dettaglio + screenshot (accedere con le seguenti credenziali: user, axeposte@gmail.com; password, Poste2024!): https://axe.deque.com/issues/20533984-de37-401b-a1d0-b3592af4e5ea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18" t="e">
        <f>_xlfn.XLOOKUP(Tabella4[[#This Row],[ID Silk]],outTable[ID Silk],outTable[Numero ticket  ],,0,1)</f>
        <v>#N/A</v>
      </c>
    </row>
    <row r="419" spans="1:32">
      <c r="A419" s="34" t="str">
        <f>MID(Tabella4[[#This Row],[Servizio]],1,4)&amp;Tabella4[[#This Row],[UNI CEI EN 301549]]</f>
        <v>S0029.2.5.8</v>
      </c>
      <c r="B419" s="34" t="str">
        <f>Tabella4[[#This Row],[ID Silk]]&amp;"_1"</f>
        <v>S0029.2.5.8_1</v>
      </c>
      <c r="C419" s="34" t="s">
        <v>1764</v>
      </c>
      <c r="D419" s="2" t="str">
        <f>"(#"&amp;Tabella4[[#This Row],['#ID]]&amp;")"</f>
        <v>(#TM0322)</v>
      </c>
      <c r="E419" s="34" t="str">
        <f>IF(MID(Tabella4[[#This Row],['#ID]],1,1)="M","Mobile",IF(MID(Tabella4[[#This Row],['#ID]],1,1)="D","Desktop",IF(MID(Tabella4[[#This Row],['#ID]],1,2)="TM","Manuale","Documenti")))</f>
        <v>Manuale</v>
      </c>
      <c r="F419" s="34" t="s">
        <v>1006</v>
      </c>
      <c r="G419" s="34" t="s">
        <v>372</v>
      </c>
      <c r="H419" s="34" t="str">
        <f>IF(Tabella4[[#This Row],[Componente]]="Documenti","10.","9.")&amp;Tabella4[[#This Row],[Criterio]]</f>
        <v>9.2.5.8</v>
      </c>
      <c r="I419" s="34" t="s">
        <v>1023</v>
      </c>
      <c r="J419" s="34" t="s">
        <v>1032</v>
      </c>
      <c r="K419" s="34" t="s">
        <v>1033</v>
      </c>
      <c r="L419" s="34" t="s">
        <v>1034</v>
      </c>
      <c r="M419" s="34" t="s">
        <v>1035</v>
      </c>
      <c r="N419" t="s">
        <v>1359</v>
      </c>
      <c r="O419" t="s">
        <v>1360</v>
      </c>
      <c r="P419" t="s">
        <v>388</v>
      </c>
      <c r="R419" s="34" t="str">
        <f>IF(Tabella4[[#This Row],[Componente]]="Documenti",_xlfn.XLOOKUP(Tabella4[[#This Row],[URL]],Tabella27[URL],Tabella27[PDF ID],,0),_xlfn.XLOOKUP(Tabella4[[#This Row],[URL]],Tabella1[URL],Tabella1[Page ID],,0))</f>
        <v>#8</v>
      </c>
      <c r="S419" s="34" t="s">
        <v>1004</v>
      </c>
      <c r="T419" t="s">
        <v>518</v>
      </c>
      <c r="V419" t="s">
        <v>519</v>
      </c>
      <c r="W419" s="34" t="s">
        <v>1068</v>
      </c>
      <c r="X41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id="heading-item-posteinsurancebrokerposteinsurancebroker-moduliguidare-sicuri-fase-di-vendita-faq-accordion-checopertureoffrelagaranziaprotezioneimprevisti-21-21"&gt;</v>
      </c>
      <c r="Y419" s="34" t="str">
        <f>SUBSTITUTE(IF(Tabella4[[#This Row],[Tool]]="axe-core",MID(Tabella4[[#This Row],[Rejected Element]],3,LEN(Tabella4[[#This Row],[Rejected Element]])-4),Tabella4[[#This Row],[Rejected Element]]),"\","")</f>
        <v>#heading-item-posteinsurancebrokerposteinsurancebroker-moduliguidare-sicuri-fase-di-vendita-faq-accordion-checopertureoffrelagaranziaprotezioneimprevisti-21-21</v>
      </c>
      <c r="Z419" s="34">
        <f>COUNTIFS(Tabella4[Detail univoco],Tabella4[[#This Row],[Detail univoco]],Tabella4[Rejected Element Univoco],Tabella4[[#This Row],[Rejected Element Univoco]],Tabella4[ItemsNodeLabel],Tabella4[[#This Row],[ItemsNodeLabel]])</f>
        <v>0</v>
      </c>
      <c r="AA419" s="34" t="str">
        <f>IF(Tabella4[[#This Row],[Componente]]="Documenti",VLOOKUP(Tabella4[[#This Row],[URL]],Tabella27[[URL]:[Servizio]],4,FALSE),VLOOKUP(Tabella4[[#This Row],[Page ID]],Tabella1[[Page ID]:[Servizio]],4,FALSE))</f>
        <v>S002 Poste Guidare Sicuri</v>
      </c>
      <c r="AB419" t="s">
        <v>1539</v>
      </c>
      <c r="AC419" s="34" t="str">
        <f>Tabella4[[#This Row],[User Impact]]</f>
        <v>2 - Serious</v>
      </c>
      <c r="AD419" s="34" t="str">
        <f>Copertina!C$2&amp;" - "&amp;Tabella4[[#This Row],[UNI CEI EN 301549]]&amp;" "&amp;VLOOKUP(Tabella4[[#This Row],[Criterio]],Tabella5[[ID]:[Criterio di successo]],2,FALSE)&amp;" - "&amp;Tabella4[[#This Row],[Servizio]]&amp;":"</f>
        <v>Insurance Brocker - 9.2.5.8 Dimensione dell'obiettivo (minimo) - S002 Poste Guidare Sicuri:</v>
      </c>
      <c r="AE41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(#TM0322)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id="heading-item-posteinsurancebrokerposteinsurancebroker-moduliguidare-sicuri-fase-di-vendita-faq-accordion-checopertureoffrelagaranziaprotezioneimprevisti-21-21"&gt; con selettore: 
["#heading-item-posteinsurancebrokerposteinsurancebroker-moduliguidare-sicuri-fase-di-vendita-faq-accordion-checopertureoffrelagaranziaprotezioneimprevisti-21-21"]
Dettaglio + screenshot (accedere con le seguenti credenziali: user, axeposte@gmail.com; password, Poste2024!): https://axe.deque.com/issues/643cbba3-b495-4697-8b5b-9099597233be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19" t="e">
        <f>_xlfn.XLOOKUP(Tabella4[[#This Row],[ID Silk]],outTable[ID Silk],outTable[Numero ticket  ],,0,1)</f>
        <v>#N/A</v>
      </c>
    </row>
    <row r="420" spans="1:32">
      <c r="A420" s="34" t="str">
        <f>MID(Tabella4[[#This Row],[Servizio]],1,4)&amp;Tabella4[[#This Row],[UNI CEI EN 301549]]</f>
        <v>S0029.2.5.8</v>
      </c>
      <c r="B420" s="34" t="str">
        <f>Tabella4[[#This Row],[ID Silk]]&amp;"_1"</f>
        <v>S0029.2.5.8_1</v>
      </c>
      <c r="C420" s="34" t="s">
        <v>1765</v>
      </c>
      <c r="D420" s="2" t="str">
        <f>"(#"&amp;Tabella4[[#This Row],['#ID]]&amp;")"</f>
        <v>(#TM0323)</v>
      </c>
      <c r="E420" s="34" t="str">
        <f>IF(MID(Tabella4[[#This Row],['#ID]],1,1)="M","Mobile",IF(MID(Tabella4[[#This Row],['#ID]],1,1)="D","Desktop",IF(MID(Tabella4[[#This Row],['#ID]],1,2)="TM","Manuale","Documenti")))</f>
        <v>Manuale</v>
      </c>
      <c r="F420" s="34" t="s">
        <v>1006</v>
      </c>
      <c r="G420" s="34" t="s">
        <v>372</v>
      </c>
      <c r="H420" s="34" t="str">
        <f>IF(Tabella4[[#This Row],[Componente]]="Documenti","10.","9.")&amp;Tabella4[[#This Row],[Criterio]]</f>
        <v>9.2.5.8</v>
      </c>
      <c r="I420" s="34" t="s">
        <v>1023</v>
      </c>
      <c r="J420" s="34" t="s">
        <v>1032</v>
      </c>
      <c r="K420" s="34" t="s">
        <v>1033</v>
      </c>
      <c r="L420" s="34" t="s">
        <v>1034</v>
      </c>
      <c r="M420" s="34" t="s">
        <v>1035</v>
      </c>
      <c r="N420" t="s">
        <v>1540</v>
      </c>
      <c r="O420" t="s">
        <v>1541</v>
      </c>
      <c r="P420" t="s">
        <v>388</v>
      </c>
      <c r="R420" s="34" t="str">
        <f>IF(Tabella4[[#This Row],[Componente]]="Documenti",_xlfn.XLOOKUP(Tabella4[[#This Row],[URL]],Tabella27[URL],Tabella27[PDF ID],,0),_xlfn.XLOOKUP(Tabella4[[#This Row],[URL]],Tabella1[URL],Tabella1[Page ID],,0))</f>
        <v>#8</v>
      </c>
      <c r="S420" s="34" t="s">
        <v>1004</v>
      </c>
      <c r="T420" t="s">
        <v>518</v>
      </c>
      <c r="V420" t="s">
        <v>521</v>
      </c>
      <c r="W420" s="34" t="s">
        <v>1068</v>
      </c>
      <c r="X42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href="#item-posteinsurancebrokerposteinsurancebroker-moduliguidare-sicuri-fase-di-vendita-faq-accordion-checopertureoffrelagaranziaprotezioneimprevisti-21" aria-expanded="false" aria-controls="item-posteinsurancebrokerposteinsurancebroker-moduliguidare-sicuri-fase-di-vendita-faq-accordion-checopertureoffrelagaranziaprotezioneimprevisti-21" title="Che coperture offre la garanzia Protezione Imprevisti?"&gt;</v>
      </c>
      <c r="Y420" s="34" t="str">
        <f>SUBSTITUTE(IF(Tabella4[[#This Row],[Tool]]="axe-core",MID(Tabella4[[#This Row],[Rejected Element]],3,LEN(Tabella4[[#This Row],[Rejected Element]])-4),Tabella4[[#This Row],[Rejected Element]]),"\","")</f>
        <v>#heading-item-posteinsurancebrokerposteinsurancebroker-moduliguidare-sicuri-fase-di-vendita-faq-accordion-checopertureoffrelagaranziaprotezioneimprevisti-21-21 &gt; .panel-title &gt; .accordion-toggle.collapsed[role="button"]</v>
      </c>
      <c r="Z420" s="34">
        <f>COUNTIFS(Tabella4[Detail univoco],Tabella4[[#This Row],[Detail univoco]],Tabella4[Rejected Element Univoco],Tabella4[[#This Row],[Rejected Element Univoco]],Tabella4[ItemsNodeLabel],Tabella4[[#This Row],[ItemsNodeLabel]])</f>
        <v>0</v>
      </c>
      <c r="AA420" s="34" t="str">
        <f>IF(Tabella4[[#This Row],[Componente]]="Documenti",VLOOKUP(Tabella4[[#This Row],[URL]],Tabella27[[URL]:[Servizio]],4,FALSE),VLOOKUP(Tabella4[[#This Row],[Page ID]],Tabella1[[Page ID]:[Servizio]],4,FALSE))</f>
        <v>S002 Poste Guidare Sicuri</v>
      </c>
      <c r="AB420" t="s">
        <v>1542</v>
      </c>
      <c r="AC420" s="34" t="str">
        <f>Tabella4[[#This Row],[User Impact]]</f>
        <v>2 - Serious</v>
      </c>
      <c r="AD420" s="34" t="str">
        <f>Copertina!C$2&amp;" - "&amp;Tabella4[[#This Row],[UNI CEI EN 301549]]&amp;" "&amp;VLOOKUP(Tabella4[[#This Row],[Criterio]],Tabella5[[ID]:[Criterio di successo]],2,FALSE)&amp;" - "&amp;Tabella4[[#This Row],[Servizio]]&amp;":"</f>
        <v>Insurance Brocker - 9.2.5.8 Dimensione dell'obiettivo (minimo) - S002 Poste Guidare Sicuri:</v>
      </c>
      <c r="AE42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(#TM0323)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href="#item-posteinsurancebrokerposteinsurancebroker-moduliguidare-sicuri-fase-di-vendita-faq-accordion-checopertureoffrelagaranziaprotezioneimprevisti-21" aria-expanded="false" aria-controls="item-posteinsurancebrokerposteinsurancebroker-moduliguidare-sicuri-fase-di-vendita-faq-accordion-checopertureoffrelagaranziaprotezioneimprevisti-21" title="Che coperture offre la garanzia Protezione Imprevisti?"&gt; con selettore: 
["#heading-item-posteinsurancebrokerposteinsurancebroker-moduliguidare-sicuri-fase-di-vendita-faq-accordion-checopertureoffrelagaranziaprotezioneimprevisti-21-21 &gt; .panel-title &gt; .accordion-toggle.collapsed[role=\"button\"]"]
Dettaglio + screenshot (accedere con le seguenti credenziali: user, axeposte@gmail.com; password, Poste2024!): https://axe.deque.com/issues/125d9292-c3b4-40eb-8198-500d9994de9b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20" t="e">
        <f>_xlfn.XLOOKUP(Tabella4[[#This Row],[ID Silk]],outTable[ID Silk],outTable[Numero ticket  ],,0,1)</f>
        <v>#N/A</v>
      </c>
    </row>
    <row r="421" spans="1:32">
      <c r="A421" s="34" t="str">
        <f>MID(Tabella4[[#This Row],[Servizio]],1,4)&amp;Tabella4[[#This Row],[UNI CEI EN 301549]]</f>
        <v>S0029.2.5.8</v>
      </c>
      <c r="B421" s="34" t="str">
        <f>Tabella4[[#This Row],[ID Silk]]&amp;"_1"</f>
        <v>S0029.2.5.8_1</v>
      </c>
      <c r="C421" s="34" t="s">
        <v>1766</v>
      </c>
      <c r="D421" s="2" t="str">
        <f>"(#"&amp;Tabella4[[#This Row],['#ID]]&amp;")"</f>
        <v>(#TM0324)</v>
      </c>
      <c r="E421" s="34" t="str">
        <f>IF(MID(Tabella4[[#This Row],['#ID]],1,1)="M","Mobile",IF(MID(Tabella4[[#This Row],['#ID]],1,1)="D","Desktop",IF(MID(Tabella4[[#This Row],['#ID]],1,2)="TM","Manuale","Documenti")))</f>
        <v>Manuale</v>
      </c>
      <c r="F421" s="34" t="s">
        <v>1006</v>
      </c>
      <c r="G421" s="34" t="s">
        <v>372</v>
      </c>
      <c r="H421" s="34" t="str">
        <f>IF(Tabella4[[#This Row],[Componente]]="Documenti","10.","9.")&amp;Tabella4[[#This Row],[Criterio]]</f>
        <v>9.2.5.8</v>
      </c>
      <c r="I421" s="34" t="s">
        <v>1023</v>
      </c>
      <c r="J421" s="34" t="s">
        <v>1032</v>
      </c>
      <c r="K421" s="34" t="s">
        <v>1033</v>
      </c>
      <c r="L421" s="34" t="s">
        <v>1034</v>
      </c>
      <c r="M421" s="34" t="s">
        <v>1035</v>
      </c>
      <c r="N421" t="s">
        <v>1362</v>
      </c>
      <c r="O421" t="s">
        <v>1363</v>
      </c>
      <c r="P421" t="s">
        <v>388</v>
      </c>
      <c r="R421" s="34" t="str">
        <f>IF(Tabella4[[#This Row],[Componente]]="Documenti",_xlfn.XLOOKUP(Tabella4[[#This Row],[URL]],Tabella27[URL],Tabella27[PDF ID],,0),_xlfn.XLOOKUP(Tabella4[[#This Row],[URL]],Tabella1[URL],Tabella1[Page ID],,0))</f>
        <v>#8</v>
      </c>
      <c r="S421" s="34" t="s">
        <v>1004</v>
      </c>
      <c r="T421" t="s">
        <v>518</v>
      </c>
      <c r="V421" t="s">
        <v>519</v>
      </c>
      <c r="W421" s="34" t="s">
        <v>1068</v>
      </c>
      <c r="X42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id="heading-item-posteinsurancebrokerposteinsurancebroker-moduliguidare-sicuri-fase-di-vendita-faq-accordion-cisonodellecopertureaggiuntiveincasodiacquistodellagaranziarca-22-22"&gt;</v>
      </c>
      <c r="Y421" s="34" t="str">
        <f>SUBSTITUTE(IF(Tabella4[[#This Row],[Tool]]="axe-core",MID(Tabella4[[#This Row],[Rejected Element]],3,LEN(Tabella4[[#This Row],[Rejected Element]])-4),Tabella4[[#This Row],[Rejected Element]]),"\","")</f>
        <v>#heading-item-posteinsurancebrokerposteinsurancebroker-moduliguidare-sicuri-fase-di-vendita-faq-accordion-cisonodellecopertureaggiuntiveincasodiacquistodellagaranziarca-22-22</v>
      </c>
      <c r="Z421" s="34">
        <f>COUNTIFS(Tabella4[Detail univoco],Tabella4[[#This Row],[Detail univoco]],Tabella4[Rejected Element Univoco],Tabella4[[#This Row],[Rejected Element Univoco]],Tabella4[ItemsNodeLabel],Tabella4[[#This Row],[ItemsNodeLabel]])</f>
        <v>0</v>
      </c>
      <c r="AA421" s="34" t="str">
        <f>IF(Tabella4[[#This Row],[Componente]]="Documenti",VLOOKUP(Tabella4[[#This Row],[URL]],Tabella27[[URL]:[Servizio]],4,FALSE),VLOOKUP(Tabella4[[#This Row],[Page ID]],Tabella1[[Page ID]:[Servizio]],4,FALSE))</f>
        <v>S002 Poste Guidare Sicuri</v>
      </c>
      <c r="AB421" t="s">
        <v>1543</v>
      </c>
      <c r="AC421" s="34" t="str">
        <f>Tabella4[[#This Row],[User Impact]]</f>
        <v>2 - Serious</v>
      </c>
      <c r="AD421" s="34" t="str">
        <f>Copertina!C$2&amp;" - "&amp;Tabella4[[#This Row],[UNI CEI EN 301549]]&amp;" "&amp;VLOOKUP(Tabella4[[#This Row],[Criterio]],Tabella5[[ID]:[Criterio di successo]],2,FALSE)&amp;" - "&amp;Tabella4[[#This Row],[Servizio]]&amp;":"</f>
        <v>Insurance Brocker - 9.2.5.8 Dimensione dell'obiettivo (minimo) - S002 Poste Guidare Sicuri:</v>
      </c>
      <c r="AE42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(#TM0324)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id="heading-item-posteinsurancebrokerposteinsurancebroker-moduliguidare-sicuri-fase-di-vendita-faq-accordion-cisonodellecopertureaggiuntiveincasodiacquistodellagaranziarca-22-22"&gt; con selettore: 
["#heading-item-posteinsurancebrokerposteinsurancebroker-moduliguidare-sicuri-fase-di-vendita-faq-accordion-cisonodellecopertureaggiuntiveincasodiacquistodellagaranziarca-22-22"]
Dettaglio + screenshot (accedere con le seguenti credenziali: user, axeposte@gmail.com; password, Poste2024!): https://axe.deque.com/issues/69763184-cfdb-46d8-be7a-560c0f93f883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21" t="e">
        <f>_xlfn.XLOOKUP(Tabella4[[#This Row],[ID Silk]],outTable[ID Silk],outTable[Numero ticket  ],,0,1)</f>
        <v>#N/A</v>
      </c>
    </row>
    <row r="422" spans="1:32">
      <c r="A422" s="34" t="str">
        <f>MID(Tabella4[[#This Row],[Servizio]],1,4)&amp;Tabella4[[#This Row],[UNI CEI EN 301549]]</f>
        <v>S0029.2.5.8</v>
      </c>
      <c r="B422" s="34" t="str">
        <f>Tabella4[[#This Row],[ID Silk]]&amp;"_1"</f>
        <v>S0029.2.5.8_1</v>
      </c>
      <c r="C422" s="34" t="s">
        <v>1767</v>
      </c>
      <c r="D422" s="2" t="str">
        <f>"(#"&amp;Tabella4[[#This Row],['#ID]]&amp;")"</f>
        <v>(#TM0325)</v>
      </c>
      <c r="E422" s="34" t="str">
        <f>IF(MID(Tabella4[[#This Row],['#ID]],1,1)="M","Mobile",IF(MID(Tabella4[[#This Row],['#ID]],1,1)="D","Desktop",IF(MID(Tabella4[[#This Row],['#ID]],1,2)="TM","Manuale","Documenti")))</f>
        <v>Manuale</v>
      </c>
      <c r="F422" s="34" t="s">
        <v>1006</v>
      </c>
      <c r="G422" s="34" t="s">
        <v>372</v>
      </c>
      <c r="H422" s="34" t="str">
        <f>IF(Tabella4[[#This Row],[Componente]]="Documenti","10.","9.")&amp;Tabella4[[#This Row],[Criterio]]</f>
        <v>9.2.5.8</v>
      </c>
      <c r="I422" s="34" t="s">
        <v>1023</v>
      </c>
      <c r="J422" s="34" t="s">
        <v>1032</v>
      </c>
      <c r="K422" s="34" t="s">
        <v>1033</v>
      </c>
      <c r="L422" s="34" t="s">
        <v>1034</v>
      </c>
      <c r="M422" s="34" t="s">
        <v>1035</v>
      </c>
      <c r="N422" t="s">
        <v>1544</v>
      </c>
      <c r="O422" t="s">
        <v>1545</v>
      </c>
      <c r="P422" t="s">
        <v>388</v>
      </c>
      <c r="R422" s="34" t="str">
        <f>IF(Tabella4[[#This Row],[Componente]]="Documenti",_xlfn.XLOOKUP(Tabella4[[#This Row],[URL]],Tabella27[URL],Tabella27[PDF ID],,0),_xlfn.XLOOKUP(Tabella4[[#This Row],[URL]],Tabella1[URL],Tabella1[Page ID],,0))</f>
        <v>#8</v>
      </c>
      <c r="S422" s="34" t="s">
        <v>1004</v>
      </c>
      <c r="T422" t="s">
        <v>518</v>
      </c>
      <c r="V422" t="s">
        <v>521</v>
      </c>
      <c r="W422" s="34" t="s">
        <v>1068</v>
      </c>
      <c r="X42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href="#item-posteinsurancebrokerposteinsurancebroker-moduliguidare-sicuri-fase-di-vendita-faq-accordion-cisonodellecopertureaggiuntiveincasodiacquistodellagaranziarca-22" aria-expanded="false" aria-controls="item-posteinsurancebrokerposteinsurancebroker-moduliguidare-sicuri-fase-di-vendita-faq-accordion-cisonodellecopertureaggiuntiveincasodiacquistodellagaranziarca-22" title="Ci sono delle coperture aggiuntive in caso di acquisto della garanzia RCA?"&gt;</v>
      </c>
      <c r="Y422" s="34" t="str">
        <f>SUBSTITUTE(IF(Tabella4[[#This Row],[Tool]]="axe-core",MID(Tabella4[[#This Row],[Rejected Element]],3,LEN(Tabella4[[#This Row],[Rejected Element]])-4),Tabella4[[#This Row],[Rejected Element]]),"\","")</f>
        <v>#heading-item-posteinsurancebrokerposteinsurancebroker-moduliguidare-sicuri-fase-di-vendita-faq-accordion-cisonodellecopertureaggiuntiveincasodiacquistodellagaranziarca-22-22 &gt; .panel-title &gt; .accordion-toggle.collapsed[role="button"]</v>
      </c>
      <c r="Z422" s="34">
        <f>COUNTIFS(Tabella4[Detail univoco],Tabella4[[#This Row],[Detail univoco]],Tabella4[Rejected Element Univoco],Tabella4[[#This Row],[Rejected Element Univoco]],Tabella4[ItemsNodeLabel],Tabella4[[#This Row],[ItemsNodeLabel]])</f>
        <v>0</v>
      </c>
      <c r="AA422" s="34" t="str">
        <f>IF(Tabella4[[#This Row],[Componente]]="Documenti",VLOOKUP(Tabella4[[#This Row],[URL]],Tabella27[[URL]:[Servizio]],4,FALSE),VLOOKUP(Tabella4[[#This Row],[Page ID]],Tabella1[[Page ID]:[Servizio]],4,FALSE))</f>
        <v>S002 Poste Guidare Sicuri</v>
      </c>
      <c r="AB422" t="s">
        <v>1546</v>
      </c>
      <c r="AC422" s="34" t="str">
        <f>Tabella4[[#This Row],[User Impact]]</f>
        <v>2 - Serious</v>
      </c>
      <c r="AD422" s="34" t="str">
        <f>Copertina!C$2&amp;" - "&amp;Tabella4[[#This Row],[UNI CEI EN 301549]]&amp;" "&amp;VLOOKUP(Tabella4[[#This Row],[Criterio]],Tabella5[[ID]:[Criterio di successo]],2,FALSE)&amp;" - "&amp;Tabella4[[#This Row],[Servizio]]&amp;":"</f>
        <v>Insurance Brocker - 9.2.5.8 Dimensione dell'obiettivo (minimo) - S002 Poste Guidare Sicuri:</v>
      </c>
      <c r="AE42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(#TM0325)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href="#item-posteinsurancebrokerposteinsurancebroker-moduliguidare-sicuri-fase-di-vendita-faq-accordion-cisonodellecopertureaggiuntiveincasodiacquistodellagaranziarca-22" aria-expanded="false" aria-controls="item-posteinsurancebrokerposteinsurancebroker-moduliguidare-sicuri-fase-di-vendita-faq-accordion-cisonodellecopertureaggiuntiveincasodiacquistodellagaranziarca-22" title="Ci sono delle coperture aggiuntive in caso di acquisto della garanzia RCA?"&gt; con selettore: 
["#heading-item-posteinsurancebrokerposteinsurancebroker-moduliguidare-sicuri-fase-di-vendita-faq-accordion-cisonodellecopertureaggiuntiveincasodiacquistodellagaranziarca-22-22 &gt; .panel-title &gt; .accordion-toggle.collapsed[role=\"button\"]"]
Dettaglio + screenshot (accedere con le seguenti credenziali: user, axeposte@gmail.com; password, Poste2024!): https://axe.deque.com/issues/2e115505-252a-46a8-b63b-6b61c09dc8b8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22" t="e">
        <f>_xlfn.XLOOKUP(Tabella4[[#This Row],[ID Silk]],outTable[ID Silk],outTable[Numero ticket  ],,0,1)</f>
        <v>#N/A</v>
      </c>
    </row>
    <row r="423" spans="1:32">
      <c r="A423" s="34" t="str">
        <f>MID(Tabella4[[#This Row],[Servizio]],1,4)&amp;Tabella4[[#This Row],[UNI CEI EN 301549]]</f>
        <v>S0029.2.5.8</v>
      </c>
      <c r="B423" s="34" t="str">
        <f>Tabella4[[#This Row],[ID Silk]]&amp;"_1"</f>
        <v>S0029.2.5.8_1</v>
      </c>
      <c r="C423" s="34" t="s">
        <v>1768</v>
      </c>
      <c r="D423" s="2" t="str">
        <f>"(#"&amp;Tabella4[[#This Row],['#ID]]&amp;")"</f>
        <v>(#TM0326)</v>
      </c>
      <c r="E423" s="34" t="str">
        <f>IF(MID(Tabella4[[#This Row],['#ID]],1,1)="M","Mobile",IF(MID(Tabella4[[#This Row],['#ID]],1,1)="D","Desktop",IF(MID(Tabella4[[#This Row],['#ID]],1,2)="TM","Manuale","Documenti")))</f>
        <v>Manuale</v>
      </c>
      <c r="F423" s="34" t="s">
        <v>1006</v>
      </c>
      <c r="G423" s="34" t="s">
        <v>372</v>
      </c>
      <c r="H423" s="34" t="str">
        <f>IF(Tabella4[[#This Row],[Componente]]="Documenti","10.","9.")&amp;Tabella4[[#This Row],[Criterio]]</f>
        <v>9.2.5.8</v>
      </c>
      <c r="I423" s="34" t="s">
        <v>1023</v>
      </c>
      <c r="J423" s="34" t="s">
        <v>1032</v>
      </c>
      <c r="K423" s="34" t="s">
        <v>1033</v>
      </c>
      <c r="L423" s="34" t="s">
        <v>1034</v>
      </c>
      <c r="M423" s="34" t="s">
        <v>1035</v>
      </c>
      <c r="N423" t="s">
        <v>1365</v>
      </c>
      <c r="O423" t="s">
        <v>1366</v>
      </c>
      <c r="P423" t="s">
        <v>388</v>
      </c>
      <c r="R423" s="34" t="str">
        <f>IF(Tabella4[[#This Row],[Componente]]="Documenti",_xlfn.XLOOKUP(Tabella4[[#This Row],[URL]],Tabella27[URL],Tabella27[PDF ID],,0),_xlfn.XLOOKUP(Tabella4[[#This Row],[URL]],Tabella1[URL],Tabella1[Page ID],,0))</f>
        <v>#8</v>
      </c>
      <c r="S423" s="34" t="s">
        <v>1004</v>
      </c>
      <c r="T423" t="s">
        <v>518</v>
      </c>
      <c r="V423" t="s">
        <v>519</v>
      </c>
      <c r="W423" s="34" t="s">
        <v>1068</v>
      </c>
      <c r="X42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id="heading-item-posteinsurancebrokerposteinsurancebroker-moduliguidare-sicuri-fase-di-vendita-faq-accordion-conpolizzarcasonocopertoancheperidanninelleareeprivate-23-23"&gt;</v>
      </c>
      <c r="Y423" s="34" t="str">
        <f>SUBSTITUTE(IF(Tabella4[[#This Row],[Tool]]="axe-core",MID(Tabella4[[#This Row],[Rejected Element]],3,LEN(Tabella4[[#This Row],[Rejected Element]])-4),Tabella4[[#This Row],[Rejected Element]]),"\","")</f>
        <v>#heading-item-posteinsurancebrokerposteinsurancebroker-moduliguidare-sicuri-fase-di-vendita-faq-accordion-conpolizzarcasonocopertoancheperidanninelleareeprivate-23-23</v>
      </c>
      <c r="Z423" s="34">
        <f>COUNTIFS(Tabella4[Detail univoco],Tabella4[[#This Row],[Detail univoco]],Tabella4[Rejected Element Univoco],Tabella4[[#This Row],[Rejected Element Univoco]],Tabella4[ItemsNodeLabel],Tabella4[[#This Row],[ItemsNodeLabel]])</f>
        <v>0</v>
      </c>
      <c r="AA423" s="34" t="str">
        <f>IF(Tabella4[[#This Row],[Componente]]="Documenti",VLOOKUP(Tabella4[[#This Row],[URL]],Tabella27[[URL]:[Servizio]],4,FALSE),VLOOKUP(Tabella4[[#This Row],[Page ID]],Tabella1[[Page ID]:[Servizio]],4,FALSE))</f>
        <v>S002 Poste Guidare Sicuri</v>
      </c>
      <c r="AB423" t="s">
        <v>1547</v>
      </c>
      <c r="AC423" s="34" t="str">
        <f>Tabella4[[#This Row],[User Impact]]</f>
        <v>2 - Serious</v>
      </c>
      <c r="AD423" s="34" t="str">
        <f>Copertina!C$2&amp;" - "&amp;Tabella4[[#This Row],[UNI CEI EN 301549]]&amp;" "&amp;VLOOKUP(Tabella4[[#This Row],[Criterio]],Tabella5[[ID]:[Criterio di successo]],2,FALSE)&amp;" - "&amp;Tabella4[[#This Row],[Servizio]]&amp;":"</f>
        <v>Insurance Brocker - 9.2.5.8 Dimensione dell'obiettivo (minimo) - S002 Poste Guidare Sicuri:</v>
      </c>
      <c r="AE42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(#TM0326)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id="heading-item-posteinsurancebrokerposteinsurancebroker-moduliguidare-sicuri-fase-di-vendita-faq-accordion-conpolizzarcasonocopertoancheperidanninelleareeprivate-23-23"&gt; con selettore: 
["#heading-item-posteinsurancebrokerposteinsurancebroker-moduliguidare-sicuri-fase-di-vendita-faq-accordion-conpolizzarcasonocopertoancheperidanninelleareeprivate-23-23"]
Dettaglio + screenshot (accedere con le seguenti credenziali: user, axeposte@gmail.com; password, Poste2024!): https://axe.deque.com/issues/b6306dbc-283f-44d3-89b0-a42e0d3cc263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23" t="e">
        <f>_xlfn.XLOOKUP(Tabella4[[#This Row],[ID Silk]],outTable[ID Silk],outTable[Numero ticket  ],,0,1)</f>
        <v>#N/A</v>
      </c>
    </row>
    <row r="424" spans="1:32">
      <c r="A424" s="34" t="str">
        <f>MID(Tabella4[[#This Row],[Servizio]],1,4)&amp;Tabella4[[#This Row],[UNI CEI EN 301549]]</f>
        <v>S0029.2.5.8</v>
      </c>
      <c r="B424" s="34" t="str">
        <f>Tabella4[[#This Row],[ID Silk]]&amp;"_1"</f>
        <v>S0029.2.5.8_1</v>
      </c>
      <c r="C424" s="34" t="s">
        <v>1769</v>
      </c>
      <c r="D424" s="2" t="str">
        <f>"(#"&amp;Tabella4[[#This Row],['#ID]]&amp;")"</f>
        <v>(#TM0327)</v>
      </c>
      <c r="E424" s="34" t="str">
        <f>IF(MID(Tabella4[[#This Row],['#ID]],1,1)="M","Mobile",IF(MID(Tabella4[[#This Row],['#ID]],1,1)="D","Desktop",IF(MID(Tabella4[[#This Row],['#ID]],1,2)="TM","Manuale","Documenti")))</f>
        <v>Manuale</v>
      </c>
      <c r="F424" s="34" t="s">
        <v>1006</v>
      </c>
      <c r="G424" s="34" t="s">
        <v>372</v>
      </c>
      <c r="H424" s="34" t="str">
        <f>IF(Tabella4[[#This Row],[Componente]]="Documenti","10.","9.")&amp;Tabella4[[#This Row],[Criterio]]</f>
        <v>9.2.5.8</v>
      </c>
      <c r="I424" s="34" t="s">
        <v>1023</v>
      </c>
      <c r="J424" s="34" t="s">
        <v>1032</v>
      </c>
      <c r="K424" s="34" t="s">
        <v>1033</v>
      </c>
      <c r="L424" s="34" t="s">
        <v>1034</v>
      </c>
      <c r="M424" s="34" t="s">
        <v>1035</v>
      </c>
      <c r="N424" t="s">
        <v>1548</v>
      </c>
      <c r="O424" t="s">
        <v>1549</v>
      </c>
      <c r="P424" t="s">
        <v>388</v>
      </c>
      <c r="R424" s="34" t="str">
        <f>IF(Tabella4[[#This Row],[Componente]]="Documenti",_xlfn.XLOOKUP(Tabella4[[#This Row],[URL]],Tabella27[URL],Tabella27[PDF ID],,0),_xlfn.XLOOKUP(Tabella4[[#This Row],[URL]],Tabella1[URL],Tabella1[Page ID],,0))</f>
        <v>#8</v>
      </c>
      <c r="S424" s="34" t="s">
        <v>1004</v>
      </c>
      <c r="T424" t="s">
        <v>518</v>
      </c>
      <c r="V424" t="s">
        <v>521</v>
      </c>
      <c r="W424" s="34" t="s">
        <v>1068</v>
      </c>
      <c r="X42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href="#item-posteinsurancebrokerposteinsurancebroker-moduliguidare-sicuri-fase-di-vendita-faq-accordion-conpolizzarcasonocopertoancheperidanninelleareeprivate-23" aria-expanded="false" aria-controls="item-posteinsurancebrokerposteinsurancebroker-moduliguidare-sicuri-fase-di-vendita-faq-accordion-conpolizzarcasonocopertoancheperidanninelleareeprivate-23" title="Con polizza RCA sono coperto anche per i danni nelle aree private?"&gt;</v>
      </c>
      <c r="Y424" s="34" t="str">
        <f>SUBSTITUTE(IF(Tabella4[[#This Row],[Tool]]="axe-core",MID(Tabella4[[#This Row],[Rejected Element]],3,LEN(Tabella4[[#This Row],[Rejected Element]])-4),Tabella4[[#This Row],[Rejected Element]]),"\","")</f>
        <v>#heading-item-posteinsurancebrokerposteinsurancebroker-moduliguidare-sicuri-fase-di-vendita-faq-accordion-conpolizzarcasonocopertoancheperidanninelleareeprivate-23-23 &gt; .panel-title &gt; .accordion-toggle.collapsed[role="button"]</v>
      </c>
      <c r="Z424" s="34">
        <f>COUNTIFS(Tabella4[Detail univoco],Tabella4[[#This Row],[Detail univoco]],Tabella4[Rejected Element Univoco],Tabella4[[#This Row],[Rejected Element Univoco]],Tabella4[ItemsNodeLabel],Tabella4[[#This Row],[ItemsNodeLabel]])</f>
        <v>0</v>
      </c>
      <c r="AA424" s="34" t="str">
        <f>IF(Tabella4[[#This Row],[Componente]]="Documenti",VLOOKUP(Tabella4[[#This Row],[URL]],Tabella27[[URL]:[Servizio]],4,FALSE),VLOOKUP(Tabella4[[#This Row],[Page ID]],Tabella1[[Page ID]:[Servizio]],4,FALSE))</f>
        <v>S002 Poste Guidare Sicuri</v>
      </c>
      <c r="AB424" t="s">
        <v>1550</v>
      </c>
      <c r="AC424" s="34" t="str">
        <f>Tabella4[[#This Row],[User Impact]]</f>
        <v>2 - Serious</v>
      </c>
      <c r="AD424" s="34" t="str">
        <f>Copertina!C$2&amp;" - "&amp;Tabella4[[#This Row],[UNI CEI EN 301549]]&amp;" "&amp;VLOOKUP(Tabella4[[#This Row],[Criterio]],Tabella5[[ID]:[Criterio di successo]],2,FALSE)&amp;" - "&amp;Tabella4[[#This Row],[Servizio]]&amp;":"</f>
        <v>Insurance Brocker - 9.2.5.8 Dimensione dell'obiettivo (minimo) - S002 Poste Guidare Sicuri:</v>
      </c>
      <c r="AE42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(#TM0327)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href="#item-posteinsurancebrokerposteinsurancebroker-moduliguidare-sicuri-fase-di-vendita-faq-accordion-conpolizzarcasonocopertoancheperidanninelleareeprivate-23" aria-expanded="false" aria-controls="item-posteinsurancebrokerposteinsurancebroker-moduliguidare-sicuri-fase-di-vendita-faq-accordion-conpolizzarcasonocopertoancheperidanninelleareeprivate-23" title="Con polizza RCA sono coperto anche per i danni nelle aree private?"&gt; con selettore: 
["#heading-item-posteinsurancebrokerposteinsurancebroker-moduliguidare-sicuri-fase-di-vendita-faq-accordion-conpolizzarcasonocopertoancheperidanninelleareeprivate-23-23 &gt; .panel-title &gt; .accordion-toggle.collapsed[role=\"button\"]"]
Dettaglio + screenshot (accedere con le seguenti credenziali: user, axeposte@gmail.com; password, Poste2024!): https://axe.deque.com/issues/02a548e5-0bd9-476e-9767-8ac26107f60b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24" t="e">
        <f>_xlfn.XLOOKUP(Tabella4[[#This Row],[ID Silk]],outTable[ID Silk],outTable[Numero ticket  ],,0,1)</f>
        <v>#N/A</v>
      </c>
    </row>
    <row r="425" spans="1:32">
      <c r="A425" s="34" t="str">
        <f>MID(Tabella4[[#This Row],[Servizio]],1,4)&amp;Tabella4[[#This Row],[UNI CEI EN 301549]]</f>
        <v>S0029.2.5.8</v>
      </c>
      <c r="B425" s="34" t="str">
        <f>Tabella4[[#This Row],[ID Silk]]&amp;"_1"</f>
        <v>S0029.2.5.8_1</v>
      </c>
      <c r="C425" s="34" t="s">
        <v>1770</v>
      </c>
      <c r="D425" s="2" t="str">
        <f>"(#"&amp;Tabella4[[#This Row],['#ID]]&amp;")"</f>
        <v>(#TM0328)</v>
      </c>
      <c r="E425" s="34" t="str">
        <f>IF(MID(Tabella4[[#This Row],['#ID]],1,1)="M","Mobile",IF(MID(Tabella4[[#This Row],['#ID]],1,1)="D","Desktop",IF(MID(Tabella4[[#This Row],['#ID]],1,2)="TM","Manuale","Documenti")))</f>
        <v>Manuale</v>
      </c>
      <c r="F425" s="34" t="s">
        <v>1006</v>
      </c>
      <c r="G425" s="34" t="s">
        <v>372</v>
      </c>
      <c r="H425" s="34" t="str">
        <f>IF(Tabella4[[#This Row],[Componente]]="Documenti","10.","9.")&amp;Tabella4[[#This Row],[Criterio]]</f>
        <v>9.2.5.8</v>
      </c>
      <c r="I425" s="34" t="s">
        <v>1023</v>
      </c>
      <c r="J425" s="34" t="s">
        <v>1032</v>
      </c>
      <c r="K425" s="34" t="s">
        <v>1033</v>
      </c>
      <c r="L425" s="34" t="s">
        <v>1034</v>
      </c>
      <c r="M425" s="34" t="s">
        <v>1035</v>
      </c>
      <c r="N425" t="s">
        <v>1368</v>
      </c>
      <c r="O425" t="s">
        <v>1369</v>
      </c>
      <c r="P425" t="s">
        <v>388</v>
      </c>
      <c r="R425" s="34" t="str">
        <f>IF(Tabella4[[#This Row],[Componente]]="Documenti",_xlfn.XLOOKUP(Tabella4[[#This Row],[URL]],Tabella27[URL],Tabella27[PDF ID],,0),_xlfn.XLOOKUP(Tabella4[[#This Row],[URL]],Tabella1[URL],Tabella1[Page ID],,0))</f>
        <v>#8</v>
      </c>
      <c r="S425" s="34" t="s">
        <v>1004</v>
      </c>
      <c r="T425" t="s">
        <v>518</v>
      </c>
      <c r="V425" t="s">
        <v>519</v>
      </c>
      <c r="W425" s="34" t="s">
        <v>1068</v>
      </c>
      <c r="X42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id="heading-item-posteinsurancebrokerposteinsurancebroker-moduliguidare-sicuri-fase-di-vendita-faq-accordion-checopertureoffrelagaranziaassistenzastradale-24-24"&gt;</v>
      </c>
      <c r="Y425" s="34" t="str">
        <f>SUBSTITUTE(IF(Tabella4[[#This Row],[Tool]]="axe-core",MID(Tabella4[[#This Row],[Rejected Element]],3,LEN(Tabella4[[#This Row],[Rejected Element]])-4),Tabella4[[#This Row],[Rejected Element]]),"\","")</f>
        <v>#heading-item-posteinsurancebrokerposteinsurancebroker-moduliguidare-sicuri-fase-di-vendita-faq-accordion-checopertureoffrelagaranziaassistenzastradale-24-24</v>
      </c>
      <c r="Z425" s="34">
        <f>COUNTIFS(Tabella4[Detail univoco],Tabella4[[#This Row],[Detail univoco]],Tabella4[Rejected Element Univoco],Tabella4[[#This Row],[Rejected Element Univoco]],Tabella4[ItemsNodeLabel],Tabella4[[#This Row],[ItemsNodeLabel]])</f>
        <v>0</v>
      </c>
      <c r="AA425" s="34" t="str">
        <f>IF(Tabella4[[#This Row],[Componente]]="Documenti",VLOOKUP(Tabella4[[#This Row],[URL]],Tabella27[[URL]:[Servizio]],4,FALSE),VLOOKUP(Tabella4[[#This Row],[Page ID]],Tabella1[[Page ID]:[Servizio]],4,FALSE))</f>
        <v>S002 Poste Guidare Sicuri</v>
      </c>
      <c r="AB425" t="s">
        <v>1551</v>
      </c>
      <c r="AC425" s="34" t="str">
        <f>Tabella4[[#This Row],[User Impact]]</f>
        <v>2 - Serious</v>
      </c>
      <c r="AD425" s="34" t="str">
        <f>Copertina!C$2&amp;" - "&amp;Tabella4[[#This Row],[UNI CEI EN 301549]]&amp;" "&amp;VLOOKUP(Tabella4[[#This Row],[Criterio]],Tabella5[[ID]:[Criterio di successo]],2,FALSE)&amp;" - "&amp;Tabella4[[#This Row],[Servizio]]&amp;":"</f>
        <v>Insurance Brocker - 9.2.5.8 Dimensione dell'obiettivo (minimo) - S002 Poste Guidare Sicuri:</v>
      </c>
      <c r="AE42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(#TM0328)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id="heading-item-posteinsurancebrokerposteinsurancebroker-moduliguidare-sicuri-fase-di-vendita-faq-accordion-checopertureoffrelagaranziaassistenzastradale-24-24"&gt; con selettore: 
["#heading-item-posteinsurancebrokerposteinsurancebroker-moduliguidare-sicuri-fase-di-vendita-faq-accordion-checopertureoffrelagaranziaassistenzastradale-24-24"]
Dettaglio + screenshot (accedere con le seguenti credenziali: user, axeposte@gmail.com; password, Poste2024!): https://axe.deque.com/issues/4e4d57cc-0bea-4bdf-82dd-714d19731c4e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25" t="e">
        <f>_xlfn.XLOOKUP(Tabella4[[#This Row],[ID Silk]],outTable[ID Silk],outTable[Numero ticket  ],,0,1)</f>
        <v>#N/A</v>
      </c>
    </row>
    <row r="426" spans="1:32">
      <c r="A426" s="34" t="str">
        <f>MID(Tabella4[[#This Row],[Servizio]],1,4)&amp;Tabella4[[#This Row],[UNI CEI EN 301549]]</f>
        <v>S0029.2.5.8</v>
      </c>
      <c r="B426" s="34" t="str">
        <f>Tabella4[[#This Row],[ID Silk]]&amp;"_1"</f>
        <v>S0029.2.5.8_1</v>
      </c>
      <c r="C426" s="34" t="s">
        <v>1771</v>
      </c>
      <c r="D426" s="2" t="str">
        <f>"(#"&amp;Tabella4[[#This Row],['#ID]]&amp;")"</f>
        <v>(#TM0329)</v>
      </c>
      <c r="E426" s="34" t="str">
        <f>IF(MID(Tabella4[[#This Row],['#ID]],1,1)="M","Mobile",IF(MID(Tabella4[[#This Row],['#ID]],1,1)="D","Desktop",IF(MID(Tabella4[[#This Row],['#ID]],1,2)="TM","Manuale","Documenti")))</f>
        <v>Manuale</v>
      </c>
      <c r="F426" s="34" t="s">
        <v>1006</v>
      </c>
      <c r="G426" s="34" t="s">
        <v>372</v>
      </c>
      <c r="H426" s="34" t="str">
        <f>IF(Tabella4[[#This Row],[Componente]]="Documenti","10.","9.")&amp;Tabella4[[#This Row],[Criterio]]</f>
        <v>9.2.5.8</v>
      </c>
      <c r="I426" s="34" t="s">
        <v>1023</v>
      </c>
      <c r="J426" s="34" t="s">
        <v>1032</v>
      </c>
      <c r="K426" s="34" t="s">
        <v>1033</v>
      </c>
      <c r="L426" s="34" t="s">
        <v>1034</v>
      </c>
      <c r="M426" s="34" t="s">
        <v>1035</v>
      </c>
      <c r="N426" t="s">
        <v>1552</v>
      </c>
      <c r="O426" t="s">
        <v>1553</v>
      </c>
      <c r="P426" t="s">
        <v>388</v>
      </c>
      <c r="R426" s="34" t="str">
        <f>IF(Tabella4[[#This Row],[Componente]]="Documenti",_xlfn.XLOOKUP(Tabella4[[#This Row],[URL]],Tabella27[URL],Tabella27[PDF ID],,0),_xlfn.XLOOKUP(Tabella4[[#This Row],[URL]],Tabella1[URL],Tabella1[Page ID],,0))</f>
        <v>#8</v>
      </c>
      <c r="S426" s="34" t="s">
        <v>1004</v>
      </c>
      <c r="T426" t="s">
        <v>518</v>
      </c>
      <c r="V426" t="s">
        <v>521</v>
      </c>
      <c r="W426" s="34" t="s">
        <v>1068</v>
      </c>
      <c r="X42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href="#item-posteinsurancebrokerposteinsurancebroker-moduliguidare-sicuri-fase-di-vendita-faq-accordion-checopertureoffrelagaranziaassistenzastradale-24" aria-expanded="false" aria-controls="item-posteinsurancebrokerposteinsurancebroker-moduliguidare-sicuri-fase-di-vendita-faq-accordion-checopertureoffrelagaranziaassistenzastradale-24" title="Che coperture offre la garanzia Assistenza Stradale?"&gt;</v>
      </c>
      <c r="Y426" s="34" t="str">
        <f>SUBSTITUTE(IF(Tabella4[[#This Row],[Tool]]="axe-core",MID(Tabella4[[#This Row],[Rejected Element]],3,LEN(Tabella4[[#This Row],[Rejected Element]])-4),Tabella4[[#This Row],[Rejected Element]]),"\","")</f>
        <v>#heading-item-posteinsurancebrokerposteinsurancebroker-moduliguidare-sicuri-fase-di-vendita-faq-accordion-checopertureoffrelagaranziaassistenzastradale-24-24 &gt; .panel-title &gt; .accordion-toggle.collapsed[role="button"]</v>
      </c>
      <c r="Z426" s="34">
        <f>COUNTIFS(Tabella4[Detail univoco],Tabella4[[#This Row],[Detail univoco]],Tabella4[Rejected Element Univoco],Tabella4[[#This Row],[Rejected Element Univoco]],Tabella4[ItemsNodeLabel],Tabella4[[#This Row],[ItemsNodeLabel]])</f>
        <v>0</v>
      </c>
      <c r="AA426" s="34" t="str">
        <f>IF(Tabella4[[#This Row],[Componente]]="Documenti",VLOOKUP(Tabella4[[#This Row],[URL]],Tabella27[[URL]:[Servizio]],4,FALSE),VLOOKUP(Tabella4[[#This Row],[Page ID]],Tabella1[[Page ID]:[Servizio]],4,FALSE))</f>
        <v>S002 Poste Guidare Sicuri</v>
      </c>
      <c r="AB426" t="s">
        <v>1554</v>
      </c>
      <c r="AC426" s="34" t="str">
        <f>Tabella4[[#This Row],[User Impact]]</f>
        <v>2 - Serious</v>
      </c>
      <c r="AD426" s="34" t="str">
        <f>Copertina!C$2&amp;" - "&amp;Tabella4[[#This Row],[UNI CEI EN 301549]]&amp;" "&amp;VLOOKUP(Tabella4[[#This Row],[Criterio]],Tabella5[[ID]:[Criterio di successo]],2,FALSE)&amp;" - "&amp;Tabella4[[#This Row],[Servizio]]&amp;":"</f>
        <v>Insurance Brocker - 9.2.5.8 Dimensione dell'obiettivo (minimo) - S002 Poste Guidare Sicuri:</v>
      </c>
      <c r="AE42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(#TM0329)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href="#item-posteinsurancebrokerposteinsurancebroker-moduliguidare-sicuri-fase-di-vendita-faq-accordion-checopertureoffrelagaranziaassistenzastradale-24" aria-expanded="false" aria-controls="item-posteinsurancebrokerposteinsurancebroker-moduliguidare-sicuri-fase-di-vendita-faq-accordion-checopertureoffrelagaranziaassistenzastradale-24" title="Che coperture offre la garanzia Assistenza Stradale?"&gt; con selettore: 
["#heading-item-posteinsurancebrokerposteinsurancebroker-moduliguidare-sicuri-fase-di-vendita-faq-accordion-checopertureoffrelagaranziaassistenzastradale-24-24 &gt; .panel-title &gt; .accordion-toggle.collapsed[role=\"button\"]"]
Dettaglio + screenshot (accedere con le seguenti credenziali: user, axeposte@gmail.com; password, Poste2024!): https://axe.deque.com/issues/bf19d7d7-14f3-4fff-98e0-eed126e407c6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26" t="e">
        <f>_xlfn.XLOOKUP(Tabella4[[#This Row],[ID Silk]],outTable[ID Silk],outTable[Numero ticket  ],,0,1)</f>
        <v>#N/A</v>
      </c>
    </row>
    <row r="427" spans="1:32">
      <c r="A427" s="34" t="str">
        <f>MID(Tabella4[[#This Row],[Servizio]],1,4)&amp;Tabella4[[#This Row],[UNI CEI EN 301549]]</f>
        <v>S0029.2.5.8</v>
      </c>
      <c r="B427" s="34" t="str">
        <f>Tabella4[[#This Row],[ID Silk]]&amp;"_1"</f>
        <v>S0029.2.5.8_1</v>
      </c>
      <c r="C427" s="34" t="s">
        <v>1772</v>
      </c>
      <c r="D427" s="2" t="str">
        <f>"(#"&amp;Tabella4[[#This Row],['#ID]]&amp;")"</f>
        <v>(#TM0330)</v>
      </c>
      <c r="E427" s="34" t="str">
        <f>IF(MID(Tabella4[[#This Row],['#ID]],1,1)="M","Mobile",IF(MID(Tabella4[[#This Row],['#ID]],1,1)="D","Desktop",IF(MID(Tabella4[[#This Row],['#ID]],1,2)="TM","Manuale","Documenti")))</f>
        <v>Manuale</v>
      </c>
      <c r="F427" s="34" t="s">
        <v>1006</v>
      </c>
      <c r="G427" s="34" t="s">
        <v>372</v>
      </c>
      <c r="H427" s="34" t="str">
        <f>IF(Tabella4[[#This Row],[Componente]]="Documenti","10.","9.")&amp;Tabella4[[#This Row],[Criterio]]</f>
        <v>9.2.5.8</v>
      </c>
      <c r="I427" s="34" t="s">
        <v>1023</v>
      </c>
      <c r="J427" s="34" t="s">
        <v>1032</v>
      </c>
      <c r="K427" s="34" t="s">
        <v>1033</v>
      </c>
      <c r="L427" s="34" t="s">
        <v>1034</v>
      </c>
      <c r="M427" s="34" t="s">
        <v>1035</v>
      </c>
      <c r="N427" t="s">
        <v>1371</v>
      </c>
      <c r="O427" t="s">
        <v>1372</v>
      </c>
      <c r="P427" t="s">
        <v>388</v>
      </c>
      <c r="R427" s="34" t="str">
        <f>IF(Tabella4[[#This Row],[Componente]]="Documenti",_xlfn.XLOOKUP(Tabella4[[#This Row],[URL]],Tabella27[URL],Tabella27[PDF ID],,0),_xlfn.XLOOKUP(Tabella4[[#This Row],[URL]],Tabella1[URL],Tabella1[Page ID],,0))</f>
        <v>#8</v>
      </c>
      <c r="S427" s="34" t="s">
        <v>1004</v>
      </c>
      <c r="T427" t="s">
        <v>518</v>
      </c>
      <c r="V427" t="s">
        <v>519</v>
      </c>
      <c r="W427" s="34" t="s">
        <v>1068</v>
      </c>
      <c r="X42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id="heading-item-posteinsurancebrokerposteinsurancebroker-moduliguidare-sicuri-fase-di-vendita-faq-accordion-checopertureoffrelagaranziakaskocollisione-25-25"&gt;</v>
      </c>
      <c r="Y427" s="34" t="str">
        <f>SUBSTITUTE(IF(Tabella4[[#This Row],[Tool]]="axe-core",MID(Tabella4[[#This Row],[Rejected Element]],3,LEN(Tabella4[[#This Row],[Rejected Element]])-4),Tabella4[[#This Row],[Rejected Element]]),"\","")</f>
        <v>#heading-item-posteinsurancebrokerposteinsurancebroker-moduliguidare-sicuri-fase-di-vendita-faq-accordion-checopertureoffrelagaranziakaskocollisione-25-25</v>
      </c>
      <c r="Z427" s="34">
        <f>COUNTIFS(Tabella4[Detail univoco],Tabella4[[#This Row],[Detail univoco]],Tabella4[Rejected Element Univoco],Tabella4[[#This Row],[Rejected Element Univoco]],Tabella4[ItemsNodeLabel],Tabella4[[#This Row],[ItemsNodeLabel]])</f>
        <v>0</v>
      </c>
      <c r="AA427" s="34" t="str">
        <f>IF(Tabella4[[#This Row],[Componente]]="Documenti",VLOOKUP(Tabella4[[#This Row],[URL]],Tabella27[[URL]:[Servizio]],4,FALSE),VLOOKUP(Tabella4[[#This Row],[Page ID]],Tabella1[[Page ID]:[Servizio]],4,FALSE))</f>
        <v>S002 Poste Guidare Sicuri</v>
      </c>
      <c r="AB427" t="s">
        <v>1555</v>
      </c>
      <c r="AC427" s="34" t="str">
        <f>Tabella4[[#This Row],[User Impact]]</f>
        <v>2 - Serious</v>
      </c>
      <c r="AD427" s="34" t="str">
        <f>Copertina!C$2&amp;" - "&amp;Tabella4[[#This Row],[UNI CEI EN 301549]]&amp;" "&amp;VLOOKUP(Tabella4[[#This Row],[Criterio]],Tabella5[[ID]:[Criterio di successo]],2,FALSE)&amp;" - "&amp;Tabella4[[#This Row],[Servizio]]&amp;":"</f>
        <v>Insurance Brocker - 9.2.5.8 Dimensione dell'obiettivo (minimo) - S002 Poste Guidare Sicuri:</v>
      </c>
      <c r="AE42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(#TM0330)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id="heading-item-posteinsurancebrokerposteinsurancebroker-moduliguidare-sicuri-fase-di-vendita-faq-accordion-checopertureoffrelagaranziakaskocollisione-25-25"&gt; con selettore: 
["#heading-item-posteinsurancebrokerposteinsurancebroker-moduliguidare-sicuri-fase-di-vendita-faq-accordion-checopertureoffrelagaranziakaskocollisione-25-25"]
Dettaglio + screenshot (accedere con le seguenti credenziali: user, axeposte@gmail.com; password, Poste2024!): https://axe.deque.com/issues/aa4408d4-ef3b-49c6-8a62-ca021fabf97a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27" t="e">
        <f>_xlfn.XLOOKUP(Tabella4[[#This Row],[ID Silk]],outTable[ID Silk],outTable[Numero ticket  ],,0,1)</f>
        <v>#N/A</v>
      </c>
    </row>
    <row r="428" spans="1:32">
      <c r="A428" s="34" t="str">
        <f>MID(Tabella4[[#This Row],[Servizio]],1,4)&amp;Tabella4[[#This Row],[UNI CEI EN 301549]]</f>
        <v>S0029.2.5.8</v>
      </c>
      <c r="B428" s="34" t="str">
        <f>Tabella4[[#This Row],[ID Silk]]&amp;"_1"</f>
        <v>S0029.2.5.8_1</v>
      </c>
      <c r="C428" s="34" t="s">
        <v>1773</v>
      </c>
      <c r="D428" s="2" t="str">
        <f>"(#"&amp;Tabella4[[#This Row],['#ID]]&amp;")"</f>
        <v>(#TM0331)</v>
      </c>
      <c r="E428" s="34" t="str">
        <f>IF(MID(Tabella4[[#This Row],['#ID]],1,1)="M","Mobile",IF(MID(Tabella4[[#This Row],['#ID]],1,1)="D","Desktop",IF(MID(Tabella4[[#This Row],['#ID]],1,2)="TM","Manuale","Documenti")))</f>
        <v>Manuale</v>
      </c>
      <c r="F428" s="34" t="s">
        <v>1006</v>
      </c>
      <c r="G428" s="34" t="s">
        <v>372</v>
      </c>
      <c r="H428" s="34" t="str">
        <f>IF(Tabella4[[#This Row],[Componente]]="Documenti","10.","9.")&amp;Tabella4[[#This Row],[Criterio]]</f>
        <v>9.2.5.8</v>
      </c>
      <c r="I428" s="34" t="s">
        <v>1023</v>
      </c>
      <c r="J428" s="34" t="s">
        <v>1032</v>
      </c>
      <c r="K428" s="34" t="s">
        <v>1033</v>
      </c>
      <c r="L428" s="34" t="s">
        <v>1034</v>
      </c>
      <c r="M428" s="34" t="s">
        <v>1035</v>
      </c>
      <c r="N428" t="s">
        <v>1556</v>
      </c>
      <c r="O428" t="s">
        <v>1557</v>
      </c>
      <c r="P428" t="s">
        <v>388</v>
      </c>
      <c r="R428" s="34" t="str">
        <f>IF(Tabella4[[#This Row],[Componente]]="Documenti",_xlfn.XLOOKUP(Tabella4[[#This Row],[URL]],Tabella27[URL],Tabella27[PDF ID],,0),_xlfn.XLOOKUP(Tabella4[[#This Row],[URL]],Tabella1[URL],Tabella1[Page ID],,0))</f>
        <v>#8</v>
      </c>
      <c r="S428" s="34" t="s">
        <v>1004</v>
      </c>
      <c r="T428" t="s">
        <v>518</v>
      </c>
      <c r="V428" t="s">
        <v>521</v>
      </c>
      <c r="W428" s="34" t="s">
        <v>1068</v>
      </c>
      <c r="X42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href="#item-posteinsurancebrokerposteinsurancebroker-moduliguidare-sicuri-fase-di-vendita-faq-accordion-checopertureoffrelagaranziakaskocollisione-25" aria-expanded="false" aria-controls="item-posteinsurancebrokerposteinsurancebroker-moduliguidare-sicuri-fase-di-vendita-faq-accordion-checopertureoffrelagaranziakaskocollisione-25" title="Che coperture offre la garanzia Kasko Collisione?"&gt;</v>
      </c>
      <c r="Y428" s="34" t="str">
        <f>SUBSTITUTE(IF(Tabella4[[#This Row],[Tool]]="axe-core",MID(Tabella4[[#This Row],[Rejected Element]],3,LEN(Tabella4[[#This Row],[Rejected Element]])-4),Tabella4[[#This Row],[Rejected Element]]),"\","")</f>
        <v>#heading-item-posteinsurancebrokerposteinsurancebroker-moduliguidare-sicuri-fase-di-vendita-faq-accordion-checopertureoffrelagaranziakaskocollisione-25-25 &gt; .panel-title &gt; .accordion-toggle.collapsed[role="button"]</v>
      </c>
      <c r="Z428" s="34">
        <f>COUNTIFS(Tabella4[Detail univoco],Tabella4[[#This Row],[Detail univoco]],Tabella4[Rejected Element Univoco],Tabella4[[#This Row],[Rejected Element Univoco]],Tabella4[ItemsNodeLabel],Tabella4[[#This Row],[ItemsNodeLabel]])</f>
        <v>0</v>
      </c>
      <c r="AA428" s="34" t="str">
        <f>IF(Tabella4[[#This Row],[Componente]]="Documenti",VLOOKUP(Tabella4[[#This Row],[URL]],Tabella27[[URL]:[Servizio]],4,FALSE),VLOOKUP(Tabella4[[#This Row],[Page ID]],Tabella1[[Page ID]:[Servizio]],4,FALSE))</f>
        <v>S002 Poste Guidare Sicuri</v>
      </c>
      <c r="AB428" t="s">
        <v>1558</v>
      </c>
      <c r="AC428" s="34" t="str">
        <f>Tabella4[[#This Row],[User Impact]]</f>
        <v>2 - Serious</v>
      </c>
      <c r="AD428" s="34" t="str">
        <f>Copertina!C$2&amp;" - "&amp;Tabella4[[#This Row],[UNI CEI EN 301549]]&amp;" "&amp;VLOOKUP(Tabella4[[#This Row],[Criterio]],Tabella5[[ID]:[Criterio di successo]],2,FALSE)&amp;" - "&amp;Tabella4[[#This Row],[Servizio]]&amp;":"</f>
        <v>Insurance Brocker - 9.2.5.8 Dimensione dell'obiettivo (minimo) - S002 Poste Guidare Sicuri:</v>
      </c>
      <c r="AE42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(#TM0331)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href="#item-posteinsurancebrokerposteinsurancebroker-moduliguidare-sicuri-fase-di-vendita-faq-accordion-checopertureoffrelagaranziakaskocollisione-25" aria-expanded="false" aria-controls="item-posteinsurancebrokerposteinsurancebroker-moduliguidare-sicuri-fase-di-vendita-faq-accordion-checopertureoffrelagaranziakaskocollisione-25" title="Che coperture offre la garanzia Kasko Collisione?"&gt; con selettore: 
["#heading-item-posteinsurancebrokerposteinsurancebroker-moduliguidare-sicuri-fase-di-vendita-faq-accordion-checopertureoffrelagaranziakaskocollisione-25-25 &gt; .panel-title &gt; .accordion-toggle.collapsed[role=\"button\"]"]
Dettaglio + screenshot (accedere con le seguenti credenziali: user, axeposte@gmail.com; password, Poste2024!): https://axe.deque.com/issues/6d9e0a23-77af-4ec9-be95-c3e8017a5eed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28" t="e">
        <f>_xlfn.XLOOKUP(Tabella4[[#This Row],[ID Silk]],outTable[ID Silk],outTable[Numero ticket  ],,0,1)</f>
        <v>#N/A</v>
      </c>
    </row>
    <row r="429" spans="1:32">
      <c r="A429" s="34" t="str">
        <f>MID(Tabella4[[#This Row],[Servizio]],1,4)&amp;Tabella4[[#This Row],[UNI CEI EN 301549]]</f>
        <v>S0029.2.5.8</v>
      </c>
      <c r="B429" s="34" t="str">
        <f>Tabella4[[#This Row],[ID Silk]]&amp;"_1"</f>
        <v>S0029.2.5.8_1</v>
      </c>
      <c r="C429" s="34" t="s">
        <v>1774</v>
      </c>
      <c r="D429" s="2" t="str">
        <f>"(#"&amp;Tabella4[[#This Row],['#ID]]&amp;")"</f>
        <v>(#TM0332)</v>
      </c>
      <c r="E429" s="34" t="str">
        <f>IF(MID(Tabella4[[#This Row],['#ID]],1,1)="M","Mobile",IF(MID(Tabella4[[#This Row],['#ID]],1,1)="D","Desktop",IF(MID(Tabella4[[#This Row],['#ID]],1,2)="TM","Manuale","Documenti")))</f>
        <v>Manuale</v>
      </c>
      <c r="F429" s="34" t="s">
        <v>1006</v>
      </c>
      <c r="G429" s="34" t="s">
        <v>372</v>
      </c>
      <c r="H429" s="34" t="str">
        <f>IF(Tabella4[[#This Row],[Componente]]="Documenti","10.","9.")&amp;Tabella4[[#This Row],[Criterio]]</f>
        <v>9.2.5.8</v>
      </c>
      <c r="I429" s="34" t="s">
        <v>1023</v>
      </c>
      <c r="J429" s="34" t="s">
        <v>1032</v>
      </c>
      <c r="K429" s="34" t="s">
        <v>1033</v>
      </c>
      <c r="L429" s="34" t="s">
        <v>1034</v>
      </c>
      <c r="M429" s="34" t="s">
        <v>1035</v>
      </c>
      <c r="N429" t="s">
        <v>1374</v>
      </c>
      <c r="O429" t="s">
        <v>1375</v>
      </c>
      <c r="P429" t="s">
        <v>388</v>
      </c>
      <c r="R429" s="34" t="str">
        <f>IF(Tabella4[[#This Row],[Componente]]="Documenti",_xlfn.XLOOKUP(Tabella4[[#This Row],[URL]],Tabella27[URL],Tabella27[PDF ID],,0),_xlfn.XLOOKUP(Tabella4[[#This Row],[URL]],Tabella1[URL],Tabella1[Page ID],,0))</f>
        <v>#8</v>
      </c>
      <c r="S429" s="34" t="s">
        <v>1004</v>
      </c>
      <c r="T429" t="s">
        <v>518</v>
      </c>
      <c r="V429" t="s">
        <v>519</v>
      </c>
      <c r="W429" s="34" t="s">
        <v>1068</v>
      </c>
      <c r="X42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id="heading-item-posteinsurancebrokerposteinsurancebroker-moduliguidare-sicuri-fase-di-vendita-faq-accordion-qualladifferenzatralagaranziakaskocollisioneelagaranziakaskocompleta-26-26"&gt;</v>
      </c>
      <c r="Y429" s="34" t="str">
        <f>SUBSTITUTE(IF(Tabella4[[#This Row],[Tool]]="axe-core",MID(Tabella4[[#This Row],[Rejected Element]],3,LEN(Tabella4[[#This Row],[Rejected Element]])-4),Tabella4[[#This Row],[Rejected Element]]),"\","")</f>
        <v>#heading-item-posteinsurancebrokerposteinsurancebroker-moduliguidare-sicuri-fase-di-vendita-faq-accordion-qualladifferenzatralagaranziakaskocollisioneelagaranziakaskocompleta-26-26</v>
      </c>
      <c r="Z429" s="34">
        <f>COUNTIFS(Tabella4[Detail univoco],Tabella4[[#This Row],[Detail univoco]],Tabella4[Rejected Element Univoco],Tabella4[[#This Row],[Rejected Element Univoco]],Tabella4[ItemsNodeLabel],Tabella4[[#This Row],[ItemsNodeLabel]])</f>
        <v>0</v>
      </c>
      <c r="AA429" s="34" t="str">
        <f>IF(Tabella4[[#This Row],[Componente]]="Documenti",VLOOKUP(Tabella4[[#This Row],[URL]],Tabella27[[URL]:[Servizio]],4,FALSE),VLOOKUP(Tabella4[[#This Row],[Page ID]],Tabella1[[Page ID]:[Servizio]],4,FALSE))</f>
        <v>S002 Poste Guidare Sicuri</v>
      </c>
      <c r="AB429" t="s">
        <v>1559</v>
      </c>
      <c r="AC429" s="34" t="str">
        <f>Tabella4[[#This Row],[User Impact]]</f>
        <v>2 - Serious</v>
      </c>
      <c r="AD429" s="34" t="str">
        <f>Copertina!C$2&amp;" - "&amp;Tabella4[[#This Row],[UNI CEI EN 301549]]&amp;" "&amp;VLOOKUP(Tabella4[[#This Row],[Criterio]],Tabella5[[ID]:[Criterio di successo]],2,FALSE)&amp;" - "&amp;Tabella4[[#This Row],[Servizio]]&amp;":"</f>
        <v>Insurance Brocker - 9.2.5.8 Dimensione dell'obiettivo (minimo) - S002 Poste Guidare Sicuri:</v>
      </c>
      <c r="AE42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(#TM0332)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id="heading-item-posteinsurancebrokerposteinsurancebroker-moduliguidare-sicuri-fase-di-vendita-faq-accordion-qualladifferenzatralagaranziakaskocollisioneelagaranziakaskocompleta-26-26"&gt; con selettore: 
["#heading-item-posteinsurancebrokerposteinsurancebroker-moduliguidare-sicuri-fase-di-vendita-faq-accordion-qualladifferenzatralagaranziakaskocollisioneelagaranziakaskocompleta-26-26"]
Dettaglio + screenshot (accedere con le seguenti credenziali: user, axeposte@gmail.com; password, Poste2024!): https://axe.deque.com/issues/84683e2c-5c4d-44f2-99ad-d2f8df208e9b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29" t="e">
        <f>_xlfn.XLOOKUP(Tabella4[[#This Row],[ID Silk]],outTable[ID Silk],outTable[Numero ticket  ],,0,1)</f>
        <v>#N/A</v>
      </c>
    </row>
    <row r="430" spans="1:32">
      <c r="A430" s="34" t="str">
        <f>MID(Tabella4[[#This Row],[Servizio]],1,4)&amp;Tabella4[[#This Row],[UNI CEI EN 301549]]</f>
        <v>S0029.2.5.8</v>
      </c>
      <c r="B430" s="34" t="str">
        <f>Tabella4[[#This Row],[ID Silk]]&amp;"_1"</f>
        <v>S0029.2.5.8_1</v>
      </c>
      <c r="C430" s="34" t="s">
        <v>1775</v>
      </c>
      <c r="D430" s="2" t="str">
        <f>"(#"&amp;Tabella4[[#This Row],['#ID]]&amp;")"</f>
        <v>(#TM0333)</v>
      </c>
      <c r="E430" s="34" t="str">
        <f>IF(MID(Tabella4[[#This Row],['#ID]],1,1)="M","Mobile",IF(MID(Tabella4[[#This Row],['#ID]],1,1)="D","Desktop",IF(MID(Tabella4[[#This Row],['#ID]],1,2)="TM","Manuale","Documenti")))</f>
        <v>Manuale</v>
      </c>
      <c r="F430" s="34" t="s">
        <v>1006</v>
      </c>
      <c r="G430" s="34" t="s">
        <v>372</v>
      </c>
      <c r="H430" s="34" t="str">
        <f>IF(Tabella4[[#This Row],[Componente]]="Documenti","10.","9.")&amp;Tabella4[[#This Row],[Criterio]]</f>
        <v>9.2.5.8</v>
      </c>
      <c r="I430" s="34" t="s">
        <v>1023</v>
      </c>
      <c r="J430" s="34" t="s">
        <v>1032</v>
      </c>
      <c r="K430" s="34" t="s">
        <v>1033</v>
      </c>
      <c r="L430" s="34" t="s">
        <v>1034</v>
      </c>
      <c r="M430" s="34" t="s">
        <v>1035</v>
      </c>
      <c r="N430" t="s">
        <v>1560</v>
      </c>
      <c r="O430" t="s">
        <v>1561</v>
      </c>
      <c r="P430" t="s">
        <v>388</v>
      </c>
      <c r="R430" s="34" t="str">
        <f>IF(Tabella4[[#This Row],[Componente]]="Documenti",_xlfn.XLOOKUP(Tabella4[[#This Row],[URL]],Tabella27[URL],Tabella27[PDF ID],,0),_xlfn.XLOOKUP(Tabella4[[#This Row],[URL]],Tabella1[URL],Tabella1[Page ID],,0))</f>
        <v>#8</v>
      </c>
      <c r="S430" s="34" t="s">
        <v>1004</v>
      </c>
      <c r="T430" t="s">
        <v>518</v>
      </c>
      <c r="V430" t="s">
        <v>521</v>
      </c>
      <c r="W430" s="34" t="s">
        <v>1068</v>
      </c>
      <c r="X43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href="#item-posteinsurancebrokerposteinsurancebroker-moduliguidare-sicuri-fase-di-vendita-faq-accordion-qualladifferenzatralagaranziakaskocollisioneelagaranziakaskocompleta-26" aria-expanded="false" aria-controls="item-posteinsurancebrokerposteinsurancebroker-moduliguidare-sicuri-fase-di-vendita-faq-accordion-qualladifferenzatralagaranziakaskocollisioneelagaranziakaskocompleta-26" title="Qual è la differenza tra la garanzia Kasko Collisione e la garanzia Kasko Completa?"&gt;</v>
      </c>
      <c r="Y430" s="34" t="str">
        <f>SUBSTITUTE(IF(Tabella4[[#This Row],[Tool]]="axe-core",MID(Tabella4[[#This Row],[Rejected Element]],3,LEN(Tabella4[[#This Row],[Rejected Element]])-4),Tabella4[[#This Row],[Rejected Element]]),"\","")</f>
        <v>#heading-item-posteinsurancebrokerposteinsurancebroker-moduliguidare-sicuri-fase-di-vendita-faq-accordion-qualladifferenzatralagaranziakaskocollisioneelagaranziakaskocompleta-26-26 &gt; .panel-title &gt; .accordion-toggle.collapsed[role="button"]</v>
      </c>
      <c r="Z430" s="34">
        <f>COUNTIFS(Tabella4[Detail univoco],Tabella4[[#This Row],[Detail univoco]],Tabella4[Rejected Element Univoco],Tabella4[[#This Row],[Rejected Element Univoco]],Tabella4[ItemsNodeLabel],Tabella4[[#This Row],[ItemsNodeLabel]])</f>
        <v>0</v>
      </c>
      <c r="AA430" s="34" t="str">
        <f>IF(Tabella4[[#This Row],[Componente]]="Documenti",VLOOKUP(Tabella4[[#This Row],[URL]],Tabella27[[URL]:[Servizio]],4,FALSE),VLOOKUP(Tabella4[[#This Row],[Page ID]],Tabella1[[Page ID]:[Servizio]],4,FALSE))</f>
        <v>S002 Poste Guidare Sicuri</v>
      </c>
      <c r="AB430" t="s">
        <v>1562</v>
      </c>
      <c r="AC430" s="34" t="str">
        <f>Tabella4[[#This Row],[User Impact]]</f>
        <v>2 - Serious</v>
      </c>
      <c r="AD430" s="34" t="str">
        <f>Copertina!C$2&amp;" - "&amp;Tabella4[[#This Row],[UNI CEI EN 301549]]&amp;" "&amp;VLOOKUP(Tabella4[[#This Row],[Criterio]],Tabella5[[ID]:[Criterio di successo]],2,FALSE)&amp;" - "&amp;Tabella4[[#This Row],[Servizio]]&amp;":"</f>
        <v>Insurance Brocker - 9.2.5.8 Dimensione dell'obiettivo (minimo) - S002 Poste Guidare Sicuri:</v>
      </c>
      <c r="AE43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(#TM0333)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href="#item-posteinsurancebrokerposteinsurancebroker-moduliguidare-sicuri-fase-di-vendita-faq-accordion-qualladifferenzatralagaranziakaskocollisioneelagaranziakaskocompleta-26" aria-expanded="false" aria-controls="item-posteinsurancebrokerposteinsurancebroker-moduliguidare-sicuri-fase-di-vendita-faq-accordion-qualladifferenzatralagaranziakaskocollisioneelagaranziakaskocompleta-26" title="Qual è la differenza tra la garanzia Kasko Collisione e la garanzia Kasko Completa?"&gt; con selettore: 
["#heading-item-posteinsurancebrokerposteinsurancebroker-moduliguidare-sicuri-fase-di-vendita-faq-accordion-qualladifferenzatralagaranziakaskocollisioneelagaranziakaskocompleta-26-26 &gt; .panel-title &gt; .accordion-toggle.collapsed[role=\"button\"]"]
Dettaglio + screenshot (accedere con le seguenti credenziali: user, axeposte@gmail.com; password, Poste2024!): https://axe.deque.com/issues/9c413e30-97bf-4de5-b57d-6e8c1a060c7b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30" t="e">
        <f>_xlfn.XLOOKUP(Tabella4[[#This Row],[ID Silk]],outTable[ID Silk],outTable[Numero ticket  ],,0,1)</f>
        <v>#N/A</v>
      </c>
    </row>
    <row r="431" spans="1:32">
      <c r="A431" s="34" t="str">
        <f>MID(Tabella4[[#This Row],[Servizio]],1,4)&amp;Tabella4[[#This Row],[UNI CEI EN 301549]]</f>
        <v>S0029.2.5.8</v>
      </c>
      <c r="B431" s="34" t="str">
        <f>Tabella4[[#This Row],[ID Silk]]&amp;"_1"</f>
        <v>S0029.2.5.8_1</v>
      </c>
      <c r="C431" s="34" t="s">
        <v>1776</v>
      </c>
      <c r="D431" s="2" t="str">
        <f>"(#"&amp;Tabella4[[#This Row],['#ID]]&amp;")"</f>
        <v>(#TM0334)</v>
      </c>
      <c r="E431" s="34" t="str">
        <f>IF(MID(Tabella4[[#This Row],['#ID]],1,1)="M","Mobile",IF(MID(Tabella4[[#This Row],['#ID]],1,1)="D","Desktop",IF(MID(Tabella4[[#This Row],['#ID]],1,2)="TM","Manuale","Documenti")))</f>
        <v>Manuale</v>
      </c>
      <c r="F431" s="34" t="s">
        <v>1006</v>
      </c>
      <c r="G431" s="34" t="s">
        <v>372</v>
      </c>
      <c r="H431" s="34" t="str">
        <f>IF(Tabella4[[#This Row],[Componente]]="Documenti","10.","9.")&amp;Tabella4[[#This Row],[Criterio]]</f>
        <v>9.2.5.8</v>
      </c>
      <c r="I431" s="34" t="s">
        <v>1023</v>
      </c>
      <c r="J431" s="34" t="s">
        <v>1032</v>
      </c>
      <c r="K431" s="34" t="s">
        <v>1033</v>
      </c>
      <c r="L431" s="34" t="s">
        <v>1034</v>
      </c>
      <c r="M431" s="34" t="s">
        <v>1035</v>
      </c>
      <c r="N431" t="s">
        <v>1377</v>
      </c>
      <c r="O431" t="s">
        <v>1378</v>
      </c>
      <c r="P431" t="s">
        <v>388</v>
      </c>
      <c r="R431" s="34" t="str">
        <f>IF(Tabella4[[#This Row],[Componente]]="Documenti",_xlfn.XLOOKUP(Tabella4[[#This Row],[URL]],Tabella27[URL],Tabella27[PDF ID],,0),_xlfn.XLOOKUP(Tabella4[[#This Row],[URL]],Tabella1[URL],Tabella1[Page ID],,0))</f>
        <v>#8</v>
      </c>
      <c r="S431" s="34" t="s">
        <v>1004</v>
      </c>
      <c r="T431" t="s">
        <v>518</v>
      </c>
      <c r="V431" t="s">
        <v>519</v>
      </c>
      <c r="W431" s="34" t="s">
        <v>1068</v>
      </c>
      <c r="X43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id="heading-item-posteinsurancebrokerposteinsurancebroker-moduliguidare-sicuri-fase-di-vendita-faq-accordion-lautoassicuratapuessereguidataanchedaminoridi25anni-27-27"&gt;</v>
      </c>
      <c r="Y431" s="34" t="str">
        <f>SUBSTITUTE(IF(Tabella4[[#This Row],[Tool]]="axe-core",MID(Tabella4[[#This Row],[Rejected Element]],3,LEN(Tabella4[[#This Row],[Rejected Element]])-4),Tabella4[[#This Row],[Rejected Element]]),"\","")</f>
        <v>#heading-item-posteinsurancebrokerposteinsurancebroker-moduliguidare-sicuri-fase-di-vendita-faq-accordion-lautoassicuratapuessereguidataanchedaminoridi25anni-27-27</v>
      </c>
      <c r="Z431" s="34">
        <f>COUNTIFS(Tabella4[Detail univoco],Tabella4[[#This Row],[Detail univoco]],Tabella4[Rejected Element Univoco],Tabella4[[#This Row],[Rejected Element Univoco]],Tabella4[ItemsNodeLabel],Tabella4[[#This Row],[ItemsNodeLabel]])</f>
        <v>0</v>
      </c>
      <c r="AA431" s="34" t="str">
        <f>IF(Tabella4[[#This Row],[Componente]]="Documenti",VLOOKUP(Tabella4[[#This Row],[URL]],Tabella27[[URL]:[Servizio]],4,FALSE),VLOOKUP(Tabella4[[#This Row],[Page ID]],Tabella1[[Page ID]:[Servizio]],4,FALSE))</f>
        <v>S002 Poste Guidare Sicuri</v>
      </c>
      <c r="AB431" t="s">
        <v>1563</v>
      </c>
      <c r="AC431" s="34" t="str">
        <f>Tabella4[[#This Row],[User Impact]]</f>
        <v>2 - Serious</v>
      </c>
      <c r="AD431" s="34" t="str">
        <f>Copertina!C$2&amp;" - "&amp;Tabella4[[#This Row],[UNI CEI EN 301549]]&amp;" "&amp;VLOOKUP(Tabella4[[#This Row],[Criterio]],Tabella5[[ID]:[Criterio di successo]],2,FALSE)&amp;" - "&amp;Tabella4[[#This Row],[Servizio]]&amp;":"</f>
        <v>Insurance Brocker - 9.2.5.8 Dimensione dell'obiettivo (minimo) - S002 Poste Guidare Sicuri:</v>
      </c>
      <c r="AE43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(#TM0334)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id="heading-item-posteinsurancebrokerposteinsurancebroker-moduliguidare-sicuri-fase-di-vendita-faq-accordion-lautoassicuratapuessereguidataanchedaminoridi25anni-27-27"&gt; con selettore: 
["#heading-item-posteinsurancebrokerposteinsurancebroker-moduliguidare-sicuri-fase-di-vendita-faq-accordion-lautoassicuratapuessereguidataanchedaminoridi25anni-27-27"]
Dettaglio + screenshot (accedere con le seguenti credenziali: user, axeposte@gmail.com; password, Poste2024!): https://axe.deque.com/issues/8fa722ba-e7a5-40c2-8bff-29ff27198fb2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31" t="e">
        <f>_xlfn.XLOOKUP(Tabella4[[#This Row],[ID Silk]],outTable[ID Silk],outTable[Numero ticket  ],,0,1)</f>
        <v>#N/A</v>
      </c>
    </row>
    <row r="432" spans="1:32">
      <c r="A432" s="34" t="str">
        <f>MID(Tabella4[[#This Row],[Servizio]],1,4)&amp;Tabella4[[#This Row],[UNI CEI EN 301549]]</f>
        <v>S0029.2.5.8</v>
      </c>
      <c r="B432" s="34" t="str">
        <f>Tabella4[[#This Row],[ID Silk]]&amp;"_1"</f>
        <v>S0029.2.5.8_1</v>
      </c>
      <c r="C432" s="34" t="s">
        <v>1777</v>
      </c>
      <c r="D432" s="2" t="str">
        <f>"(#"&amp;Tabella4[[#This Row],['#ID]]&amp;")"</f>
        <v>(#TM0335)</v>
      </c>
      <c r="E432" s="34" t="str">
        <f>IF(MID(Tabella4[[#This Row],['#ID]],1,1)="M","Mobile",IF(MID(Tabella4[[#This Row],['#ID]],1,1)="D","Desktop",IF(MID(Tabella4[[#This Row],['#ID]],1,2)="TM","Manuale","Documenti")))</f>
        <v>Manuale</v>
      </c>
      <c r="F432" s="34" t="s">
        <v>1006</v>
      </c>
      <c r="G432" s="34" t="s">
        <v>372</v>
      </c>
      <c r="H432" s="34" t="str">
        <f>IF(Tabella4[[#This Row],[Componente]]="Documenti","10.","9.")&amp;Tabella4[[#This Row],[Criterio]]</f>
        <v>9.2.5.8</v>
      </c>
      <c r="I432" s="34" t="s">
        <v>1023</v>
      </c>
      <c r="J432" s="34" t="s">
        <v>1032</v>
      </c>
      <c r="K432" s="34" t="s">
        <v>1033</v>
      </c>
      <c r="L432" s="34" t="s">
        <v>1034</v>
      </c>
      <c r="M432" s="34" t="s">
        <v>1035</v>
      </c>
      <c r="N432" t="s">
        <v>1564</v>
      </c>
      <c r="O432" t="s">
        <v>1565</v>
      </c>
      <c r="P432" t="s">
        <v>388</v>
      </c>
      <c r="R432" s="34" t="str">
        <f>IF(Tabella4[[#This Row],[Componente]]="Documenti",_xlfn.XLOOKUP(Tabella4[[#This Row],[URL]],Tabella27[URL],Tabella27[PDF ID],,0),_xlfn.XLOOKUP(Tabella4[[#This Row],[URL]],Tabella1[URL],Tabella1[Page ID],,0))</f>
        <v>#8</v>
      </c>
      <c r="S432" s="34" t="s">
        <v>1004</v>
      </c>
      <c r="T432" t="s">
        <v>518</v>
      </c>
      <c r="V432" t="s">
        <v>521</v>
      </c>
      <c r="W432" s="34" t="s">
        <v>1068</v>
      </c>
      <c r="X43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href="#item-posteinsurancebrokerposteinsurancebroker-moduliguidare-sicuri-fase-di-vendita-faq-accordion-lautoassicuratapuessereguidataanchedaminoridi25anni-27" aria-expanded="false" aria-controls="item-posteinsurancebrokerposteinsurancebroker-moduliguidare-sicuri-fase-di-vendita-faq-accordion-lautoassicuratapuessereguidataanchedaminoridi25anni-27" title="L’auto assicurata può essere guidata anche da minori di 25 anni?"&gt;</v>
      </c>
      <c r="Y432" s="34" t="str">
        <f>SUBSTITUTE(IF(Tabella4[[#This Row],[Tool]]="axe-core",MID(Tabella4[[#This Row],[Rejected Element]],3,LEN(Tabella4[[#This Row],[Rejected Element]])-4),Tabella4[[#This Row],[Rejected Element]]),"\","")</f>
        <v>#heading-item-posteinsurancebrokerposteinsurancebroker-moduliguidare-sicuri-fase-di-vendita-faq-accordion-lautoassicuratapuessereguidataanchedaminoridi25anni-27-27 &gt; .panel-title &gt; .accordion-toggle.collapsed[role="button"]</v>
      </c>
      <c r="Z432" s="34">
        <f>COUNTIFS(Tabella4[Detail univoco],Tabella4[[#This Row],[Detail univoco]],Tabella4[Rejected Element Univoco],Tabella4[[#This Row],[Rejected Element Univoco]],Tabella4[ItemsNodeLabel],Tabella4[[#This Row],[ItemsNodeLabel]])</f>
        <v>0</v>
      </c>
      <c r="AA432" s="34" t="str">
        <f>IF(Tabella4[[#This Row],[Componente]]="Documenti",VLOOKUP(Tabella4[[#This Row],[URL]],Tabella27[[URL]:[Servizio]],4,FALSE),VLOOKUP(Tabella4[[#This Row],[Page ID]],Tabella1[[Page ID]:[Servizio]],4,FALSE))</f>
        <v>S002 Poste Guidare Sicuri</v>
      </c>
      <c r="AB432" t="s">
        <v>1566</v>
      </c>
      <c r="AC432" s="34" t="str">
        <f>Tabella4[[#This Row],[User Impact]]</f>
        <v>2 - Serious</v>
      </c>
      <c r="AD432" s="34" t="str">
        <f>Copertina!C$2&amp;" - "&amp;Tabella4[[#This Row],[UNI CEI EN 301549]]&amp;" "&amp;VLOOKUP(Tabella4[[#This Row],[Criterio]],Tabella5[[ID]:[Criterio di successo]],2,FALSE)&amp;" - "&amp;Tabella4[[#This Row],[Servizio]]&amp;":"</f>
        <v>Insurance Brocker - 9.2.5.8 Dimensione dell'obiettivo (minimo) - S002 Poste Guidare Sicuri:</v>
      </c>
      <c r="AE43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(#TM0335)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href="#item-posteinsurancebrokerposteinsurancebroker-moduliguidare-sicuri-fase-di-vendita-faq-accordion-lautoassicuratapuessereguidataanchedaminoridi25anni-27" aria-expanded="false" aria-controls="item-posteinsurancebrokerposteinsurancebroker-moduliguidare-sicuri-fase-di-vendita-faq-accordion-lautoassicuratapuessereguidataanchedaminoridi25anni-27" title="L’auto assicurata può essere guidata anche da minori di 25 anni?"&gt; con selettore: 
["#heading-item-posteinsurancebrokerposteinsurancebroker-moduliguidare-sicuri-fase-di-vendita-faq-accordion-lautoassicuratapuessereguidataanchedaminoridi25anni-27-27 &gt; .panel-title &gt; .accordion-toggle.collapsed[role=\"button\"]"]
Dettaglio + screenshot (accedere con le seguenti credenziali: user, axeposte@gmail.com; password, Poste2024!): https://axe.deque.com/issues/fdbde929-3885-4085-a305-a3541e9c3f84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32" t="e">
        <f>_xlfn.XLOOKUP(Tabella4[[#This Row],[ID Silk]],outTable[ID Silk],outTable[Numero ticket  ],,0,1)</f>
        <v>#N/A</v>
      </c>
    </row>
    <row r="433" spans="1:32">
      <c r="A433" s="34" t="str">
        <f>MID(Tabella4[[#This Row],[Servizio]],1,4)&amp;Tabella4[[#This Row],[UNI CEI EN 301549]]</f>
        <v>S0029.2.5.8</v>
      </c>
      <c r="B433" s="34" t="str">
        <f>Tabella4[[#This Row],[ID Silk]]&amp;"_1"</f>
        <v>S0029.2.5.8_1</v>
      </c>
      <c r="C433" s="34" t="s">
        <v>1778</v>
      </c>
      <c r="D433" s="2" t="str">
        <f>"(#"&amp;Tabella4[[#This Row],['#ID]]&amp;")"</f>
        <v>(#TM0336)</v>
      </c>
      <c r="E433" s="34" t="str">
        <f>IF(MID(Tabella4[[#This Row],['#ID]],1,1)="M","Mobile",IF(MID(Tabella4[[#This Row],['#ID]],1,1)="D","Desktop",IF(MID(Tabella4[[#This Row],['#ID]],1,2)="TM","Manuale","Documenti")))</f>
        <v>Manuale</v>
      </c>
      <c r="F433" s="34" t="s">
        <v>1006</v>
      </c>
      <c r="G433" s="34" t="s">
        <v>372</v>
      </c>
      <c r="H433" s="34" t="str">
        <f>IF(Tabella4[[#This Row],[Componente]]="Documenti","10.","9.")&amp;Tabella4[[#This Row],[Criterio]]</f>
        <v>9.2.5.8</v>
      </c>
      <c r="I433" s="34" t="s">
        <v>1023</v>
      </c>
      <c r="J433" s="34" t="s">
        <v>1032</v>
      </c>
      <c r="K433" s="34" t="s">
        <v>1033</v>
      </c>
      <c r="L433" s="34" t="s">
        <v>1034</v>
      </c>
      <c r="M433" s="34" t="s">
        <v>1035</v>
      </c>
      <c r="N433" t="s">
        <v>1380</v>
      </c>
      <c r="O433" t="s">
        <v>1381</v>
      </c>
      <c r="P433" t="s">
        <v>388</v>
      </c>
      <c r="R433" s="34" t="str">
        <f>IF(Tabella4[[#This Row],[Componente]]="Documenti",_xlfn.XLOOKUP(Tabella4[[#This Row],[URL]],Tabella27[URL],Tabella27[PDF ID],,0),_xlfn.XLOOKUP(Tabella4[[#This Row],[URL]],Tabella1[URL],Tabella1[Page ID],,0))</f>
        <v>#8</v>
      </c>
      <c r="S433" s="34" t="s">
        <v>1004</v>
      </c>
      <c r="T433" t="s">
        <v>518</v>
      </c>
      <c r="V433" t="s">
        <v>519</v>
      </c>
      <c r="W433" s="34" t="s">
        <v>1068</v>
      </c>
      <c r="X43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id="heading-item-posteinsurancebrokerposteinsurancebroker-moduliguidare-sicuri-fase-di-vendita-faq-accordion-sonoprevistedelleagevolazioniincasodisinistrigravi-28-28"&gt;</v>
      </c>
      <c r="Y433" s="34" t="str">
        <f>SUBSTITUTE(IF(Tabella4[[#This Row],[Tool]]="axe-core",MID(Tabella4[[#This Row],[Rejected Element]],3,LEN(Tabella4[[#This Row],[Rejected Element]])-4),Tabella4[[#This Row],[Rejected Element]]),"\","")</f>
        <v>#heading-item-posteinsurancebrokerposteinsurancebroker-moduliguidare-sicuri-fase-di-vendita-faq-accordion-sonoprevistedelleagevolazioniincasodisinistrigravi-28-28</v>
      </c>
      <c r="Z433" s="34">
        <f>COUNTIFS(Tabella4[Detail univoco],Tabella4[[#This Row],[Detail univoco]],Tabella4[Rejected Element Univoco],Tabella4[[#This Row],[Rejected Element Univoco]],Tabella4[ItemsNodeLabel],Tabella4[[#This Row],[ItemsNodeLabel]])</f>
        <v>0</v>
      </c>
      <c r="AA433" s="34" t="str">
        <f>IF(Tabella4[[#This Row],[Componente]]="Documenti",VLOOKUP(Tabella4[[#This Row],[URL]],Tabella27[[URL]:[Servizio]],4,FALSE),VLOOKUP(Tabella4[[#This Row],[Page ID]],Tabella1[[Page ID]:[Servizio]],4,FALSE))</f>
        <v>S002 Poste Guidare Sicuri</v>
      </c>
      <c r="AB433" t="s">
        <v>1567</v>
      </c>
      <c r="AC433" s="34" t="str">
        <f>Tabella4[[#This Row],[User Impact]]</f>
        <v>2 - Serious</v>
      </c>
      <c r="AD433" s="34" t="str">
        <f>Copertina!C$2&amp;" - "&amp;Tabella4[[#This Row],[UNI CEI EN 301549]]&amp;" "&amp;VLOOKUP(Tabella4[[#This Row],[Criterio]],Tabella5[[ID]:[Criterio di successo]],2,FALSE)&amp;" - "&amp;Tabella4[[#This Row],[Servizio]]&amp;":"</f>
        <v>Insurance Brocker - 9.2.5.8 Dimensione dell'obiettivo (minimo) - S002 Poste Guidare Sicuri:</v>
      </c>
      <c r="AE43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(#TM0336)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id="heading-item-posteinsurancebrokerposteinsurancebroker-moduliguidare-sicuri-fase-di-vendita-faq-accordion-sonoprevistedelleagevolazioniincasodisinistrigravi-28-28"&gt; con selettore: 
["#heading-item-posteinsurancebrokerposteinsurancebroker-moduliguidare-sicuri-fase-di-vendita-faq-accordion-sonoprevistedelleagevolazioniincasodisinistrigravi-28-28"]
Dettaglio + screenshot (accedere con le seguenti credenziali: user, axeposte@gmail.com; password, Poste2024!): https://axe.deque.com/issues/892e94d4-4fc8-4ce7-96a1-ed1d6c062453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33" t="e">
        <f>_xlfn.XLOOKUP(Tabella4[[#This Row],[ID Silk]],outTable[ID Silk],outTable[Numero ticket  ],,0,1)</f>
        <v>#N/A</v>
      </c>
    </row>
    <row r="434" spans="1:32">
      <c r="A434" s="34" t="str">
        <f>MID(Tabella4[[#This Row],[Servizio]],1,4)&amp;Tabella4[[#This Row],[UNI CEI EN 301549]]</f>
        <v>S0029.2.5.8</v>
      </c>
      <c r="B434" s="34" t="str">
        <f>Tabella4[[#This Row],[ID Silk]]&amp;"_1"</f>
        <v>S0029.2.5.8_1</v>
      </c>
      <c r="C434" s="34" t="s">
        <v>1779</v>
      </c>
      <c r="D434" s="2" t="str">
        <f>"(#"&amp;Tabella4[[#This Row],['#ID]]&amp;")"</f>
        <v>(#TM0337)</v>
      </c>
      <c r="E434" s="34" t="str">
        <f>IF(MID(Tabella4[[#This Row],['#ID]],1,1)="M","Mobile",IF(MID(Tabella4[[#This Row],['#ID]],1,1)="D","Desktop",IF(MID(Tabella4[[#This Row],['#ID]],1,2)="TM","Manuale","Documenti")))</f>
        <v>Manuale</v>
      </c>
      <c r="F434" s="34" t="s">
        <v>1006</v>
      </c>
      <c r="G434" s="34" t="s">
        <v>372</v>
      </c>
      <c r="H434" s="34" t="str">
        <f>IF(Tabella4[[#This Row],[Componente]]="Documenti","10.","9.")&amp;Tabella4[[#This Row],[Criterio]]</f>
        <v>9.2.5.8</v>
      </c>
      <c r="I434" s="34" t="s">
        <v>1023</v>
      </c>
      <c r="J434" s="34" t="s">
        <v>1032</v>
      </c>
      <c r="K434" s="34" t="s">
        <v>1033</v>
      </c>
      <c r="L434" s="34" t="s">
        <v>1034</v>
      </c>
      <c r="M434" s="34" t="s">
        <v>1035</v>
      </c>
      <c r="N434" t="s">
        <v>1568</v>
      </c>
      <c r="O434" t="s">
        <v>1569</v>
      </c>
      <c r="P434" t="s">
        <v>388</v>
      </c>
      <c r="R434" s="34" t="str">
        <f>IF(Tabella4[[#This Row],[Componente]]="Documenti",_xlfn.XLOOKUP(Tabella4[[#This Row],[URL]],Tabella27[URL],Tabella27[PDF ID],,0),_xlfn.XLOOKUP(Tabella4[[#This Row],[URL]],Tabella1[URL],Tabella1[Page ID],,0))</f>
        <v>#8</v>
      </c>
      <c r="S434" s="34" t="s">
        <v>1004</v>
      </c>
      <c r="T434" t="s">
        <v>518</v>
      </c>
      <c r="V434" t="s">
        <v>521</v>
      </c>
      <c r="W434" s="34" t="s">
        <v>1068</v>
      </c>
      <c r="X43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href="#item-posteinsurancebrokerposteinsurancebroker-moduliguidare-sicuri-fase-di-vendita-faq-accordion-sonoprevistedelleagevolazioniincasodisinistrigravi-28" aria-expanded="false" aria-controls="item-posteinsurancebrokerposteinsurancebroker-moduliguidare-sicuri-fase-di-vendita-faq-accordion-sonoprevistedelleagevolazioniincasodisinistrigravi-28" title="Sono previste delle agevolazioni in caso di sinistri gravi?"&gt;</v>
      </c>
      <c r="Y434" s="34" t="str">
        <f>SUBSTITUTE(IF(Tabella4[[#This Row],[Tool]]="axe-core",MID(Tabella4[[#This Row],[Rejected Element]],3,LEN(Tabella4[[#This Row],[Rejected Element]])-4),Tabella4[[#This Row],[Rejected Element]]),"\","")</f>
        <v>#heading-item-posteinsurancebrokerposteinsurancebroker-moduliguidare-sicuri-fase-di-vendita-faq-accordion-sonoprevistedelleagevolazioniincasodisinistrigravi-28-28 &gt; .panel-title &gt; .accordion-toggle.collapsed[role="button"]</v>
      </c>
      <c r="Z434" s="34">
        <f>COUNTIFS(Tabella4[Detail univoco],Tabella4[[#This Row],[Detail univoco]],Tabella4[Rejected Element Univoco],Tabella4[[#This Row],[Rejected Element Univoco]],Tabella4[ItemsNodeLabel],Tabella4[[#This Row],[ItemsNodeLabel]])</f>
        <v>0</v>
      </c>
      <c r="AA434" s="34" t="str">
        <f>IF(Tabella4[[#This Row],[Componente]]="Documenti",VLOOKUP(Tabella4[[#This Row],[URL]],Tabella27[[URL]:[Servizio]],4,FALSE),VLOOKUP(Tabella4[[#This Row],[Page ID]],Tabella1[[Page ID]:[Servizio]],4,FALSE))</f>
        <v>S002 Poste Guidare Sicuri</v>
      </c>
      <c r="AB434" t="s">
        <v>1570</v>
      </c>
      <c r="AC434" s="34" t="str">
        <f>Tabella4[[#This Row],[User Impact]]</f>
        <v>2 - Serious</v>
      </c>
      <c r="AD434" s="34" t="str">
        <f>Copertina!C$2&amp;" - "&amp;Tabella4[[#This Row],[UNI CEI EN 301549]]&amp;" "&amp;VLOOKUP(Tabella4[[#This Row],[Criterio]],Tabella5[[ID]:[Criterio di successo]],2,FALSE)&amp;" - "&amp;Tabella4[[#This Row],[Servizio]]&amp;":"</f>
        <v>Insurance Brocker - 9.2.5.8 Dimensione dell'obiettivo (minimo) - S002 Poste Guidare Sicuri:</v>
      </c>
      <c r="AE43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(#TM0337)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href="#item-posteinsurancebrokerposteinsurancebroker-moduliguidare-sicuri-fase-di-vendita-faq-accordion-sonoprevistedelleagevolazioniincasodisinistrigravi-28" aria-expanded="false" aria-controls="item-posteinsurancebrokerposteinsurancebroker-moduliguidare-sicuri-fase-di-vendita-faq-accordion-sonoprevistedelleagevolazioniincasodisinistrigravi-28" title="Sono previste delle agevolazioni in caso di sinistri gravi?"&gt; con selettore: 
["#heading-item-posteinsurancebrokerposteinsurancebroker-moduliguidare-sicuri-fase-di-vendita-faq-accordion-sonoprevistedelleagevolazioniincasodisinistrigravi-28-28 &gt; .panel-title &gt; .accordion-toggle.collapsed[role=\"button\"]"]
Dettaglio + screenshot (accedere con le seguenti credenziali: user, axeposte@gmail.com; password, Poste2024!): https://axe.deque.com/issues/c605922a-1735-4e77-9f2a-a4632c317959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34" t="e">
        <f>_xlfn.XLOOKUP(Tabella4[[#This Row],[ID Silk]],outTable[ID Silk],outTable[Numero ticket  ],,0,1)</f>
        <v>#N/A</v>
      </c>
    </row>
    <row r="435" spans="1:32">
      <c r="A435" s="34" t="str">
        <f>MID(Tabella4[[#This Row],[Servizio]],1,4)&amp;Tabella4[[#This Row],[UNI CEI EN 301549]]</f>
        <v>S0029.2.5.8</v>
      </c>
      <c r="B435" s="34" t="str">
        <f>Tabella4[[#This Row],[ID Silk]]&amp;"_1"</f>
        <v>S0029.2.5.8_1</v>
      </c>
      <c r="C435" s="34" t="s">
        <v>1780</v>
      </c>
      <c r="D435" s="2" t="str">
        <f>"(#"&amp;Tabella4[[#This Row],['#ID]]&amp;")"</f>
        <v>(#TM0338)</v>
      </c>
      <c r="E435" s="34" t="str">
        <f>IF(MID(Tabella4[[#This Row],['#ID]],1,1)="M","Mobile",IF(MID(Tabella4[[#This Row],['#ID]],1,1)="D","Desktop",IF(MID(Tabella4[[#This Row],['#ID]],1,2)="TM","Manuale","Documenti")))</f>
        <v>Manuale</v>
      </c>
      <c r="F435" s="34" t="s">
        <v>1006</v>
      </c>
      <c r="G435" s="34" t="s">
        <v>372</v>
      </c>
      <c r="H435" s="34" t="str">
        <f>IF(Tabella4[[#This Row],[Componente]]="Documenti","10.","9.")&amp;Tabella4[[#This Row],[Criterio]]</f>
        <v>9.2.5.8</v>
      </c>
      <c r="I435" s="34" t="s">
        <v>1023</v>
      </c>
      <c r="J435" s="34" t="s">
        <v>1032</v>
      </c>
      <c r="K435" s="34" t="s">
        <v>1033</v>
      </c>
      <c r="L435" s="34" t="s">
        <v>1034</v>
      </c>
      <c r="M435" s="34" t="s">
        <v>1035</v>
      </c>
      <c r="N435" t="s">
        <v>1383</v>
      </c>
      <c r="O435" t="s">
        <v>1384</v>
      </c>
      <c r="P435" t="s">
        <v>388</v>
      </c>
      <c r="R435" s="34" t="str">
        <f>IF(Tabella4[[#This Row],[Componente]]="Documenti",_xlfn.XLOOKUP(Tabella4[[#This Row],[URL]],Tabella27[URL],Tabella27[PDF ID],,0),_xlfn.XLOOKUP(Tabella4[[#This Row],[URL]],Tabella1[URL],Tabella1[Page ID],,0))</f>
        <v>#8</v>
      </c>
      <c r="S435" s="34" t="s">
        <v>1004</v>
      </c>
      <c r="T435" t="s">
        <v>518</v>
      </c>
      <c r="V435" t="s">
        <v>519</v>
      </c>
      <c r="W435" s="34" t="s">
        <v>1068</v>
      </c>
      <c r="X43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id="heading-item-posteinsurancebrokerposteinsurancebroker-moduliguidare-sicuri-fase-di-vendita-faq-accordion-lassicurazionercavalidaancheallestero-29-29"&gt;</v>
      </c>
      <c r="Y435" s="34" t="str">
        <f>SUBSTITUTE(IF(Tabella4[[#This Row],[Tool]]="axe-core",MID(Tabella4[[#This Row],[Rejected Element]],3,LEN(Tabella4[[#This Row],[Rejected Element]])-4),Tabella4[[#This Row],[Rejected Element]]),"\","")</f>
        <v>#heading-item-posteinsurancebrokerposteinsurancebroker-moduliguidare-sicuri-fase-di-vendita-faq-accordion-lassicurazionercavalidaancheallestero-29-29</v>
      </c>
      <c r="Z435" s="34">
        <f>COUNTIFS(Tabella4[Detail univoco],Tabella4[[#This Row],[Detail univoco]],Tabella4[Rejected Element Univoco],Tabella4[[#This Row],[Rejected Element Univoco]],Tabella4[ItemsNodeLabel],Tabella4[[#This Row],[ItemsNodeLabel]])</f>
        <v>0</v>
      </c>
      <c r="AA435" s="34" t="str">
        <f>IF(Tabella4[[#This Row],[Componente]]="Documenti",VLOOKUP(Tabella4[[#This Row],[URL]],Tabella27[[URL]:[Servizio]],4,FALSE),VLOOKUP(Tabella4[[#This Row],[Page ID]],Tabella1[[Page ID]:[Servizio]],4,FALSE))</f>
        <v>S002 Poste Guidare Sicuri</v>
      </c>
      <c r="AB435" t="s">
        <v>1571</v>
      </c>
      <c r="AC435" s="34" t="str">
        <f>Tabella4[[#This Row],[User Impact]]</f>
        <v>2 - Serious</v>
      </c>
      <c r="AD435" s="34" t="str">
        <f>Copertina!C$2&amp;" - "&amp;Tabella4[[#This Row],[UNI CEI EN 301549]]&amp;" "&amp;VLOOKUP(Tabella4[[#This Row],[Criterio]],Tabella5[[ID]:[Criterio di successo]],2,FALSE)&amp;" - "&amp;Tabella4[[#This Row],[Servizio]]&amp;":"</f>
        <v>Insurance Brocker - 9.2.5.8 Dimensione dell'obiettivo (minimo) - S002 Poste Guidare Sicuri:</v>
      </c>
      <c r="AE43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(#TM0338)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id="heading-item-posteinsurancebrokerposteinsurancebroker-moduliguidare-sicuri-fase-di-vendita-faq-accordion-lassicurazionercavalidaancheallestero-29-29"&gt; con selettore: 
["#heading-item-posteinsurancebrokerposteinsurancebroker-moduliguidare-sicuri-fase-di-vendita-faq-accordion-lassicurazionercavalidaancheallestero-29-29"]
Dettaglio + screenshot (accedere con le seguenti credenziali: user, axeposte@gmail.com; password, Poste2024!): https://axe.deque.com/issues/323ff421-a16e-49f2-a26c-9dea59d599c2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35" t="e">
        <f>_xlfn.XLOOKUP(Tabella4[[#This Row],[ID Silk]],outTable[ID Silk],outTable[Numero ticket  ],,0,1)</f>
        <v>#N/A</v>
      </c>
    </row>
    <row r="436" spans="1:32">
      <c r="A436" s="34" t="str">
        <f>MID(Tabella4[[#This Row],[Servizio]],1,4)&amp;Tabella4[[#This Row],[UNI CEI EN 301549]]</f>
        <v>S0029.2.5.8</v>
      </c>
      <c r="B436" s="34" t="str">
        <f>Tabella4[[#This Row],[ID Silk]]&amp;"_1"</f>
        <v>S0029.2.5.8_1</v>
      </c>
      <c r="C436" s="34" t="s">
        <v>1781</v>
      </c>
      <c r="D436" s="2" t="str">
        <f>"(#"&amp;Tabella4[[#This Row],['#ID]]&amp;")"</f>
        <v>(#TM0339)</v>
      </c>
      <c r="E436" s="34" t="str">
        <f>IF(MID(Tabella4[[#This Row],['#ID]],1,1)="M","Mobile",IF(MID(Tabella4[[#This Row],['#ID]],1,1)="D","Desktop",IF(MID(Tabella4[[#This Row],['#ID]],1,2)="TM","Manuale","Documenti")))</f>
        <v>Manuale</v>
      </c>
      <c r="F436" s="34" t="s">
        <v>1006</v>
      </c>
      <c r="G436" s="34" t="s">
        <v>372</v>
      </c>
      <c r="H436" s="34" t="str">
        <f>IF(Tabella4[[#This Row],[Componente]]="Documenti","10.","9.")&amp;Tabella4[[#This Row],[Criterio]]</f>
        <v>9.2.5.8</v>
      </c>
      <c r="I436" s="34" t="s">
        <v>1023</v>
      </c>
      <c r="J436" s="34" t="s">
        <v>1032</v>
      </c>
      <c r="K436" s="34" t="s">
        <v>1033</v>
      </c>
      <c r="L436" s="34" t="s">
        <v>1034</v>
      </c>
      <c r="M436" s="34" t="s">
        <v>1035</v>
      </c>
      <c r="N436" t="s">
        <v>1572</v>
      </c>
      <c r="O436" t="s">
        <v>1573</v>
      </c>
      <c r="P436" t="s">
        <v>388</v>
      </c>
      <c r="R436" s="34" t="str">
        <f>IF(Tabella4[[#This Row],[Componente]]="Documenti",_xlfn.XLOOKUP(Tabella4[[#This Row],[URL]],Tabella27[URL],Tabella27[PDF ID],,0),_xlfn.XLOOKUP(Tabella4[[#This Row],[URL]],Tabella1[URL],Tabella1[Page ID],,0))</f>
        <v>#8</v>
      </c>
      <c r="S436" s="34" t="s">
        <v>1004</v>
      </c>
      <c r="T436" t="s">
        <v>518</v>
      </c>
      <c r="V436" t="s">
        <v>521</v>
      </c>
      <c r="W436" s="34" t="s">
        <v>1068</v>
      </c>
      <c r="X43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href="#item-posteinsurancebrokerposteinsurancebroker-moduliguidare-sicuri-fase-di-vendita-faq-accordion-lassicurazionercavalidaancheallestero-29" aria-expanded="false" aria-controls="item-posteinsurancebrokerposteinsurancebroker-moduliguidare-sicuri-fase-di-vendita-faq-accordion-lassicurazionercavalidaancheallestero-29" title="L’assicurazione RCA è valida anche all’estero?"&gt;</v>
      </c>
      <c r="Y436" s="34" t="str">
        <f>SUBSTITUTE(IF(Tabella4[[#This Row],[Tool]]="axe-core",MID(Tabella4[[#This Row],[Rejected Element]],3,LEN(Tabella4[[#This Row],[Rejected Element]])-4),Tabella4[[#This Row],[Rejected Element]]),"\","")</f>
        <v>#heading-item-posteinsurancebrokerposteinsurancebroker-moduliguidare-sicuri-fase-di-vendita-faq-accordion-lassicurazionercavalidaancheallestero-29-29 &gt; .panel-title &gt; .accordion-toggle.collapsed[role="button"]</v>
      </c>
      <c r="Z436" s="34">
        <f>COUNTIFS(Tabella4[Detail univoco],Tabella4[[#This Row],[Detail univoco]],Tabella4[Rejected Element Univoco],Tabella4[[#This Row],[Rejected Element Univoco]],Tabella4[ItemsNodeLabel],Tabella4[[#This Row],[ItemsNodeLabel]])</f>
        <v>0</v>
      </c>
      <c r="AA436" s="34" t="str">
        <f>IF(Tabella4[[#This Row],[Componente]]="Documenti",VLOOKUP(Tabella4[[#This Row],[URL]],Tabella27[[URL]:[Servizio]],4,FALSE),VLOOKUP(Tabella4[[#This Row],[Page ID]],Tabella1[[Page ID]:[Servizio]],4,FALSE))</f>
        <v>S002 Poste Guidare Sicuri</v>
      </c>
      <c r="AB436" t="s">
        <v>1574</v>
      </c>
      <c r="AC436" s="34" t="str">
        <f>Tabella4[[#This Row],[User Impact]]</f>
        <v>2 - Serious</v>
      </c>
      <c r="AD436" s="34" t="str">
        <f>Copertina!C$2&amp;" - "&amp;Tabella4[[#This Row],[UNI CEI EN 301549]]&amp;" "&amp;VLOOKUP(Tabella4[[#This Row],[Criterio]],Tabella5[[ID]:[Criterio di successo]],2,FALSE)&amp;" - "&amp;Tabella4[[#This Row],[Servizio]]&amp;":"</f>
        <v>Insurance Brocker - 9.2.5.8 Dimensione dell'obiettivo (minimo) - S002 Poste Guidare Sicuri:</v>
      </c>
      <c r="AE43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(#TM0339)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href="#item-posteinsurancebrokerposteinsurancebroker-moduliguidare-sicuri-fase-di-vendita-faq-accordion-lassicurazionercavalidaancheallestero-29" aria-expanded="false" aria-controls="item-posteinsurancebrokerposteinsurancebroker-moduliguidare-sicuri-fase-di-vendita-faq-accordion-lassicurazionercavalidaancheallestero-29" title="L’assicurazione RCA è valida anche all’estero?"&gt; con selettore: 
["#heading-item-posteinsurancebrokerposteinsurancebroker-moduliguidare-sicuri-fase-di-vendita-faq-accordion-lassicurazionercavalidaancheallestero-29-29 &gt; .panel-title &gt; .accordion-toggle.collapsed[role=\"button\"]"]
Dettaglio + screenshot (accedere con le seguenti credenziali: user, axeposte@gmail.com; password, Poste2024!): https://axe.deque.com/issues/2c50e515-9969-464a-b4cc-27744c28ec8d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36" t="e">
        <f>_xlfn.XLOOKUP(Tabella4[[#This Row],[ID Silk]],outTable[ID Silk],outTable[Numero ticket  ],,0,1)</f>
        <v>#N/A</v>
      </c>
    </row>
    <row r="437" spans="1:32">
      <c r="A437" s="34" t="str">
        <f>MID(Tabella4[[#This Row],[Servizio]],1,4)&amp;Tabella4[[#This Row],[UNI CEI EN 301549]]</f>
        <v>S0029.2.5.8</v>
      </c>
      <c r="B437" s="34" t="str">
        <f>Tabella4[[#This Row],[ID Silk]]&amp;"_1"</f>
        <v>S0029.2.5.8_1</v>
      </c>
      <c r="C437" s="34" t="s">
        <v>1782</v>
      </c>
      <c r="D437" s="2" t="str">
        <f>"(#"&amp;Tabella4[[#This Row],['#ID]]&amp;")"</f>
        <v>(#TM0340)</v>
      </c>
      <c r="E437" s="34" t="str">
        <f>IF(MID(Tabella4[[#This Row],['#ID]],1,1)="M","Mobile",IF(MID(Tabella4[[#This Row],['#ID]],1,1)="D","Desktop",IF(MID(Tabella4[[#This Row],['#ID]],1,2)="TM","Manuale","Documenti")))</f>
        <v>Manuale</v>
      </c>
      <c r="F437" s="34" t="s">
        <v>1006</v>
      </c>
      <c r="G437" s="34" t="s">
        <v>372</v>
      </c>
      <c r="H437" s="34" t="str">
        <f>IF(Tabella4[[#This Row],[Componente]]="Documenti","10.","9.")&amp;Tabella4[[#This Row],[Criterio]]</f>
        <v>9.2.5.8</v>
      </c>
      <c r="I437" s="34" t="s">
        <v>1023</v>
      </c>
      <c r="J437" s="34" t="s">
        <v>1032</v>
      </c>
      <c r="K437" s="34" t="s">
        <v>1033</v>
      </c>
      <c r="L437" s="34" t="s">
        <v>1034</v>
      </c>
      <c r="M437" s="34" t="s">
        <v>1035</v>
      </c>
      <c r="N437" t="s">
        <v>1386</v>
      </c>
      <c r="O437" t="s">
        <v>1387</v>
      </c>
      <c r="P437" t="s">
        <v>388</v>
      </c>
      <c r="R437" s="34" t="str">
        <f>IF(Tabella4[[#This Row],[Componente]]="Documenti",_xlfn.XLOOKUP(Tabella4[[#This Row],[URL]],Tabella27[URL],Tabella27[PDF ID],,0),_xlfn.XLOOKUP(Tabella4[[#This Row],[URL]],Tabella1[URL],Tabella1[Page ID],,0))</f>
        <v>#8</v>
      </c>
      <c r="S437" s="34" t="s">
        <v>1004</v>
      </c>
      <c r="T437" t="s">
        <v>518</v>
      </c>
      <c r="V437" t="s">
        <v>519</v>
      </c>
      <c r="W437" s="34" t="s">
        <v>1068</v>
      </c>
      <c r="X43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id="heading-item-posteinsurancebrokerposteinsurancebroker-moduliguidare-sicuri-fase-di-vendita-faq-accordion-coslacartaverde-30-30"&gt;</v>
      </c>
      <c r="Y437" s="34" t="str">
        <f>SUBSTITUTE(IF(Tabella4[[#This Row],[Tool]]="axe-core",MID(Tabella4[[#This Row],[Rejected Element]],3,LEN(Tabella4[[#This Row],[Rejected Element]])-4),Tabella4[[#This Row],[Rejected Element]]),"\","")</f>
        <v>#heading-item-posteinsurancebrokerposteinsurancebroker-moduliguidare-sicuri-fase-di-vendita-faq-accordion-coslacartaverde-30-30</v>
      </c>
      <c r="Z437" s="34">
        <f>COUNTIFS(Tabella4[Detail univoco],Tabella4[[#This Row],[Detail univoco]],Tabella4[Rejected Element Univoco],Tabella4[[#This Row],[Rejected Element Univoco]],Tabella4[ItemsNodeLabel],Tabella4[[#This Row],[ItemsNodeLabel]])</f>
        <v>0</v>
      </c>
      <c r="AA437" s="34" t="str">
        <f>IF(Tabella4[[#This Row],[Componente]]="Documenti",VLOOKUP(Tabella4[[#This Row],[URL]],Tabella27[[URL]:[Servizio]],4,FALSE),VLOOKUP(Tabella4[[#This Row],[Page ID]],Tabella1[[Page ID]:[Servizio]],4,FALSE))</f>
        <v>S002 Poste Guidare Sicuri</v>
      </c>
      <c r="AB437" t="s">
        <v>1575</v>
      </c>
      <c r="AC437" s="34" t="str">
        <f>Tabella4[[#This Row],[User Impact]]</f>
        <v>2 - Serious</v>
      </c>
      <c r="AD437" s="34" t="str">
        <f>Copertina!C$2&amp;" - "&amp;Tabella4[[#This Row],[UNI CEI EN 301549]]&amp;" "&amp;VLOOKUP(Tabella4[[#This Row],[Criterio]],Tabella5[[ID]:[Criterio di successo]],2,FALSE)&amp;" - "&amp;Tabella4[[#This Row],[Servizio]]&amp;":"</f>
        <v>Insurance Brocker - 9.2.5.8 Dimensione dell'obiettivo (minimo) - S002 Poste Guidare Sicuri:</v>
      </c>
      <c r="AE43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(#TM0340)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id="heading-item-posteinsurancebrokerposteinsurancebroker-moduliguidare-sicuri-fase-di-vendita-faq-accordion-coslacartaverde-30-30"&gt; con selettore: 
["#heading-item-posteinsurancebrokerposteinsurancebroker-moduliguidare-sicuri-fase-di-vendita-faq-accordion-coslacartaverde-30-30"]
Dettaglio + screenshot (accedere con le seguenti credenziali: user, axeposte@gmail.com; password, Poste2024!): https://axe.deque.com/issues/873f77f1-2cbf-4f67-98e1-bf9679468013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37" t="e">
        <f>_xlfn.XLOOKUP(Tabella4[[#This Row],[ID Silk]],outTable[ID Silk],outTable[Numero ticket  ],,0,1)</f>
        <v>#N/A</v>
      </c>
    </row>
    <row r="438" spans="1:32">
      <c r="A438" s="34" t="str">
        <f>MID(Tabella4[[#This Row],[Servizio]],1,4)&amp;Tabella4[[#This Row],[UNI CEI EN 301549]]</f>
        <v>S0029.2.5.8</v>
      </c>
      <c r="B438" s="34" t="str">
        <f>Tabella4[[#This Row],[ID Silk]]&amp;"_1"</f>
        <v>S0029.2.5.8_1</v>
      </c>
      <c r="C438" s="34" t="s">
        <v>1783</v>
      </c>
      <c r="D438" s="2" t="str">
        <f>"(#"&amp;Tabella4[[#This Row],['#ID]]&amp;")"</f>
        <v>(#TM0341)</v>
      </c>
      <c r="E438" s="34" t="str">
        <f>IF(MID(Tabella4[[#This Row],['#ID]],1,1)="M","Mobile",IF(MID(Tabella4[[#This Row],['#ID]],1,1)="D","Desktop",IF(MID(Tabella4[[#This Row],['#ID]],1,2)="TM","Manuale","Documenti")))</f>
        <v>Manuale</v>
      </c>
      <c r="F438" s="34" t="s">
        <v>1006</v>
      </c>
      <c r="G438" s="34" t="s">
        <v>372</v>
      </c>
      <c r="H438" s="34" t="str">
        <f>IF(Tabella4[[#This Row],[Componente]]="Documenti","10.","9.")&amp;Tabella4[[#This Row],[Criterio]]</f>
        <v>9.2.5.8</v>
      </c>
      <c r="I438" s="34" t="s">
        <v>1023</v>
      </c>
      <c r="J438" s="34" t="s">
        <v>1032</v>
      </c>
      <c r="K438" s="34" t="s">
        <v>1033</v>
      </c>
      <c r="L438" s="34" t="s">
        <v>1034</v>
      </c>
      <c r="M438" s="34" t="s">
        <v>1035</v>
      </c>
      <c r="N438" t="s">
        <v>1576</v>
      </c>
      <c r="O438" t="s">
        <v>1577</v>
      </c>
      <c r="P438" t="s">
        <v>388</v>
      </c>
      <c r="R438" s="34" t="str">
        <f>IF(Tabella4[[#This Row],[Componente]]="Documenti",_xlfn.XLOOKUP(Tabella4[[#This Row],[URL]],Tabella27[URL],Tabella27[PDF ID],,0),_xlfn.XLOOKUP(Tabella4[[#This Row],[URL]],Tabella1[URL],Tabella1[Page ID],,0))</f>
        <v>#8</v>
      </c>
      <c r="S438" s="34" t="s">
        <v>1004</v>
      </c>
      <c r="T438" t="s">
        <v>518</v>
      </c>
      <c r="V438" t="s">
        <v>521</v>
      </c>
      <c r="W438" s="34" t="s">
        <v>1068</v>
      </c>
      <c r="X43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href="#item-posteinsurancebrokerposteinsurancebroker-moduliguidare-sicuri-fase-di-vendita-faq-accordion-coslacartaverde-30" aria-expanded="false" aria-controls="item-posteinsurancebrokerposteinsurancebroker-moduliguidare-sicuri-fase-di-vendita-faq-accordion-coslacartaverde-30" title="Cos’è la carta verde?"&gt;</v>
      </c>
      <c r="Y438" s="34" t="str">
        <f>SUBSTITUTE(IF(Tabella4[[#This Row],[Tool]]="axe-core",MID(Tabella4[[#This Row],[Rejected Element]],3,LEN(Tabella4[[#This Row],[Rejected Element]])-4),Tabella4[[#This Row],[Rejected Element]]),"\","")</f>
        <v>a[title="Cos’è la carta verde?"]</v>
      </c>
      <c r="Z438" s="34">
        <f>COUNTIFS(Tabella4[Detail univoco],Tabella4[[#This Row],[Detail univoco]],Tabella4[Rejected Element Univoco],Tabella4[[#This Row],[Rejected Element Univoco]],Tabella4[ItemsNodeLabel],Tabella4[[#This Row],[ItemsNodeLabel]])</f>
        <v>0</v>
      </c>
      <c r="AA438" s="34" t="str">
        <f>IF(Tabella4[[#This Row],[Componente]]="Documenti",VLOOKUP(Tabella4[[#This Row],[URL]],Tabella27[[URL]:[Servizio]],4,FALSE),VLOOKUP(Tabella4[[#This Row],[Page ID]],Tabella1[[Page ID]:[Servizio]],4,FALSE))</f>
        <v>S002 Poste Guidare Sicuri</v>
      </c>
      <c r="AB438" t="s">
        <v>1578</v>
      </c>
      <c r="AC438" s="34" t="str">
        <f>Tabella4[[#This Row],[User Impact]]</f>
        <v>2 - Serious</v>
      </c>
      <c r="AD438" s="34" t="str">
        <f>Copertina!C$2&amp;" - "&amp;Tabella4[[#This Row],[UNI CEI EN 301549]]&amp;" "&amp;VLOOKUP(Tabella4[[#This Row],[Criterio]],Tabella5[[ID]:[Criterio di successo]],2,FALSE)&amp;" - "&amp;Tabella4[[#This Row],[Servizio]]&amp;":"</f>
        <v>Insurance Brocker - 9.2.5.8 Dimensione dell'obiettivo (minimo) - S002 Poste Guidare Sicuri:</v>
      </c>
      <c r="AE43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(#TM0341)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href="#item-posteinsurancebrokerposteinsurancebroker-moduliguidare-sicuri-fase-di-vendita-faq-accordion-coslacartaverde-30" aria-expanded="false" aria-controls="item-posteinsurancebrokerposteinsurancebroker-moduliguidare-sicuri-fase-di-vendita-faq-accordion-coslacartaverde-30" title="Cos’è la carta verde?"&gt; con selettore: 
["a[title=\"Cos’è la carta verde?\"]"]
Dettaglio + screenshot (accedere con le seguenti credenziali: user, axeposte@gmail.com; password, Poste2024!): https://axe.deque.com/issues/40c548b3-5646-487b-9340-b045fda01a8a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38" t="e">
        <f>_xlfn.XLOOKUP(Tabella4[[#This Row],[ID Silk]],outTable[ID Silk],outTable[Numero ticket  ],,0,1)</f>
        <v>#N/A</v>
      </c>
    </row>
    <row r="439" spans="1:32">
      <c r="A439" s="34" t="str">
        <f>MID(Tabella4[[#This Row],[Servizio]],1,4)&amp;Tabella4[[#This Row],[UNI CEI EN 301549]]</f>
        <v>S0029.2.5.8</v>
      </c>
      <c r="B439" s="34" t="str">
        <f>Tabella4[[#This Row],[ID Silk]]&amp;"_1"</f>
        <v>S0029.2.5.8_1</v>
      </c>
      <c r="C439" s="34" t="s">
        <v>1784</v>
      </c>
      <c r="D439" s="2" t="str">
        <f>"(#"&amp;Tabella4[[#This Row],['#ID]]&amp;")"</f>
        <v>(#TM0342)</v>
      </c>
      <c r="E439" s="34" t="str">
        <f>IF(MID(Tabella4[[#This Row],['#ID]],1,1)="M","Mobile",IF(MID(Tabella4[[#This Row],['#ID]],1,1)="D","Desktop",IF(MID(Tabella4[[#This Row],['#ID]],1,2)="TM","Manuale","Documenti")))</f>
        <v>Manuale</v>
      </c>
      <c r="F439" s="34" t="s">
        <v>1006</v>
      </c>
      <c r="G439" s="34" t="s">
        <v>372</v>
      </c>
      <c r="H439" s="34" t="str">
        <f>IF(Tabella4[[#This Row],[Componente]]="Documenti","10.","9.")&amp;Tabella4[[#This Row],[Criterio]]</f>
        <v>9.2.5.8</v>
      </c>
      <c r="I439" s="34" t="s">
        <v>1023</v>
      </c>
      <c r="J439" s="34" t="s">
        <v>1032</v>
      </c>
      <c r="K439" s="34" t="s">
        <v>1033</v>
      </c>
      <c r="L439" s="34" t="s">
        <v>1034</v>
      </c>
      <c r="M439" s="34" t="s">
        <v>1035</v>
      </c>
      <c r="N439" t="s">
        <v>1389</v>
      </c>
      <c r="O439" t="s">
        <v>1390</v>
      </c>
      <c r="P439" t="s">
        <v>388</v>
      </c>
      <c r="R439" s="34" t="str">
        <f>IF(Tabella4[[#This Row],[Componente]]="Documenti",_xlfn.XLOOKUP(Tabella4[[#This Row],[URL]],Tabella27[URL],Tabella27[PDF ID],,0),_xlfn.XLOOKUP(Tabella4[[#This Row],[URL]],Tabella1[URL],Tabella1[Page ID],,0))</f>
        <v>#8</v>
      </c>
      <c r="S439" s="34" t="s">
        <v>1004</v>
      </c>
      <c r="T439" t="s">
        <v>518</v>
      </c>
      <c r="V439" t="s">
        <v>519</v>
      </c>
      <c r="W439" s="34" t="s">
        <v>1068</v>
      </c>
      <c r="X43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id="heading-item-posteinsurancebrokerposteinsurancebroker-moduliguidare-sicuri-fase-di-vendita-faq-accordion-comesipupagarelapolizza-31-31"&gt;</v>
      </c>
      <c r="Y439" s="34" t="str">
        <f>SUBSTITUTE(IF(Tabella4[[#This Row],[Tool]]="axe-core",MID(Tabella4[[#This Row],[Rejected Element]],3,LEN(Tabella4[[#This Row],[Rejected Element]])-4),Tabella4[[#This Row],[Rejected Element]]),"\","")</f>
        <v>#heading-item-posteinsurancebrokerposteinsurancebroker-moduliguidare-sicuri-fase-di-vendita-faq-accordion-comesipupagarelapolizza-31-31</v>
      </c>
      <c r="Z439" s="34">
        <f>COUNTIFS(Tabella4[Detail univoco],Tabella4[[#This Row],[Detail univoco]],Tabella4[Rejected Element Univoco],Tabella4[[#This Row],[Rejected Element Univoco]],Tabella4[ItemsNodeLabel],Tabella4[[#This Row],[ItemsNodeLabel]])</f>
        <v>0</v>
      </c>
      <c r="AA439" s="34" t="str">
        <f>IF(Tabella4[[#This Row],[Componente]]="Documenti",VLOOKUP(Tabella4[[#This Row],[URL]],Tabella27[[URL]:[Servizio]],4,FALSE),VLOOKUP(Tabella4[[#This Row],[Page ID]],Tabella1[[Page ID]:[Servizio]],4,FALSE))</f>
        <v>S002 Poste Guidare Sicuri</v>
      </c>
      <c r="AB439" t="s">
        <v>1579</v>
      </c>
      <c r="AC439" s="34" t="str">
        <f>Tabella4[[#This Row],[User Impact]]</f>
        <v>2 - Serious</v>
      </c>
      <c r="AD439" s="34" t="str">
        <f>Copertina!C$2&amp;" - "&amp;Tabella4[[#This Row],[UNI CEI EN 301549]]&amp;" "&amp;VLOOKUP(Tabella4[[#This Row],[Criterio]],Tabella5[[ID]:[Criterio di successo]],2,FALSE)&amp;" - "&amp;Tabella4[[#This Row],[Servizio]]&amp;":"</f>
        <v>Insurance Brocker - 9.2.5.8 Dimensione dell'obiettivo (minimo) - S002 Poste Guidare Sicuri:</v>
      </c>
      <c r="AE43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(#TM0342)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id="heading-item-posteinsurancebrokerposteinsurancebroker-moduliguidare-sicuri-fase-di-vendita-faq-accordion-comesipupagarelapolizza-31-31"&gt; con selettore: 
["#heading-item-posteinsurancebrokerposteinsurancebroker-moduliguidare-sicuri-fase-di-vendita-faq-accordion-comesipupagarelapolizza-31-31"]
Dettaglio + screenshot (accedere con le seguenti credenziali: user, axeposte@gmail.com; password, Poste2024!): https://axe.deque.com/issues/6863b483-9fbf-4fe6-b0b2-dc66a96a2140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39" t="e">
        <f>_xlfn.XLOOKUP(Tabella4[[#This Row],[ID Silk]],outTable[ID Silk],outTable[Numero ticket  ],,0,1)</f>
        <v>#N/A</v>
      </c>
    </row>
    <row r="440" spans="1:32">
      <c r="A440" s="34" t="str">
        <f>MID(Tabella4[[#This Row],[Servizio]],1,4)&amp;Tabella4[[#This Row],[UNI CEI EN 301549]]</f>
        <v>S0029.2.5.8</v>
      </c>
      <c r="B440" s="34" t="str">
        <f>Tabella4[[#This Row],[ID Silk]]&amp;"_1"</f>
        <v>S0029.2.5.8_1</v>
      </c>
      <c r="C440" s="34" t="s">
        <v>1785</v>
      </c>
      <c r="D440" s="2" t="str">
        <f>"(#"&amp;Tabella4[[#This Row],['#ID]]&amp;")"</f>
        <v>(#TM0343)</v>
      </c>
      <c r="E440" s="34" t="str">
        <f>IF(MID(Tabella4[[#This Row],['#ID]],1,1)="M","Mobile",IF(MID(Tabella4[[#This Row],['#ID]],1,1)="D","Desktop",IF(MID(Tabella4[[#This Row],['#ID]],1,2)="TM","Manuale","Documenti")))</f>
        <v>Manuale</v>
      </c>
      <c r="F440" s="34" t="s">
        <v>1006</v>
      </c>
      <c r="G440" s="34" t="s">
        <v>372</v>
      </c>
      <c r="H440" s="34" t="str">
        <f>IF(Tabella4[[#This Row],[Componente]]="Documenti","10.","9.")&amp;Tabella4[[#This Row],[Criterio]]</f>
        <v>9.2.5.8</v>
      </c>
      <c r="I440" s="34" t="s">
        <v>1023</v>
      </c>
      <c r="J440" s="34" t="s">
        <v>1032</v>
      </c>
      <c r="K440" s="34" t="s">
        <v>1033</v>
      </c>
      <c r="L440" s="34" t="s">
        <v>1034</v>
      </c>
      <c r="M440" s="34" t="s">
        <v>1035</v>
      </c>
      <c r="N440" t="s">
        <v>1580</v>
      </c>
      <c r="O440" t="s">
        <v>1581</v>
      </c>
      <c r="P440" t="s">
        <v>388</v>
      </c>
      <c r="R440" s="34" t="str">
        <f>IF(Tabella4[[#This Row],[Componente]]="Documenti",_xlfn.XLOOKUP(Tabella4[[#This Row],[URL]],Tabella27[URL],Tabella27[PDF ID],,0),_xlfn.XLOOKUP(Tabella4[[#This Row],[URL]],Tabella1[URL],Tabella1[Page ID],,0))</f>
        <v>#8</v>
      </c>
      <c r="S440" s="34" t="s">
        <v>1004</v>
      </c>
      <c r="T440" t="s">
        <v>518</v>
      </c>
      <c r="V440" t="s">
        <v>521</v>
      </c>
      <c r="W440" s="34" t="s">
        <v>1068</v>
      </c>
      <c r="X44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href="#item-posteinsurancebrokerposteinsurancebroker-moduliguidare-sicuri-fase-di-vendita-faq-accordion-comesipupagarelapolizza-31" aria-expanded="false" aria-controls="item-posteinsurancebrokerposteinsurancebroker-moduliguidare-sicuri-fase-di-vendita-faq-accordion-comesipupagarelapolizza-31" title="Come si può pagare la polizza?"&gt;</v>
      </c>
      <c r="Y440" s="34" t="str">
        <f>SUBSTITUTE(IF(Tabella4[[#This Row],[Tool]]="axe-core",MID(Tabella4[[#This Row],[Rejected Element]],3,LEN(Tabella4[[#This Row],[Rejected Element]])-4),Tabella4[[#This Row],[Rejected Element]]),"\","")</f>
        <v>a[title="Come si può pagare la polizza?"]</v>
      </c>
      <c r="Z440" s="34">
        <f>COUNTIFS(Tabella4[Detail univoco],Tabella4[[#This Row],[Detail univoco]],Tabella4[Rejected Element Univoco],Tabella4[[#This Row],[Rejected Element Univoco]],Tabella4[ItemsNodeLabel],Tabella4[[#This Row],[ItemsNodeLabel]])</f>
        <v>0</v>
      </c>
      <c r="AA440" s="34" t="str">
        <f>IF(Tabella4[[#This Row],[Componente]]="Documenti",VLOOKUP(Tabella4[[#This Row],[URL]],Tabella27[[URL]:[Servizio]],4,FALSE),VLOOKUP(Tabella4[[#This Row],[Page ID]],Tabella1[[Page ID]:[Servizio]],4,FALSE))</f>
        <v>S002 Poste Guidare Sicuri</v>
      </c>
      <c r="AB440" t="s">
        <v>1582</v>
      </c>
      <c r="AC440" s="34" t="str">
        <f>Tabella4[[#This Row],[User Impact]]</f>
        <v>2 - Serious</v>
      </c>
      <c r="AD440" s="34" t="str">
        <f>Copertina!C$2&amp;" - "&amp;Tabella4[[#This Row],[UNI CEI EN 301549]]&amp;" "&amp;VLOOKUP(Tabella4[[#This Row],[Criterio]],Tabella5[[ID]:[Criterio di successo]],2,FALSE)&amp;" - "&amp;Tabella4[[#This Row],[Servizio]]&amp;":"</f>
        <v>Insurance Brocker - 9.2.5.8 Dimensione dell'obiettivo (minimo) - S002 Poste Guidare Sicuri:</v>
      </c>
      <c r="AE44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(#TM0343)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href="#item-posteinsurancebrokerposteinsurancebroker-moduliguidare-sicuri-fase-di-vendita-faq-accordion-comesipupagarelapolizza-31" aria-expanded="false" aria-controls="item-posteinsurancebrokerposteinsurancebroker-moduliguidare-sicuri-fase-di-vendita-faq-accordion-comesipupagarelapolizza-31" title="Come si può pagare la polizza?"&gt; con selettore: 
["a[title=\"Come si può pagare la polizza?\"]"]
Dettaglio + screenshot (accedere con le seguenti credenziali: user, axeposte@gmail.com; password, Poste2024!): https://axe.deque.com/issues/c53b298f-4b3d-4eb2-8218-e13c44b7bbe7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40" t="e">
        <f>_xlfn.XLOOKUP(Tabella4[[#This Row],[ID Silk]],outTable[ID Silk],outTable[Numero ticket  ],,0,1)</f>
        <v>#N/A</v>
      </c>
    </row>
    <row r="441" spans="1:32">
      <c r="A441" s="34" t="str">
        <f>MID(Tabella4[[#This Row],[Servizio]],1,4)&amp;Tabella4[[#This Row],[UNI CEI EN 301549]]</f>
        <v>S0029.2.5.8</v>
      </c>
      <c r="B441" s="34" t="str">
        <f>Tabella4[[#This Row],[ID Silk]]&amp;"_1"</f>
        <v>S0029.2.5.8_1</v>
      </c>
      <c r="C441" s="34" t="s">
        <v>1786</v>
      </c>
      <c r="D441" s="2" t="str">
        <f>"(#"&amp;Tabella4[[#This Row],['#ID]]&amp;")"</f>
        <v>(#TM0344)</v>
      </c>
      <c r="E441" s="34" t="str">
        <f>IF(MID(Tabella4[[#This Row],['#ID]],1,1)="M","Mobile",IF(MID(Tabella4[[#This Row],['#ID]],1,1)="D","Desktop",IF(MID(Tabella4[[#This Row],['#ID]],1,2)="TM","Manuale","Documenti")))</f>
        <v>Manuale</v>
      </c>
      <c r="F441" s="34" t="s">
        <v>1006</v>
      </c>
      <c r="G441" s="34" t="s">
        <v>372</v>
      </c>
      <c r="H441" s="34" t="str">
        <f>IF(Tabella4[[#This Row],[Componente]]="Documenti","10.","9.")&amp;Tabella4[[#This Row],[Criterio]]</f>
        <v>9.2.5.8</v>
      </c>
      <c r="I441" s="34" t="s">
        <v>1023</v>
      </c>
      <c r="J441" s="34" t="s">
        <v>1032</v>
      </c>
      <c r="K441" s="34" t="s">
        <v>1033</v>
      </c>
      <c r="L441" s="34" t="s">
        <v>1034</v>
      </c>
      <c r="M441" s="34" t="s">
        <v>1035</v>
      </c>
      <c r="N441" t="s">
        <v>1392</v>
      </c>
      <c r="O441" t="s">
        <v>1393</v>
      </c>
      <c r="P441" t="s">
        <v>388</v>
      </c>
      <c r="R441" s="34" t="str">
        <f>IF(Tabella4[[#This Row],[Componente]]="Documenti",_xlfn.XLOOKUP(Tabella4[[#This Row],[URL]],Tabella27[URL],Tabella27[PDF ID],,0),_xlfn.XLOOKUP(Tabella4[[#This Row],[URL]],Tabella1[URL],Tabella1[Page ID],,0))</f>
        <v>#8</v>
      </c>
      <c r="S441" s="34" t="s">
        <v>1004</v>
      </c>
      <c r="T441" t="s">
        <v>518</v>
      </c>
      <c r="V441" t="s">
        <v>519</v>
      </c>
      <c r="W441" s="34" t="s">
        <v>1068</v>
      </c>
      <c r="X44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id="heading-item-posteinsurancebrokerposteinsurancebroker-moduliguidare-sicuri-fase-di-vendita-faq-accordion-possorateizzareilpagamentodellamiapolizza-32-32"&gt;</v>
      </c>
      <c r="Y441" s="34" t="str">
        <f>SUBSTITUTE(IF(Tabella4[[#This Row],[Tool]]="axe-core",MID(Tabella4[[#This Row],[Rejected Element]],3,LEN(Tabella4[[#This Row],[Rejected Element]])-4),Tabella4[[#This Row],[Rejected Element]]),"\","")</f>
        <v>#heading-item-posteinsurancebrokerposteinsurancebroker-moduliguidare-sicuri-fase-di-vendita-faq-accordion-possorateizzareilpagamentodellamiapolizza-32-32</v>
      </c>
      <c r="Z441" s="34">
        <f>COUNTIFS(Tabella4[Detail univoco],Tabella4[[#This Row],[Detail univoco]],Tabella4[Rejected Element Univoco],Tabella4[[#This Row],[Rejected Element Univoco]],Tabella4[ItemsNodeLabel],Tabella4[[#This Row],[ItemsNodeLabel]])</f>
        <v>0</v>
      </c>
      <c r="AA441" s="34" t="str">
        <f>IF(Tabella4[[#This Row],[Componente]]="Documenti",VLOOKUP(Tabella4[[#This Row],[URL]],Tabella27[[URL]:[Servizio]],4,FALSE),VLOOKUP(Tabella4[[#This Row],[Page ID]],Tabella1[[Page ID]:[Servizio]],4,FALSE))</f>
        <v>S002 Poste Guidare Sicuri</v>
      </c>
      <c r="AB441" t="s">
        <v>1583</v>
      </c>
      <c r="AC441" s="34" t="str">
        <f>Tabella4[[#This Row],[User Impact]]</f>
        <v>2 - Serious</v>
      </c>
      <c r="AD441" s="34" t="str">
        <f>Copertina!C$2&amp;" - "&amp;Tabella4[[#This Row],[UNI CEI EN 301549]]&amp;" "&amp;VLOOKUP(Tabella4[[#This Row],[Criterio]],Tabella5[[ID]:[Criterio di successo]],2,FALSE)&amp;" - "&amp;Tabella4[[#This Row],[Servizio]]&amp;":"</f>
        <v>Insurance Brocker - 9.2.5.8 Dimensione dell'obiettivo (minimo) - S002 Poste Guidare Sicuri:</v>
      </c>
      <c r="AE44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(#TM0344)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id="heading-item-posteinsurancebrokerposteinsurancebroker-moduliguidare-sicuri-fase-di-vendita-faq-accordion-possorateizzareilpagamentodellamiapolizza-32-32"&gt; con selettore: 
["#heading-item-posteinsurancebrokerposteinsurancebroker-moduliguidare-sicuri-fase-di-vendita-faq-accordion-possorateizzareilpagamentodellamiapolizza-32-32"]
Dettaglio + screenshot (accedere con le seguenti credenziali: user, axeposte@gmail.com; password, Poste2024!): https://axe.deque.com/issues/0aaf6a3f-54c9-4864-99ce-85480fe1f702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41" t="e">
        <f>_xlfn.XLOOKUP(Tabella4[[#This Row],[ID Silk]],outTable[ID Silk],outTable[Numero ticket  ],,0,1)</f>
        <v>#N/A</v>
      </c>
    </row>
    <row r="442" spans="1:32">
      <c r="A442" s="34" t="str">
        <f>MID(Tabella4[[#This Row],[Servizio]],1,4)&amp;Tabella4[[#This Row],[UNI CEI EN 301549]]</f>
        <v>S0029.2.5.8</v>
      </c>
      <c r="B442" s="34" t="str">
        <f>Tabella4[[#This Row],[ID Silk]]&amp;"_1"</f>
        <v>S0029.2.5.8_1</v>
      </c>
      <c r="C442" s="34" t="s">
        <v>1787</v>
      </c>
      <c r="D442" s="2" t="str">
        <f>"(#"&amp;Tabella4[[#This Row],['#ID]]&amp;")"</f>
        <v>(#TM0345)</v>
      </c>
      <c r="E442" s="34" t="str">
        <f>IF(MID(Tabella4[[#This Row],['#ID]],1,1)="M","Mobile",IF(MID(Tabella4[[#This Row],['#ID]],1,1)="D","Desktop",IF(MID(Tabella4[[#This Row],['#ID]],1,2)="TM","Manuale","Documenti")))</f>
        <v>Manuale</v>
      </c>
      <c r="F442" s="34" t="s">
        <v>1006</v>
      </c>
      <c r="G442" s="34" t="s">
        <v>372</v>
      </c>
      <c r="H442" s="34" t="str">
        <f>IF(Tabella4[[#This Row],[Componente]]="Documenti","10.","9.")&amp;Tabella4[[#This Row],[Criterio]]</f>
        <v>9.2.5.8</v>
      </c>
      <c r="I442" s="34" t="s">
        <v>1023</v>
      </c>
      <c r="J442" s="34" t="s">
        <v>1032</v>
      </c>
      <c r="K442" s="34" t="s">
        <v>1033</v>
      </c>
      <c r="L442" s="34" t="s">
        <v>1034</v>
      </c>
      <c r="M442" s="34" t="s">
        <v>1035</v>
      </c>
      <c r="N442" t="s">
        <v>1584</v>
      </c>
      <c r="O442" t="s">
        <v>1585</v>
      </c>
      <c r="P442" t="s">
        <v>388</v>
      </c>
      <c r="R442" s="34" t="str">
        <f>IF(Tabella4[[#This Row],[Componente]]="Documenti",_xlfn.XLOOKUP(Tabella4[[#This Row],[URL]],Tabella27[URL],Tabella27[PDF ID],,0),_xlfn.XLOOKUP(Tabella4[[#This Row],[URL]],Tabella1[URL],Tabella1[Page ID],,0))</f>
        <v>#8</v>
      </c>
      <c r="S442" s="34" t="s">
        <v>1004</v>
      </c>
      <c r="T442" t="s">
        <v>518</v>
      </c>
      <c r="V442" t="s">
        <v>521</v>
      </c>
      <c r="W442" s="34" t="s">
        <v>1068</v>
      </c>
      <c r="X44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href="#item-posteinsurancebrokerposteinsurancebroker-moduliguidare-sicuri-fase-di-vendita-faq-accordion-possorateizzareilpagamentodellamiapolizza-32" aria-expanded="false" aria-controls="item-posteinsurancebrokerposteinsurancebroker-moduliguidare-sicuri-fase-di-vendita-faq-accordion-possorateizzareilpagamentodellamiapolizza-32" title="Posso rateizzare il pagamento della mia polizza?"&gt;</v>
      </c>
      <c r="Y442" s="34" t="str">
        <f>SUBSTITUTE(IF(Tabella4[[#This Row],[Tool]]="axe-core",MID(Tabella4[[#This Row],[Rejected Element]],3,LEN(Tabella4[[#This Row],[Rejected Element]])-4),Tabella4[[#This Row],[Rejected Element]]),"\","")</f>
        <v>#heading-item-posteinsurancebrokerposteinsurancebroker-moduliguidare-sicuri-fase-di-vendita-faq-accordion-possorateizzareilpagamentodellamiapolizza-32-32 &gt; .panel-title &gt; .accordion-toggle.collapsed[role="button"]</v>
      </c>
      <c r="Z442" s="34">
        <f>COUNTIFS(Tabella4[Detail univoco],Tabella4[[#This Row],[Detail univoco]],Tabella4[Rejected Element Univoco],Tabella4[[#This Row],[Rejected Element Univoco]],Tabella4[ItemsNodeLabel],Tabella4[[#This Row],[ItemsNodeLabel]])</f>
        <v>0</v>
      </c>
      <c r="AA442" s="34" t="str">
        <f>IF(Tabella4[[#This Row],[Componente]]="Documenti",VLOOKUP(Tabella4[[#This Row],[URL]],Tabella27[[URL]:[Servizio]],4,FALSE),VLOOKUP(Tabella4[[#This Row],[Page ID]],Tabella1[[Page ID]:[Servizio]],4,FALSE))</f>
        <v>S002 Poste Guidare Sicuri</v>
      </c>
      <c r="AB442" t="s">
        <v>1586</v>
      </c>
      <c r="AC442" s="34" t="str">
        <f>Tabella4[[#This Row],[User Impact]]</f>
        <v>2 - Serious</v>
      </c>
      <c r="AD442" s="34" t="str">
        <f>Copertina!C$2&amp;" - "&amp;Tabella4[[#This Row],[UNI CEI EN 301549]]&amp;" "&amp;VLOOKUP(Tabella4[[#This Row],[Criterio]],Tabella5[[ID]:[Criterio di successo]],2,FALSE)&amp;" - "&amp;Tabella4[[#This Row],[Servizio]]&amp;":"</f>
        <v>Insurance Brocker - 9.2.5.8 Dimensione dell'obiettivo (minimo) - S002 Poste Guidare Sicuri:</v>
      </c>
      <c r="AE44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(#TM0345)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href="#item-posteinsurancebrokerposteinsurancebroker-moduliguidare-sicuri-fase-di-vendita-faq-accordion-possorateizzareilpagamentodellamiapolizza-32" aria-expanded="false" aria-controls="item-posteinsurancebrokerposteinsurancebroker-moduliguidare-sicuri-fase-di-vendita-faq-accordion-possorateizzareilpagamentodellamiapolizza-32" title="Posso rateizzare il pagamento della mia polizza?"&gt; con selettore: 
["#heading-item-posteinsurancebrokerposteinsurancebroker-moduliguidare-sicuri-fase-di-vendita-faq-accordion-possorateizzareilpagamentodellamiapolizza-32-32 &gt; .panel-title &gt; .accordion-toggle.collapsed[role=\"button\"]"]
Dettaglio + screenshot (accedere con le seguenti credenziali: user, axeposte@gmail.com; password, Poste2024!): https://axe.deque.com/issues/4c82ba88-2062-4ea5-a96e-c1d80836f201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42" t="e">
        <f>_xlfn.XLOOKUP(Tabella4[[#This Row],[ID Silk]],outTable[ID Silk],outTable[Numero ticket  ],,0,1)</f>
        <v>#N/A</v>
      </c>
    </row>
    <row r="443" spans="1:32">
      <c r="A443" s="34" t="str">
        <f>MID(Tabella4[[#This Row],[Servizio]],1,4)&amp;Tabella4[[#This Row],[UNI CEI EN 301549]]</f>
        <v>S0029.2.5.8</v>
      </c>
      <c r="B443" s="34" t="str">
        <f>Tabella4[[#This Row],[ID Silk]]&amp;"_1"</f>
        <v>S0029.2.5.8_1</v>
      </c>
      <c r="C443" s="34" t="s">
        <v>1788</v>
      </c>
      <c r="D443" s="2" t="str">
        <f>"(#"&amp;Tabella4[[#This Row],['#ID]]&amp;")"</f>
        <v>(#TM0346)</v>
      </c>
      <c r="E443" s="34" t="str">
        <f>IF(MID(Tabella4[[#This Row],['#ID]],1,1)="M","Mobile",IF(MID(Tabella4[[#This Row],['#ID]],1,1)="D","Desktop",IF(MID(Tabella4[[#This Row],['#ID]],1,2)="TM","Manuale","Documenti")))</f>
        <v>Manuale</v>
      </c>
      <c r="F443" s="34" t="s">
        <v>1006</v>
      </c>
      <c r="G443" s="34" t="s">
        <v>372</v>
      </c>
      <c r="H443" s="34" t="str">
        <f>IF(Tabella4[[#This Row],[Componente]]="Documenti","10.","9.")&amp;Tabella4[[#This Row],[Criterio]]</f>
        <v>9.2.5.8</v>
      </c>
      <c r="I443" s="34" t="s">
        <v>1023</v>
      </c>
      <c r="J443" s="34" t="s">
        <v>1032</v>
      </c>
      <c r="K443" s="34" t="s">
        <v>1033</v>
      </c>
      <c r="L443" s="34" t="s">
        <v>1034</v>
      </c>
      <c r="M443" s="34" t="s">
        <v>1035</v>
      </c>
      <c r="N443" t="s">
        <v>1395</v>
      </c>
      <c r="O443" t="s">
        <v>1396</v>
      </c>
      <c r="P443" t="s">
        <v>388</v>
      </c>
      <c r="R443" s="34" t="str">
        <f>IF(Tabella4[[#This Row],[Componente]]="Documenti",_xlfn.XLOOKUP(Tabella4[[#This Row],[URL]],Tabella27[URL],Tabella27[PDF ID],,0),_xlfn.XLOOKUP(Tabella4[[#This Row],[URL]],Tabella1[URL],Tabella1[Page ID],,0))</f>
        <v>#8</v>
      </c>
      <c r="S443" s="34" t="s">
        <v>1004</v>
      </c>
      <c r="T443" t="s">
        <v>518</v>
      </c>
      <c r="V443" t="s">
        <v>519</v>
      </c>
      <c r="W443" s="34" t="s">
        <v>1068</v>
      </c>
      <c r="X44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id="heading-item-posteinsurancebrokerposteinsurancebroker-moduliguidare-sicuri-fase-di-vendita-faq-accordion-comepossoverificareachepuntosonolepratichedilavorazionedelmiopreventivodopochehoconsegnatoladocumentazionerichiesta-33-33"&gt;</v>
      </c>
      <c r="Y443" s="34" t="str">
        <f>SUBSTITUTE(IF(Tabella4[[#This Row],[Tool]]="axe-core",MID(Tabella4[[#This Row],[Rejected Element]],3,LEN(Tabella4[[#This Row],[Rejected Element]])-4),Tabella4[[#This Row],[Rejected Element]]),"\","")</f>
        <v>#heading-item-posteinsurancebrokerposteinsurancebroker-moduliguidare-sicuri-fase-di-vendita-faq-accordion-comepossoverificareachepuntosonolepratichedilavorazionedelmiopreventivodopochehoconsegnatoladocumentazionerichiesta-33-33</v>
      </c>
      <c r="Z443" s="34">
        <f>COUNTIFS(Tabella4[Detail univoco],Tabella4[[#This Row],[Detail univoco]],Tabella4[Rejected Element Univoco],Tabella4[[#This Row],[Rejected Element Univoco]],Tabella4[ItemsNodeLabel],Tabella4[[#This Row],[ItemsNodeLabel]])</f>
        <v>0</v>
      </c>
      <c r="AA443" s="34" t="str">
        <f>IF(Tabella4[[#This Row],[Componente]]="Documenti",VLOOKUP(Tabella4[[#This Row],[URL]],Tabella27[[URL]:[Servizio]],4,FALSE),VLOOKUP(Tabella4[[#This Row],[Page ID]],Tabella1[[Page ID]:[Servizio]],4,FALSE))</f>
        <v>S002 Poste Guidare Sicuri</v>
      </c>
      <c r="AB443" t="s">
        <v>1587</v>
      </c>
      <c r="AC443" s="34" t="str">
        <f>Tabella4[[#This Row],[User Impact]]</f>
        <v>2 - Serious</v>
      </c>
      <c r="AD443" s="34" t="str">
        <f>Copertina!C$2&amp;" - "&amp;Tabella4[[#This Row],[UNI CEI EN 301549]]&amp;" "&amp;VLOOKUP(Tabella4[[#This Row],[Criterio]],Tabella5[[ID]:[Criterio di successo]],2,FALSE)&amp;" - "&amp;Tabella4[[#This Row],[Servizio]]&amp;":"</f>
        <v>Insurance Brocker - 9.2.5.8 Dimensione dell'obiettivo (minimo) - S002 Poste Guidare Sicuri:</v>
      </c>
      <c r="AE44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(#TM0346)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id="heading-item-posteinsurancebrokerposteinsurancebroker-moduliguidare-sicuri-fase-di-vendita-faq-accordion-comepossoverificareachepuntosonolepratichedilavorazionedelmiopreventivodopochehoconsegnatoladocumentazionerichiesta-33-33"&gt; con selettore: 
["#heading-item-posteinsurancebrokerposteinsurancebroker-moduliguidare-sicuri-fase-di-vendita-faq-accordion-comepossoverificareachepuntosonolepratichedilavorazionedelmiopreventivodopochehoconsegnatoladocumentazionerichiesta-33-33"]
Dettaglio + screenshot (accedere con le seguenti credenziali: user, axeposte@gmail.com; password, Poste2024!): https://axe.deque.com/issues/b78d056c-5fe0-4e3d-b1d1-92f474871a55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43" t="e">
        <f>_xlfn.XLOOKUP(Tabella4[[#This Row],[ID Silk]],outTable[ID Silk],outTable[Numero ticket  ],,0,1)</f>
        <v>#N/A</v>
      </c>
    </row>
    <row r="444" spans="1:32">
      <c r="A444" s="34" t="str">
        <f>MID(Tabella4[[#This Row],[Servizio]],1,4)&amp;Tabella4[[#This Row],[UNI CEI EN 301549]]</f>
        <v>S0029.2.5.8</v>
      </c>
      <c r="B444" s="34" t="str">
        <f>Tabella4[[#This Row],[ID Silk]]&amp;"_1"</f>
        <v>S0029.2.5.8_1</v>
      </c>
      <c r="C444" s="34" t="s">
        <v>1789</v>
      </c>
      <c r="D444" s="2" t="str">
        <f>"(#"&amp;Tabella4[[#This Row],['#ID]]&amp;")"</f>
        <v>(#TM0347)</v>
      </c>
      <c r="E444" s="34" t="str">
        <f>IF(MID(Tabella4[[#This Row],['#ID]],1,1)="M","Mobile",IF(MID(Tabella4[[#This Row],['#ID]],1,1)="D","Desktop",IF(MID(Tabella4[[#This Row],['#ID]],1,2)="TM","Manuale","Documenti")))</f>
        <v>Manuale</v>
      </c>
      <c r="F444" s="34" t="s">
        <v>1006</v>
      </c>
      <c r="G444" s="34" t="s">
        <v>372</v>
      </c>
      <c r="H444" s="34" t="str">
        <f>IF(Tabella4[[#This Row],[Componente]]="Documenti","10.","9.")&amp;Tabella4[[#This Row],[Criterio]]</f>
        <v>9.2.5.8</v>
      </c>
      <c r="I444" s="34" t="s">
        <v>1023</v>
      </c>
      <c r="J444" s="34" t="s">
        <v>1032</v>
      </c>
      <c r="K444" s="34" t="s">
        <v>1033</v>
      </c>
      <c r="L444" s="34" t="s">
        <v>1034</v>
      </c>
      <c r="M444" s="34" t="s">
        <v>1035</v>
      </c>
      <c r="N444" t="s">
        <v>1588</v>
      </c>
      <c r="O444" t="s">
        <v>1589</v>
      </c>
      <c r="P444" t="s">
        <v>388</v>
      </c>
      <c r="R444" s="34" t="str">
        <f>IF(Tabella4[[#This Row],[Componente]]="Documenti",_xlfn.XLOOKUP(Tabella4[[#This Row],[URL]],Tabella27[URL],Tabella27[PDF ID],,0),_xlfn.XLOOKUP(Tabella4[[#This Row],[URL]],Tabella1[URL],Tabella1[Page ID],,0))</f>
        <v>#8</v>
      </c>
      <c r="S444" s="34" t="s">
        <v>1004</v>
      </c>
      <c r="T444" t="s">
        <v>518</v>
      </c>
      <c r="V444" t="s">
        <v>521</v>
      </c>
      <c r="W444" s="34" t="s">
        <v>1068</v>
      </c>
      <c r="X44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href="#item-posteinsurancebrokerposteinsurancebroker-moduliguidare-sicuri-fase-di-vendita-faq-accordion-comepossoverificareachepuntosonolepratichedilavorazionedelmiopreventivodopochehoconsegnatoladocumentazionerichiesta-33" aria-expanded="false" aria-controls="item-posteinsurancebrokerposteinsurancebroker-moduliguidare-sicuri-fase-di-vendita-faq-accordion-comepossoverificareachepuntosonolepratichedilavorazionedelmiopreventivodopochehoconsegnatoladocumentazionerichiesta-33" title="Come posso verificare a che punto sono le pratiche di lavorazione del mio preventivo dopo che ho consegnato la documentazione richiesta?"&gt;</v>
      </c>
      <c r="Y444" s="34" t="str">
        <f>SUBSTITUTE(IF(Tabella4[[#This Row],[Tool]]="axe-core",MID(Tabella4[[#This Row],[Rejected Element]],3,LEN(Tabella4[[#This Row],[Rejected Element]])-4),Tabella4[[#This Row],[Rejected Element]]),"\","")</f>
        <v>#heading-item-posteinsurancebrokerposteinsurancebroker-moduliguidare-sicuri-fase-di-vendita-faq-accordion-comepossoverificareachepuntosonolepratichedilavorazionedelmiopreventivodopochehoconsegnatoladocumentazionerichiesta-33-33 &gt; .panel-title &gt; .accordion-toggle.collapsed[role="button"]</v>
      </c>
      <c r="Z444" s="34">
        <f>COUNTIFS(Tabella4[Detail univoco],Tabella4[[#This Row],[Detail univoco]],Tabella4[Rejected Element Univoco],Tabella4[[#This Row],[Rejected Element Univoco]],Tabella4[ItemsNodeLabel],Tabella4[[#This Row],[ItemsNodeLabel]])</f>
        <v>0</v>
      </c>
      <c r="AA444" s="34" t="str">
        <f>IF(Tabella4[[#This Row],[Componente]]="Documenti",VLOOKUP(Tabella4[[#This Row],[URL]],Tabella27[[URL]:[Servizio]],4,FALSE),VLOOKUP(Tabella4[[#This Row],[Page ID]],Tabella1[[Page ID]:[Servizio]],4,FALSE))</f>
        <v>S002 Poste Guidare Sicuri</v>
      </c>
      <c r="AB444" t="s">
        <v>1590</v>
      </c>
      <c r="AC444" s="34" t="str">
        <f>Tabella4[[#This Row],[User Impact]]</f>
        <v>2 - Serious</v>
      </c>
      <c r="AD444" s="34" t="str">
        <f>Copertina!C$2&amp;" - "&amp;Tabella4[[#This Row],[UNI CEI EN 301549]]&amp;" "&amp;VLOOKUP(Tabella4[[#This Row],[Criterio]],Tabella5[[ID]:[Criterio di successo]],2,FALSE)&amp;" - "&amp;Tabella4[[#This Row],[Servizio]]&amp;":"</f>
        <v>Insurance Brocker - 9.2.5.8 Dimensione dell'obiettivo (minimo) - S002 Poste Guidare Sicuri:</v>
      </c>
      <c r="AE44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(#TM0347)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href="#item-posteinsurancebrokerposteinsurancebroker-moduliguidare-sicuri-fase-di-vendita-faq-accordion-comepossoverificareachepuntosonolepratichedilavorazionedelmiopreventivodopochehoconsegnatoladocumentazionerichiesta-33" aria-expanded="false" aria-controls="item-posteinsurancebrokerposteinsurancebroker-moduliguidare-sicuri-fase-di-vendita-faq-accordion-comepossoverificareachepuntosonolepratichedilavorazionedelmiopreventivodopochehoconsegnatoladocumentazionerichiesta-33" title="Come posso verificare a che punto sono le pratiche di lavorazione del mio preventivo dopo che ho consegnato la documentazione richiesta?"&gt; con selettore: 
["#heading-item-posteinsurancebrokerposteinsurancebroker-moduliguidare-sicuri-fase-di-vendita-faq-accordion-comepossoverificareachepuntosonolepratichedilavorazionedelmiopreventivodopochehoconsegnatoladocumentazionerichiesta-33-33 &gt; .panel-title &gt; .accordion-toggle.collapsed[role=\"button\"]"]
Dettaglio + screenshot (accedere con le seguenti credenziali: user, axeposte@gmail.com; password, Poste2024!): https://axe.deque.com/issues/eb4c844a-2f7f-4c50-a19e-21af51c96a37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44" t="e">
        <f>_xlfn.XLOOKUP(Tabella4[[#This Row],[ID Silk]],outTable[ID Silk],outTable[Numero ticket  ],,0,1)</f>
        <v>#N/A</v>
      </c>
    </row>
    <row r="445" spans="1:32">
      <c r="A445" s="34" t="str">
        <f>MID(Tabella4[[#This Row],[Servizio]],1,4)&amp;Tabella4[[#This Row],[UNI CEI EN 301549]]</f>
        <v>S0029.2.5.8</v>
      </c>
      <c r="B445" s="34" t="str">
        <f>Tabella4[[#This Row],[ID Silk]]&amp;"_1"</f>
        <v>S0029.2.5.8_1</v>
      </c>
      <c r="C445" s="34" t="s">
        <v>1790</v>
      </c>
      <c r="D445" s="2" t="str">
        <f>"(#"&amp;Tabella4[[#This Row],['#ID]]&amp;")"</f>
        <v>(#TM0348)</v>
      </c>
      <c r="E445" s="34" t="str">
        <f>IF(MID(Tabella4[[#This Row],['#ID]],1,1)="M","Mobile",IF(MID(Tabella4[[#This Row],['#ID]],1,1)="D","Desktop",IF(MID(Tabella4[[#This Row],['#ID]],1,2)="TM","Manuale","Documenti")))</f>
        <v>Manuale</v>
      </c>
      <c r="F445" s="34" t="s">
        <v>1006</v>
      </c>
      <c r="G445" s="34" t="s">
        <v>372</v>
      </c>
      <c r="H445" s="34" t="str">
        <f>IF(Tabella4[[#This Row],[Componente]]="Documenti","10.","9.")&amp;Tabella4[[#This Row],[Criterio]]</f>
        <v>9.2.5.8</v>
      </c>
      <c r="I445" s="34" t="s">
        <v>1023</v>
      </c>
      <c r="J445" s="34" t="s">
        <v>1032</v>
      </c>
      <c r="K445" s="34" t="s">
        <v>1033</v>
      </c>
      <c r="L445" s="34" t="s">
        <v>1034</v>
      </c>
      <c r="M445" s="34" t="s">
        <v>1035</v>
      </c>
      <c r="N445" t="s">
        <v>1398</v>
      </c>
      <c r="O445" t="s">
        <v>1399</v>
      </c>
      <c r="P445" t="s">
        <v>388</v>
      </c>
      <c r="R445" s="34" t="str">
        <f>IF(Tabella4[[#This Row],[Componente]]="Documenti",_xlfn.XLOOKUP(Tabella4[[#This Row],[URL]],Tabella27[URL],Tabella27[PDF ID],,0),_xlfn.XLOOKUP(Tabella4[[#This Row],[URL]],Tabella1[URL],Tabella1[Page ID],,0))</f>
        <v>#8</v>
      </c>
      <c r="S445" s="34" t="s">
        <v>1004</v>
      </c>
      <c r="T445" t="s">
        <v>518</v>
      </c>
      <c r="V445" t="s">
        <v>519</v>
      </c>
      <c r="W445" s="34" t="s">
        <v>1068</v>
      </c>
      <c r="X44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id="heading-item-posteinsurancebrokerposteinsurancebroker-moduliguidare-sicuri-fase-di-vendita-faq-accordion-checonseguenzecisonosehoaggiuntoallamiacoperturaancheildispositivosatellitaremanonlhoinstallato-34-34"&gt;</v>
      </c>
      <c r="Y445" s="34" t="str">
        <f>SUBSTITUTE(IF(Tabella4[[#This Row],[Tool]]="axe-core",MID(Tabella4[[#This Row],[Rejected Element]],3,LEN(Tabella4[[#This Row],[Rejected Element]])-4),Tabella4[[#This Row],[Rejected Element]]),"\","")</f>
        <v>#heading-item-posteinsurancebrokerposteinsurancebroker-moduliguidare-sicuri-fase-di-vendita-faq-accordion-checonseguenzecisonosehoaggiuntoallamiacoperturaancheildispositivosatellitaremanonlhoinstallato-34-34</v>
      </c>
      <c r="Z445" s="34">
        <f>COUNTIFS(Tabella4[Detail univoco],Tabella4[[#This Row],[Detail univoco]],Tabella4[Rejected Element Univoco],Tabella4[[#This Row],[Rejected Element Univoco]],Tabella4[ItemsNodeLabel],Tabella4[[#This Row],[ItemsNodeLabel]])</f>
        <v>0</v>
      </c>
      <c r="AA445" s="34" t="str">
        <f>IF(Tabella4[[#This Row],[Componente]]="Documenti",VLOOKUP(Tabella4[[#This Row],[URL]],Tabella27[[URL]:[Servizio]],4,FALSE),VLOOKUP(Tabella4[[#This Row],[Page ID]],Tabella1[[Page ID]:[Servizio]],4,FALSE))</f>
        <v>S002 Poste Guidare Sicuri</v>
      </c>
      <c r="AB445" t="s">
        <v>1591</v>
      </c>
      <c r="AC445" s="34" t="str">
        <f>Tabella4[[#This Row],[User Impact]]</f>
        <v>2 - Serious</v>
      </c>
      <c r="AD445" s="34" t="str">
        <f>Copertina!C$2&amp;" - "&amp;Tabella4[[#This Row],[UNI CEI EN 301549]]&amp;" "&amp;VLOOKUP(Tabella4[[#This Row],[Criterio]],Tabella5[[ID]:[Criterio di successo]],2,FALSE)&amp;" - "&amp;Tabella4[[#This Row],[Servizio]]&amp;":"</f>
        <v>Insurance Brocker - 9.2.5.8 Dimensione dell'obiettivo (minimo) - S002 Poste Guidare Sicuri:</v>
      </c>
      <c r="AE44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(#TM0348)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id="heading-item-posteinsurancebrokerposteinsurancebroker-moduliguidare-sicuri-fase-di-vendita-faq-accordion-checonseguenzecisonosehoaggiuntoallamiacoperturaancheildispositivosatellitaremanonlhoinstallato-34-34"&gt; con selettore: 
["#heading-item-posteinsurancebrokerposteinsurancebroker-moduliguidare-sicuri-fase-di-vendita-faq-accordion-checonseguenzecisonosehoaggiuntoallamiacoperturaancheildispositivosatellitaremanonlhoinstallato-34-34"]
Dettaglio + screenshot (accedere con le seguenti credenziali: user, axeposte@gmail.com; password, Poste2024!): https://axe.deque.com/issues/8f6847ae-c4b3-460b-9455-96d66ac8cc54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45" t="e">
        <f>_xlfn.XLOOKUP(Tabella4[[#This Row],[ID Silk]],outTable[ID Silk],outTable[Numero ticket  ],,0,1)</f>
        <v>#N/A</v>
      </c>
    </row>
    <row r="446" spans="1:32">
      <c r="A446" s="34" t="str">
        <f>MID(Tabella4[[#This Row],[Servizio]],1,4)&amp;Tabella4[[#This Row],[UNI CEI EN 301549]]</f>
        <v>S0029.2.5.8</v>
      </c>
      <c r="B446" s="34" t="str">
        <f>Tabella4[[#This Row],[ID Silk]]&amp;"_1"</f>
        <v>S0029.2.5.8_1</v>
      </c>
      <c r="C446" s="34" t="s">
        <v>1791</v>
      </c>
      <c r="D446" s="2" t="str">
        <f>"(#"&amp;Tabella4[[#This Row],['#ID]]&amp;")"</f>
        <v>(#TM0349)</v>
      </c>
      <c r="E446" s="34" t="str">
        <f>IF(MID(Tabella4[[#This Row],['#ID]],1,1)="M","Mobile",IF(MID(Tabella4[[#This Row],['#ID]],1,1)="D","Desktop",IF(MID(Tabella4[[#This Row],['#ID]],1,2)="TM","Manuale","Documenti")))</f>
        <v>Manuale</v>
      </c>
      <c r="F446" s="34" t="s">
        <v>1006</v>
      </c>
      <c r="G446" s="34" t="s">
        <v>372</v>
      </c>
      <c r="H446" s="34" t="str">
        <f>IF(Tabella4[[#This Row],[Componente]]="Documenti","10.","9.")&amp;Tabella4[[#This Row],[Criterio]]</f>
        <v>9.2.5.8</v>
      </c>
      <c r="I446" s="34" t="s">
        <v>1023</v>
      </c>
      <c r="J446" s="34" t="s">
        <v>1032</v>
      </c>
      <c r="K446" s="34" t="s">
        <v>1033</v>
      </c>
      <c r="L446" s="34" t="s">
        <v>1034</v>
      </c>
      <c r="M446" s="34" t="s">
        <v>1035</v>
      </c>
      <c r="N446" t="s">
        <v>1592</v>
      </c>
      <c r="O446" t="s">
        <v>1593</v>
      </c>
      <c r="P446" t="s">
        <v>388</v>
      </c>
      <c r="R446" s="34" t="str">
        <f>IF(Tabella4[[#This Row],[Componente]]="Documenti",_xlfn.XLOOKUP(Tabella4[[#This Row],[URL]],Tabella27[URL],Tabella27[PDF ID],,0),_xlfn.XLOOKUP(Tabella4[[#This Row],[URL]],Tabella1[URL],Tabella1[Page ID],,0))</f>
        <v>#8</v>
      </c>
      <c r="S446" s="34" t="s">
        <v>1004</v>
      </c>
      <c r="T446" t="s">
        <v>518</v>
      </c>
      <c r="V446" t="s">
        <v>521</v>
      </c>
      <c r="W446" s="34" t="s">
        <v>1068</v>
      </c>
      <c r="X44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href="#item-posteinsurancebrokerposteinsurancebroker-moduliguidare-sicuri-fase-di-vendita-faq-accordion-checonseguenzecisonosehoaggiuntoallamiacoperturaancheildispositivosatellitaremanonlhoinstallato-34" aria-expanded="false" aria-controls="item-posteinsurancebrokerposteinsurancebroker-moduliguidare-sicuri-fase-di-vendita-faq-accordion-checonseguenzecisonosehoaggiuntoallamiacoperturaancheildispositivosatellitaremanonlhoinstallato-34" title="Che conseguenze ci sono se ho aggiunto alla mia copertura anche il dispositivo satellitare, ma non l'ho installato?"&gt;</v>
      </c>
      <c r="Y446" s="34" t="str">
        <f>SUBSTITUTE(IF(Tabella4[[#This Row],[Tool]]="axe-core",MID(Tabella4[[#This Row],[Rejected Element]],3,LEN(Tabella4[[#This Row],[Rejected Element]])-4),Tabella4[[#This Row],[Rejected Element]]),"\","")</f>
        <v>#heading-item-posteinsurancebrokerposteinsurancebroker-moduliguidare-sicuri-fase-di-vendita-faq-accordion-checonseguenzecisonosehoaggiuntoallamiacoperturaancheildispositivosatellitaremanonlhoinstallato-34-34 &gt; .panel-title &gt; .accordion-toggle.collapsed[role="button"]</v>
      </c>
      <c r="Z446" s="34">
        <f>COUNTIFS(Tabella4[Detail univoco],Tabella4[[#This Row],[Detail univoco]],Tabella4[Rejected Element Univoco],Tabella4[[#This Row],[Rejected Element Univoco]],Tabella4[ItemsNodeLabel],Tabella4[[#This Row],[ItemsNodeLabel]])</f>
        <v>0</v>
      </c>
      <c r="AA446" s="34" t="str">
        <f>IF(Tabella4[[#This Row],[Componente]]="Documenti",VLOOKUP(Tabella4[[#This Row],[URL]],Tabella27[[URL]:[Servizio]],4,FALSE),VLOOKUP(Tabella4[[#This Row],[Page ID]],Tabella1[[Page ID]:[Servizio]],4,FALSE))</f>
        <v>S002 Poste Guidare Sicuri</v>
      </c>
      <c r="AB446" t="s">
        <v>1594</v>
      </c>
      <c r="AC446" s="34" t="str">
        <f>Tabella4[[#This Row],[User Impact]]</f>
        <v>2 - Serious</v>
      </c>
      <c r="AD446" s="34" t="str">
        <f>Copertina!C$2&amp;" - "&amp;Tabella4[[#This Row],[UNI CEI EN 301549]]&amp;" "&amp;VLOOKUP(Tabella4[[#This Row],[Criterio]],Tabella5[[ID]:[Criterio di successo]],2,FALSE)&amp;" - "&amp;Tabella4[[#This Row],[Servizio]]&amp;":"</f>
        <v>Insurance Brocker - 9.2.5.8 Dimensione dell'obiettivo (minimo) - S002 Poste Guidare Sicuri:</v>
      </c>
      <c r="AE44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(#TM0349)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href="#item-posteinsurancebrokerposteinsurancebroker-moduliguidare-sicuri-fase-di-vendita-faq-accordion-checonseguenzecisonosehoaggiuntoallamiacoperturaancheildispositivosatellitaremanonlhoinstallato-34" aria-expanded="false" aria-controls="item-posteinsurancebrokerposteinsurancebroker-moduliguidare-sicuri-fase-di-vendita-faq-accordion-checonseguenzecisonosehoaggiuntoallamiacoperturaancheildispositivosatellitaremanonlhoinstallato-34" title="Che conseguenze ci sono se ho aggiunto alla mia copertura anche il dispositivo satellitare, ma non l'ho installato?"&gt; con selettore: 
["#heading-item-posteinsurancebrokerposteinsurancebroker-moduliguidare-sicuri-fase-di-vendita-faq-accordion-checonseguenzecisonosehoaggiuntoallamiacoperturaancheildispositivosatellitaremanonlhoinstallato-34-34 &gt; .panel-title &gt; .accordion-toggle.collapsed[role=\"button\"]"]
Dettaglio + screenshot (accedere con le seguenti credenziali: user, axeposte@gmail.com; password, Poste2024!): https://axe.deque.com/issues/8dc51c57-aecc-4679-b101-8393ddc039dc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46" t="e">
        <f>_xlfn.XLOOKUP(Tabella4[[#This Row],[ID Silk]],outTable[ID Silk],outTable[Numero ticket  ],,0,1)</f>
        <v>#N/A</v>
      </c>
    </row>
    <row r="447" spans="1:32">
      <c r="A447" s="34" t="str">
        <f>MID(Tabella4[[#This Row],[Servizio]],1,4)&amp;Tabella4[[#This Row],[UNI CEI EN 301549]]</f>
        <v>S0029.2.5.8</v>
      </c>
      <c r="B447" s="34" t="str">
        <f>Tabella4[[#This Row],[ID Silk]]&amp;"_1"</f>
        <v>S0029.2.5.8_1</v>
      </c>
      <c r="C447" s="34" t="s">
        <v>1792</v>
      </c>
      <c r="D447" s="2" t="str">
        <f>"(#"&amp;Tabella4[[#This Row],['#ID]]&amp;")"</f>
        <v>(#TM0350)</v>
      </c>
      <c r="E447" s="34" t="str">
        <f>IF(MID(Tabella4[[#This Row],['#ID]],1,1)="M","Mobile",IF(MID(Tabella4[[#This Row],['#ID]],1,1)="D","Desktop",IF(MID(Tabella4[[#This Row],['#ID]],1,2)="TM","Manuale","Documenti")))</f>
        <v>Manuale</v>
      </c>
      <c r="F447" s="34" t="s">
        <v>1006</v>
      </c>
      <c r="G447" s="34" t="s">
        <v>372</v>
      </c>
      <c r="H447" s="34" t="str">
        <f>IF(Tabella4[[#This Row],[Componente]]="Documenti","10.","9.")&amp;Tabella4[[#This Row],[Criterio]]</f>
        <v>9.2.5.8</v>
      </c>
      <c r="I447" s="34" t="s">
        <v>1023</v>
      </c>
      <c r="J447" s="34" t="s">
        <v>1032</v>
      </c>
      <c r="K447" s="34" t="s">
        <v>1033</v>
      </c>
      <c r="L447" s="34" t="s">
        <v>1034</v>
      </c>
      <c r="M447" s="34" t="s">
        <v>1035</v>
      </c>
      <c r="N447" t="s">
        <v>1401</v>
      </c>
      <c r="O447" t="s">
        <v>1402</v>
      </c>
      <c r="P447" t="s">
        <v>388</v>
      </c>
      <c r="R447" s="34" t="str">
        <f>IF(Tabella4[[#This Row],[Componente]]="Documenti",_xlfn.XLOOKUP(Tabella4[[#This Row],[URL]],Tabella27[URL],Tabella27[PDF ID],,0),_xlfn.XLOOKUP(Tabella4[[#This Row],[URL]],Tabella1[URL],Tabella1[Page ID],,0))</f>
        <v>#8</v>
      </c>
      <c r="S447" s="34" t="s">
        <v>1004</v>
      </c>
      <c r="T447" t="s">
        <v>518</v>
      </c>
      <c r="V447" t="s">
        <v>519</v>
      </c>
      <c r="W447" s="34" t="s">
        <v>1068</v>
      </c>
      <c r="X447"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id="heading-item-posteinsurancebrokerposteinsurancebroker-moduliguidare-sicuri-fase-di-vendita-faq-accordion-chidevocontattareperlinstallazionedeldispositivosatellitare-35-35"&gt;</v>
      </c>
      <c r="Y447" s="34" t="str">
        <f>SUBSTITUTE(IF(Tabella4[[#This Row],[Tool]]="axe-core",MID(Tabella4[[#This Row],[Rejected Element]],3,LEN(Tabella4[[#This Row],[Rejected Element]])-4),Tabella4[[#This Row],[Rejected Element]]),"\","")</f>
        <v>#heading-item-posteinsurancebrokerposteinsurancebroker-moduliguidare-sicuri-fase-di-vendita-faq-accordion-chidevocontattareperlinstallazionedeldispositivosatellitare-35-35</v>
      </c>
      <c r="Z447" s="34">
        <f>COUNTIFS(Tabella4[Detail univoco],Tabella4[[#This Row],[Detail univoco]],Tabella4[Rejected Element Univoco],Tabella4[[#This Row],[Rejected Element Univoco]],Tabella4[ItemsNodeLabel],Tabella4[[#This Row],[ItemsNodeLabel]])</f>
        <v>0</v>
      </c>
      <c r="AA447" s="34" t="str">
        <f>IF(Tabella4[[#This Row],[Componente]]="Documenti",VLOOKUP(Tabella4[[#This Row],[URL]],Tabella27[[URL]:[Servizio]],4,FALSE),VLOOKUP(Tabella4[[#This Row],[Page ID]],Tabella1[[Page ID]:[Servizio]],4,FALSE))</f>
        <v>S002 Poste Guidare Sicuri</v>
      </c>
      <c r="AB447" t="s">
        <v>1595</v>
      </c>
      <c r="AC447" s="34" t="str">
        <f>Tabella4[[#This Row],[User Impact]]</f>
        <v>2 - Serious</v>
      </c>
      <c r="AD447" s="34" t="str">
        <f>Copertina!C$2&amp;" - "&amp;Tabella4[[#This Row],[UNI CEI EN 301549]]&amp;" "&amp;VLOOKUP(Tabella4[[#This Row],[Criterio]],Tabella5[[ID]:[Criterio di successo]],2,FALSE)&amp;" - "&amp;Tabella4[[#This Row],[Servizio]]&amp;":"</f>
        <v>Insurance Brocker - 9.2.5.8 Dimensione dell'obiettivo (minimo) - S002 Poste Guidare Sicuri:</v>
      </c>
      <c r="AE44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(#TM0350)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id="heading-item-posteinsurancebrokerposteinsurancebroker-moduliguidare-sicuri-fase-di-vendita-faq-accordion-chidevocontattareperlinstallazionedeldispositivosatellitare-35-35"&gt; con selettore: 
["#heading-item-posteinsurancebrokerposteinsurancebroker-moduliguidare-sicuri-fase-di-vendita-faq-accordion-chidevocontattareperlinstallazionedeldispositivosatellitare-35-35"]
Dettaglio + screenshot (accedere con le seguenti credenziali: user, axeposte@gmail.com; password, Poste2024!): https://axe.deque.com/issues/8cc5eb26-204b-4d68-9557-1b5a848a668b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47" t="e">
        <f>_xlfn.XLOOKUP(Tabella4[[#This Row],[ID Silk]],outTable[ID Silk],outTable[Numero ticket  ],,0,1)</f>
        <v>#N/A</v>
      </c>
    </row>
    <row r="448" spans="1:32">
      <c r="A448" s="34" t="str">
        <f>MID(Tabella4[[#This Row],[Servizio]],1,4)&amp;Tabella4[[#This Row],[UNI CEI EN 301549]]</f>
        <v>S0029.2.5.8</v>
      </c>
      <c r="B448" s="34" t="str">
        <f>Tabella4[[#This Row],[ID Silk]]&amp;"_1"</f>
        <v>S0029.2.5.8_1</v>
      </c>
      <c r="C448" s="34" t="s">
        <v>1793</v>
      </c>
      <c r="D448" s="2" t="str">
        <f>"(#"&amp;Tabella4[[#This Row],['#ID]]&amp;")"</f>
        <v>(#TM0351)</v>
      </c>
      <c r="E448" s="34" t="str">
        <f>IF(MID(Tabella4[[#This Row],['#ID]],1,1)="M","Mobile",IF(MID(Tabella4[[#This Row],['#ID]],1,1)="D","Desktop",IF(MID(Tabella4[[#This Row],['#ID]],1,2)="TM","Manuale","Documenti")))</f>
        <v>Manuale</v>
      </c>
      <c r="F448" s="34" t="s">
        <v>1006</v>
      </c>
      <c r="G448" s="34" t="s">
        <v>372</v>
      </c>
      <c r="H448" s="34" t="str">
        <f>IF(Tabella4[[#This Row],[Componente]]="Documenti","10.","9.")&amp;Tabella4[[#This Row],[Criterio]]</f>
        <v>9.2.5.8</v>
      </c>
      <c r="I448" s="34" t="s">
        <v>1023</v>
      </c>
      <c r="J448" s="34" t="s">
        <v>1032</v>
      </c>
      <c r="K448" s="34" t="s">
        <v>1033</v>
      </c>
      <c r="L448" s="34" t="s">
        <v>1034</v>
      </c>
      <c r="M448" s="34" t="s">
        <v>1035</v>
      </c>
      <c r="N448" t="s">
        <v>1596</v>
      </c>
      <c r="O448" t="s">
        <v>1597</v>
      </c>
      <c r="P448" t="s">
        <v>388</v>
      </c>
      <c r="R448" s="34" t="str">
        <f>IF(Tabella4[[#This Row],[Componente]]="Documenti",_xlfn.XLOOKUP(Tabella4[[#This Row],[URL]],Tabella27[URL],Tabella27[PDF ID],,0),_xlfn.XLOOKUP(Tabella4[[#This Row],[URL]],Tabella1[URL],Tabella1[Page ID],,0))</f>
        <v>#8</v>
      </c>
      <c r="S448" s="34" t="s">
        <v>1004</v>
      </c>
      <c r="T448" t="s">
        <v>518</v>
      </c>
      <c r="V448" t="s">
        <v>521</v>
      </c>
      <c r="W448" s="34" t="s">
        <v>1068</v>
      </c>
      <c r="X44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href="#item-posteinsurancebrokerposteinsurancebroker-moduliguidare-sicuri-fase-di-vendita-faq-accordion-chidevocontattareperlinstallazionedeldispositivosatellitare-35" aria-expanded="false" aria-controls="item-posteinsurancebrokerposteinsurancebroker-moduliguidare-sicuri-fase-di-vendita-faq-accordion-chidevocontattareperlinstallazionedeldispositivosatellitare-35" title="Chi devo contattare per l’installazione del dispositivo satellitare?"&gt;</v>
      </c>
      <c r="Y448" s="34" t="str">
        <f>SUBSTITUTE(IF(Tabella4[[#This Row],[Tool]]="axe-core",MID(Tabella4[[#This Row],[Rejected Element]],3,LEN(Tabella4[[#This Row],[Rejected Element]])-4),Tabella4[[#This Row],[Rejected Element]]),"\","")</f>
        <v>#heading-item-posteinsurancebrokerposteinsurancebroker-moduliguidare-sicuri-fase-di-vendita-faq-accordion-chidevocontattareperlinstallazionedeldispositivosatellitare-35-35 &gt; .panel-title &gt; .accordion-toggle.collapsed[role="button"]</v>
      </c>
      <c r="Z448" s="34">
        <f>COUNTIFS(Tabella4[Detail univoco],Tabella4[[#This Row],[Detail univoco]],Tabella4[Rejected Element Univoco],Tabella4[[#This Row],[Rejected Element Univoco]],Tabella4[ItemsNodeLabel],Tabella4[[#This Row],[ItemsNodeLabel]])</f>
        <v>0</v>
      </c>
      <c r="AA448" s="34" t="str">
        <f>IF(Tabella4[[#This Row],[Componente]]="Documenti",VLOOKUP(Tabella4[[#This Row],[URL]],Tabella27[[URL]:[Servizio]],4,FALSE),VLOOKUP(Tabella4[[#This Row],[Page ID]],Tabella1[[Page ID]:[Servizio]],4,FALSE))</f>
        <v>S002 Poste Guidare Sicuri</v>
      </c>
      <c r="AB448" t="s">
        <v>1598</v>
      </c>
      <c r="AC448" s="34" t="str">
        <f>Tabella4[[#This Row],[User Impact]]</f>
        <v>2 - Serious</v>
      </c>
      <c r="AD448" s="34" t="str">
        <f>Copertina!C$2&amp;" - "&amp;Tabella4[[#This Row],[UNI CEI EN 301549]]&amp;" "&amp;VLOOKUP(Tabella4[[#This Row],[Criterio]],Tabella5[[ID]:[Criterio di successo]],2,FALSE)&amp;" - "&amp;Tabella4[[#This Row],[Servizio]]&amp;":"</f>
        <v>Insurance Brocker - 9.2.5.8 Dimensione dell'obiettivo (minimo) - S002 Poste Guidare Sicuri:</v>
      </c>
      <c r="AE44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(#TM0351)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href="#item-posteinsurancebrokerposteinsurancebroker-moduliguidare-sicuri-fase-di-vendita-faq-accordion-chidevocontattareperlinstallazionedeldispositivosatellitare-35" aria-expanded="false" aria-controls="item-posteinsurancebrokerposteinsurancebroker-moduliguidare-sicuri-fase-di-vendita-faq-accordion-chidevocontattareperlinstallazionedeldispositivosatellitare-35" title="Chi devo contattare per l’installazione del dispositivo satellitare?"&gt; con selettore: 
["#heading-item-posteinsurancebrokerposteinsurancebroker-moduliguidare-sicuri-fase-di-vendita-faq-accordion-chidevocontattareperlinstallazionedeldispositivosatellitare-35-35 &gt; .panel-title &gt; .accordion-toggle.collapsed[role=\"button\"]"]
Dettaglio + screenshot (accedere con le seguenti credenziali: user, axeposte@gmail.com; password, Poste2024!): https://axe.deque.com/issues/ec6842e0-2d62-4860-b016-5626f2212b6c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48" t="e">
        <f>_xlfn.XLOOKUP(Tabella4[[#This Row],[ID Silk]],outTable[ID Silk],outTable[Numero ticket  ],,0,1)</f>
        <v>#N/A</v>
      </c>
    </row>
    <row r="449" spans="1:32">
      <c r="A449" s="34" t="str">
        <f>MID(Tabella4[[#This Row],[Servizio]],1,4)&amp;Tabella4[[#This Row],[UNI CEI EN 301549]]</f>
        <v>S0029.2.5.8</v>
      </c>
      <c r="B449" s="34" t="str">
        <f>Tabella4[[#This Row],[ID Silk]]&amp;"_1"</f>
        <v>S0029.2.5.8_1</v>
      </c>
      <c r="C449" s="34" t="s">
        <v>1794</v>
      </c>
      <c r="D449" s="2" t="str">
        <f>"(#"&amp;Tabella4[[#This Row],['#ID]]&amp;")"</f>
        <v>(#TM0352)</v>
      </c>
      <c r="E449" s="34" t="str">
        <f>IF(MID(Tabella4[[#This Row],['#ID]],1,1)="M","Mobile",IF(MID(Tabella4[[#This Row],['#ID]],1,1)="D","Desktop",IF(MID(Tabella4[[#This Row],['#ID]],1,2)="TM","Manuale","Documenti")))</f>
        <v>Manuale</v>
      </c>
      <c r="F449" s="34" t="s">
        <v>1006</v>
      </c>
      <c r="G449" s="34" t="s">
        <v>372</v>
      </c>
      <c r="H449" s="34" t="str">
        <f>IF(Tabella4[[#This Row],[Componente]]="Documenti","10.","9.")&amp;Tabella4[[#This Row],[Criterio]]</f>
        <v>9.2.5.8</v>
      </c>
      <c r="I449" s="34" t="s">
        <v>1023</v>
      </c>
      <c r="J449" s="34" t="s">
        <v>1032</v>
      </c>
      <c r="K449" s="34" t="s">
        <v>1033</v>
      </c>
      <c r="L449" s="34" t="s">
        <v>1034</v>
      </c>
      <c r="M449" s="34" t="s">
        <v>1035</v>
      </c>
      <c r="N449" t="s">
        <v>1404</v>
      </c>
      <c r="O449" t="s">
        <v>1405</v>
      </c>
      <c r="P449" t="s">
        <v>388</v>
      </c>
      <c r="R449" s="34" t="str">
        <f>IF(Tabella4[[#This Row],[Componente]]="Documenti",_xlfn.XLOOKUP(Tabella4[[#This Row],[URL]],Tabella27[URL],Tabella27[PDF ID],,0),_xlfn.XLOOKUP(Tabella4[[#This Row],[URL]],Tabella1[URL],Tabella1[Page ID],,0))</f>
        <v>#8</v>
      </c>
      <c r="S449" s="34" t="s">
        <v>1004</v>
      </c>
      <c r="T449" t="s">
        <v>518</v>
      </c>
      <c r="V449" t="s">
        <v>519</v>
      </c>
      <c r="W449" s="34" t="s">
        <v>1068</v>
      </c>
      <c r="X449"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id="heading-item-posteinsurancebrokerposteinsurancebroker-moduliguidare-sicuri-fase-di-vendita-faq-accordion-incasodifurtodelveicoloassicuratopossorecuperareilpremiorcautopagatoenongoduto-36-36"&gt;</v>
      </c>
      <c r="Y449" s="34" t="str">
        <f>SUBSTITUTE(IF(Tabella4[[#This Row],[Tool]]="axe-core",MID(Tabella4[[#This Row],[Rejected Element]],3,LEN(Tabella4[[#This Row],[Rejected Element]])-4),Tabella4[[#This Row],[Rejected Element]]),"\","")</f>
        <v>#heading-item-posteinsurancebrokerposteinsurancebroker-moduliguidare-sicuri-fase-di-vendita-faq-accordion-incasodifurtodelveicoloassicuratopossorecuperareilpremiorcautopagatoenongoduto-36-36</v>
      </c>
      <c r="Z449" s="34">
        <f>COUNTIFS(Tabella4[Detail univoco],Tabella4[[#This Row],[Detail univoco]],Tabella4[Rejected Element Univoco],Tabella4[[#This Row],[Rejected Element Univoco]],Tabella4[ItemsNodeLabel],Tabella4[[#This Row],[ItemsNodeLabel]])</f>
        <v>0</v>
      </c>
      <c r="AA449" s="34" t="str">
        <f>IF(Tabella4[[#This Row],[Componente]]="Documenti",VLOOKUP(Tabella4[[#This Row],[URL]],Tabella27[[URL]:[Servizio]],4,FALSE),VLOOKUP(Tabella4[[#This Row],[Page ID]],Tabella1[[Page ID]:[Servizio]],4,FALSE))</f>
        <v>S002 Poste Guidare Sicuri</v>
      </c>
      <c r="AB449" t="s">
        <v>1599</v>
      </c>
      <c r="AC449" s="34" t="str">
        <f>Tabella4[[#This Row],[User Impact]]</f>
        <v>2 - Serious</v>
      </c>
      <c r="AD449" s="34" t="str">
        <f>Copertina!C$2&amp;" - "&amp;Tabella4[[#This Row],[UNI CEI EN 301549]]&amp;" "&amp;VLOOKUP(Tabella4[[#This Row],[Criterio]],Tabella5[[ID]:[Criterio di successo]],2,FALSE)&amp;" - "&amp;Tabella4[[#This Row],[Servizio]]&amp;":"</f>
        <v>Insurance Brocker - 9.2.5.8 Dimensione dell'obiettivo (minimo) - S002 Poste Guidare Sicuri:</v>
      </c>
      <c r="AE44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(#TM0352)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id="heading-item-posteinsurancebrokerposteinsurancebroker-moduliguidare-sicuri-fase-di-vendita-faq-accordion-incasodifurtodelveicoloassicuratopossorecuperareilpremiorcautopagatoenongoduto-36-36"&gt; con selettore: 
["#heading-item-posteinsurancebrokerposteinsurancebroker-moduliguidare-sicuri-fase-di-vendita-faq-accordion-incasodifurtodelveicoloassicuratopossorecuperareilpremiorcautopagatoenongoduto-36-36"]
Dettaglio + screenshot (accedere con le seguenti credenziali: user, axeposte@gmail.com; password, Poste2024!): https://axe.deque.com/issues/3f142345-9e4c-4851-845c-67f33407eb75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49" t="e">
        <f>_xlfn.XLOOKUP(Tabella4[[#This Row],[ID Silk]],outTable[ID Silk],outTable[Numero ticket  ],,0,1)</f>
        <v>#N/A</v>
      </c>
    </row>
    <row r="450" spans="1:32">
      <c r="A450" s="34" t="str">
        <f>MID(Tabella4[[#This Row],[Servizio]],1,4)&amp;Tabella4[[#This Row],[UNI CEI EN 301549]]</f>
        <v>S0029.2.5.8</v>
      </c>
      <c r="B450" s="34" t="str">
        <f>Tabella4[[#This Row],[ID Silk]]&amp;"_1"</f>
        <v>S0029.2.5.8_1</v>
      </c>
      <c r="C450" s="34" t="s">
        <v>1795</v>
      </c>
      <c r="D450" s="2" t="str">
        <f>"(#"&amp;Tabella4[[#This Row],['#ID]]&amp;")"</f>
        <v>(#TM0353)</v>
      </c>
      <c r="E450" s="34" t="str">
        <f>IF(MID(Tabella4[[#This Row],['#ID]],1,1)="M","Mobile",IF(MID(Tabella4[[#This Row],['#ID]],1,1)="D","Desktop",IF(MID(Tabella4[[#This Row],['#ID]],1,2)="TM","Manuale","Documenti")))</f>
        <v>Manuale</v>
      </c>
      <c r="F450" s="34" t="s">
        <v>1006</v>
      </c>
      <c r="G450" s="34" t="s">
        <v>372</v>
      </c>
      <c r="H450" s="34" t="str">
        <f>IF(Tabella4[[#This Row],[Componente]]="Documenti","10.","9.")&amp;Tabella4[[#This Row],[Criterio]]</f>
        <v>9.2.5.8</v>
      </c>
      <c r="I450" s="34" t="s">
        <v>1023</v>
      </c>
      <c r="J450" s="34" t="s">
        <v>1032</v>
      </c>
      <c r="K450" s="34" t="s">
        <v>1033</v>
      </c>
      <c r="L450" s="34" t="s">
        <v>1034</v>
      </c>
      <c r="M450" s="34" t="s">
        <v>1035</v>
      </c>
      <c r="N450" t="s">
        <v>1600</v>
      </c>
      <c r="O450" t="s">
        <v>1601</v>
      </c>
      <c r="P450" t="s">
        <v>388</v>
      </c>
      <c r="R450" s="34" t="str">
        <f>IF(Tabella4[[#This Row],[Componente]]="Documenti",_xlfn.XLOOKUP(Tabella4[[#This Row],[URL]],Tabella27[URL],Tabella27[PDF ID],,0),_xlfn.XLOOKUP(Tabella4[[#This Row],[URL]],Tabella1[URL],Tabella1[Page ID],,0))</f>
        <v>#8</v>
      </c>
      <c r="S450" s="34" t="s">
        <v>1004</v>
      </c>
      <c r="T450" t="s">
        <v>518</v>
      </c>
      <c r="V450" t="s">
        <v>521</v>
      </c>
      <c r="W450" s="34" t="s">
        <v>1068</v>
      </c>
      <c r="X45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href="#item-posteinsurancebrokerposteinsurancebroker-moduliguidare-sicuri-fase-di-vendita-faq-accordion-incasodifurtodelveicoloassicuratopossorecuperareilpremiorcautopagatoenongoduto-36" aria-expanded="false" aria-controls="item-posteinsurancebrokerposteinsurancebroker-moduliguidare-sicuri-fase-di-vendita-faq-accordion-incasodifurtodelveicoloassicuratopossorecuperareilpremiorcautopagatoenongoduto-36" title="In caso di furto del veicolo assicurato, posso recuperare il premio RC Auto pagato e non goduto?"&gt;</v>
      </c>
      <c r="Y450" s="34" t="str">
        <f>SUBSTITUTE(IF(Tabella4[[#This Row],[Tool]]="axe-core",MID(Tabella4[[#This Row],[Rejected Element]],3,LEN(Tabella4[[#This Row],[Rejected Element]])-4),Tabella4[[#This Row],[Rejected Element]]),"\","")</f>
        <v>#heading-item-posteinsurancebrokerposteinsurancebroker-moduliguidare-sicuri-fase-di-vendita-faq-accordion-incasodifurtodelveicoloassicuratopossorecuperareilpremiorcautopagatoenongoduto-36-36 &gt; .panel-title &gt; .accordion-toggle.collapsed[role="button"]</v>
      </c>
      <c r="Z450" s="34">
        <f>COUNTIFS(Tabella4[Detail univoco],Tabella4[[#This Row],[Detail univoco]],Tabella4[Rejected Element Univoco],Tabella4[[#This Row],[Rejected Element Univoco]],Tabella4[ItemsNodeLabel],Tabella4[[#This Row],[ItemsNodeLabel]])</f>
        <v>0</v>
      </c>
      <c r="AA450" s="34" t="str">
        <f>IF(Tabella4[[#This Row],[Componente]]="Documenti",VLOOKUP(Tabella4[[#This Row],[URL]],Tabella27[[URL]:[Servizio]],4,FALSE),VLOOKUP(Tabella4[[#This Row],[Page ID]],Tabella1[[Page ID]:[Servizio]],4,FALSE))</f>
        <v>S002 Poste Guidare Sicuri</v>
      </c>
      <c r="AB450" t="s">
        <v>1602</v>
      </c>
      <c r="AC450" s="34" t="str">
        <f>Tabella4[[#This Row],[User Impact]]</f>
        <v>2 - Serious</v>
      </c>
      <c r="AD450" s="34" t="str">
        <f>Copertina!C$2&amp;" - "&amp;Tabella4[[#This Row],[UNI CEI EN 301549]]&amp;" "&amp;VLOOKUP(Tabella4[[#This Row],[Criterio]],Tabella5[[ID]:[Criterio di successo]],2,FALSE)&amp;" - "&amp;Tabella4[[#This Row],[Servizio]]&amp;":"</f>
        <v>Insurance Brocker - 9.2.5.8 Dimensione dell'obiettivo (minimo) - S002 Poste Guidare Sicuri:</v>
      </c>
      <c r="AE45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(#TM0353)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href="#item-posteinsurancebrokerposteinsurancebroker-moduliguidare-sicuri-fase-di-vendita-faq-accordion-incasodifurtodelveicoloassicuratopossorecuperareilpremiorcautopagatoenongoduto-36" aria-expanded="false" aria-controls="item-posteinsurancebrokerposteinsurancebroker-moduliguidare-sicuri-fase-di-vendita-faq-accordion-incasodifurtodelveicoloassicuratopossorecuperareilpremiorcautopagatoenongoduto-36" title="In caso di furto del veicolo assicurato, posso recuperare il premio RC Auto pagato e non goduto?"&gt; con selettore: 
["#heading-item-posteinsurancebrokerposteinsurancebroker-moduliguidare-sicuri-fase-di-vendita-faq-accordion-incasodifurtodelveicoloassicuratopossorecuperareilpremiorcautopagatoenongoduto-36-36 &gt; .panel-title &gt; .accordion-toggle.collapsed[role=\"button\"]"]
Dettaglio + screenshot (accedere con le seguenti credenziali: user, axeposte@gmail.com; password, Poste2024!): https://axe.deque.com/issues/553b6371-e257-4e0f-9000-87f1e1b48613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50" t="e">
        <f>_xlfn.XLOOKUP(Tabella4[[#This Row],[ID Silk]],outTable[ID Silk],outTable[Numero ticket  ],,0,1)</f>
        <v>#N/A</v>
      </c>
    </row>
    <row r="451" spans="1:32">
      <c r="A451" s="34" t="str">
        <f>MID(Tabella4[[#This Row],[Servizio]],1,4)&amp;Tabella4[[#This Row],[UNI CEI EN 301549]]</f>
        <v>S0029.2.5.8</v>
      </c>
      <c r="B451" s="34" t="str">
        <f>Tabella4[[#This Row],[ID Silk]]&amp;"_1"</f>
        <v>S0029.2.5.8_1</v>
      </c>
      <c r="C451" s="34" t="s">
        <v>1796</v>
      </c>
      <c r="D451" s="2" t="str">
        <f>"(#"&amp;Tabella4[[#This Row],['#ID]]&amp;")"</f>
        <v>(#TM0354)</v>
      </c>
      <c r="E451" s="34" t="str">
        <f>IF(MID(Tabella4[[#This Row],['#ID]],1,1)="M","Mobile",IF(MID(Tabella4[[#This Row],['#ID]],1,1)="D","Desktop",IF(MID(Tabella4[[#This Row],['#ID]],1,2)="TM","Manuale","Documenti")))</f>
        <v>Manuale</v>
      </c>
      <c r="F451" s="34" t="s">
        <v>1006</v>
      </c>
      <c r="G451" s="34" t="s">
        <v>372</v>
      </c>
      <c r="H451" s="34" t="str">
        <f>IF(Tabella4[[#This Row],[Componente]]="Documenti","10.","9.")&amp;Tabella4[[#This Row],[Criterio]]</f>
        <v>9.2.5.8</v>
      </c>
      <c r="I451" s="34" t="s">
        <v>1023</v>
      </c>
      <c r="J451" s="34" t="s">
        <v>1032</v>
      </c>
      <c r="K451" s="34" t="s">
        <v>1033</v>
      </c>
      <c r="L451" s="34" t="s">
        <v>1034</v>
      </c>
      <c r="M451" s="34" t="s">
        <v>1035</v>
      </c>
      <c r="N451" t="s">
        <v>1407</v>
      </c>
      <c r="O451" t="s">
        <v>1408</v>
      </c>
      <c r="P451" t="s">
        <v>388</v>
      </c>
      <c r="R451" s="34" t="str">
        <f>IF(Tabella4[[#This Row],[Componente]]="Documenti",_xlfn.XLOOKUP(Tabella4[[#This Row],[URL]],Tabella27[URL],Tabella27[PDF ID],,0),_xlfn.XLOOKUP(Tabella4[[#This Row],[URL]],Tabella1[URL],Tabella1[Page ID],,0))</f>
        <v>#8</v>
      </c>
      <c r="S451" s="34" t="s">
        <v>1004</v>
      </c>
      <c r="T451" t="s">
        <v>518</v>
      </c>
      <c r="V451" t="s">
        <v>519</v>
      </c>
      <c r="W451" s="34" t="s">
        <v>1068</v>
      </c>
      <c r="X451"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id="heading-item-posteinsurancebrokerposteinsurancebroker-moduliguidare-sicuri-fase-di-vendita-faq-accordion-possopagarelamiapolizzaincontanti-37-37"&gt;</v>
      </c>
      <c r="Y451" s="34" t="str">
        <f>SUBSTITUTE(IF(Tabella4[[#This Row],[Tool]]="axe-core",MID(Tabella4[[#This Row],[Rejected Element]],3,LEN(Tabella4[[#This Row],[Rejected Element]])-4),Tabella4[[#This Row],[Rejected Element]]),"\","")</f>
        <v>#heading-item-posteinsurancebrokerposteinsurancebroker-moduliguidare-sicuri-fase-di-vendita-faq-accordion-possopagarelamiapolizzaincontanti-37-37</v>
      </c>
      <c r="Z451" s="34">
        <f>COUNTIFS(Tabella4[Detail univoco],Tabella4[[#This Row],[Detail univoco]],Tabella4[Rejected Element Univoco],Tabella4[[#This Row],[Rejected Element Univoco]],Tabella4[ItemsNodeLabel],Tabella4[[#This Row],[ItemsNodeLabel]])</f>
        <v>0</v>
      </c>
      <c r="AA451" s="34" t="str">
        <f>IF(Tabella4[[#This Row],[Componente]]="Documenti",VLOOKUP(Tabella4[[#This Row],[URL]],Tabella27[[URL]:[Servizio]],4,FALSE),VLOOKUP(Tabella4[[#This Row],[Page ID]],Tabella1[[Page ID]:[Servizio]],4,FALSE))</f>
        <v>S002 Poste Guidare Sicuri</v>
      </c>
      <c r="AB451" t="s">
        <v>1603</v>
      </c>
      <c r="AC451" s="34" t="str">
        <f>Tabella4[[#This Row],[User Impact]]</f>
        <v>2 - Serious</v>
      </c>
      <c r="AD451" s="34" t="str">
        <f>Copertina!C$2&amp;" - "&amp;Tabella4[[#This Row],[UNI CEI EN 301549]]&amp;" "&amp;VLOOKUP(Tabella4[[#This Row],[Criterio]],Tabella5[[ID]:[Criterio di successo]],2,FALSE)&amp;" - "&amp;Tabella4[[#This Row],[Servizio]]&amp;":"</f>
        <v>Insurance Brocker - 9.2.5.8 Dimensione dell'obiettivo (minimo) - S002 Poste Guidare Sicuri:</v>
      </c>
      <c r="AE45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(#TM0354)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id="heading-item-posteinsurancebrokerposteinsurancebroker-moduliguidare-sicuri-fase-di-vendita-faq-accordion-possopagarelamiapolizzaincontanti-37-37"&gt; con selettore: 
["#heading-item-posteinsurancebrokerposteinsurancebroker-moduliguidare-sicuri-fase-di-vendita-faq-accordion-possopagarelamiapolizzaincontanti-37-37"]
Dettaglio + screenshot (accedere con le seguenti credenziali: user, axeposte@gmail.com; password, Poste2024!): https://axe.deque.com/issues/95caa69f-333d-456f-9c2d-83ec00d3382e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51" t="e">
        <f>_xlfn.XLOOKUP(Tabella4[[#This Row],[ID Silk]],outTable[ID Silk],outTable[Numero ticket  ],,0,1)</f>
        <v>#N/A</v>
      </c>
    </row>
    <row r="452" spans="1:32">
      <c r="A452" s="34" t="str">
        <f>MID(Tabella4[[#This Row],[Servizio]],1,4)&amp;Tabella4[[#This Row],[UNI CEI EN 301549]]</f>
        <v>S0029.2.5.8</v>
      </c>
      <c r="B452" s="34" t="str">
        <f>Tabella4[[#This Row],[ID Silk]]&amp;"_1"</f>
        <v>S0029.2.5.8_1</v>
      </c>
      <c r="C452" s="34" t="s">
        <v>1797</v>
      </c>
      <c r="D452" s="2" t="str">
        <f>"(#"&amp;Tabella4[[#This Row],['#ID]]&amp;")"</f>
        <v>(#TM0355)</v>
      </c>
      <c r="E452" s="34" t="str">
        <f>IF(MID(Tabella4[[#This Row],['#ID]],1,1)="M","Mobile",IF(MID(Tabella4[[#This Row],['#ID]],1,1)="D","Desktop",IF(MID(Tabella4[[#This Row],['#ID]],1,2)="TM","Manuale","Documenti")))</f>
        <v>Manuale</v>
      </c>
      <c r="F452" s="34" t="s">
        <v>1006</v>
      </c>
      <c r="G452" s="34" t="s">
        <v>372</v>
      </c>
      <c r="H452" s="34" t="str">
        <f>IF(Tabella4[[#This Row],[Componente]]="Documenti","10.","9.")&amp;Tabella4[[#This Row],[Criterio]]</f>
        <v>9.2.5.8</v>
      </c>
      <c r="I452" s="34" t="s">
        <v>1023</v>
      </c>
      <c r="J452" s="34" t="s">
        <v>1032</v>
      </c>
      <c r="K452" s="34" t="s">
        <v>1033</v>
      </c>
      <c r="L452" s="34" t="s">
        <v>1034</v>
      </c>
      <c r="M452" s="34" t="s">
        <v>1035</v>
      </c>
      <c r="N452" t="s">
        <v>1604</v>
      </c>
      <c r="O452" t="s">
        <v>1605</v>
      </c>
      <c r="P452" t="s">
        <v>388</v>
      </c>
      <c r="R452" s="34" t="str">
        <f>IF(Tabella4[[#This Row],[Componente]]="Documenti",_xlfn.XLOOKUP(Tabella4[[#This Row],[URL]],Tabella27[URL],Tabella27[PDF ID],,0),_xlfn.XLOOKUP(Tabella4[[#This Row],[URL]],Tabella1[URL],Tabella1[Page ID],,0))</f>
        <v>#8</v>
      </c>
      <c r="S452" s="34" t="s">
        <v>1004</v>
      </c>
      <c r="T452" t="s">
        <v>518</v>
      </c>
      <c r="V452" t="s">
        <v>521</v>
      </c>
      <c r="W452" s="34" t="s">
        <v>1068</v>
      </c>
      <c r="X45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href="#item-posteinsurancebrokerposteinsurancebroker-moduliguidare-sicuri-fase-di-vendita-faq-accordion-possopagarelamiapolizzaincontanti-37" aria-expanded="false" aria-controls="item-posteinsurancebrokerposteinsurancebroker-moduliguidare-sicuri-fase-di-vendita-faq-accordion-possopagarelamiapolizzaincontanti-37" title="Posso pagare la mia polizza in contanti?"&gt;</v>
      </c>
      <c r="Y452" s="34" t="str">
        <f>SUBSTITUTE(IF(Tabella4[[#This Row],[Tool]]="axe-core",MID(Tabella4[[#This Row],[Rejected Element]],3,LEN(Tabella4[[#This Row],[Rejected Element]])-4),Tabella4[[#This Row],[Rejected Element]]),"\","")</f>
        <v>#heading-item-posteinsurancebrokerposteinsurancebroker-moduliguidare-sicuri-fase-di-vendita-faq-accordion-possopagarelamiapolizzaincontanti-37-37 &gt; .panel-title &gt; .accordion-toggle.collapsed[role="button"]</v>
      </c>
      <c r="Z452" s="34">
        <f>COUNTIFS(Tabella4[Detail univoco],Tabella4[[#This Row],[Detail univoco]],Tabella4[Rejected Element Univoco],Tabella4[[#This Row],[Rejected Element Univoco]],Tabella4[ItemsNodeLabel],Tabella4[[#This Row],[ItemsNodeLabel]])</f>
        <v>0</v>
      </c>
      <c r="AA452" s="34" t="str">
        <f>IF(Tabella4[[#This Row],[Componente]]="Documenti",VLOOKUP(Tabella4[[#This Row],[URL]],Tabella27[[URL]:[Servizio]],4,FALSE),VLOOKUP(Tabella4[[#This Row],[Page ID]],Tabella1[[Page ID]:[Servizio]],4,FALSE))</f>
        <v>S002 Poste Guidare Sicuri</v>
      </c>
      <c r="AB452" t="s">
        <v>1606</v>
      </c>
      <c r="AC452" s="34" t="str">
        <f>Tabella4[[#This Row],[User Impact]]</f>
        <v>2 - Serious</v>
      </c>
      <c r="AD452" s="34" t="str">
        <f>Copertina!C$2&amp;" - "&amp;Tabella4[[#This Row],[UNI CEI EN 301549]]&amp;" "&amp;VLOOKUP(Tabella4[[#This Row],[Criterio]],Tabella5[[ID]:[Criterio di successo]],2,FALSE)&amp;" - "&amp;Tabella4[[#This Row],[Servizio]]&amp;":"</f>
        <v>Insurance Brocker - 9.2.5.8 Dimensione dell'obiettivo (minimo) - S002 Poste Guidare Sicuri:</v>
      </c>
      <c r="AE45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(#TM0355)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href="#item-posteinsurancebrokerposteinsurancebroker-moduliguidare-sicuri-fase-di-vendita-faq-accordion-possopagarelamiapolizzaincontanti-37" aria-expanded="false" aria-controls="item-posteinsurancebrokerposteinsurancebroker-moduliguidare-sicuri-fase-di-vendita-faq-accordion-possopagarelamiapolizzaincontanti-37" title="Posso pagare la mia polizza in contanti?"&gt; con selettore: 
["#heading-item-posteinsurancebrokerposteinsurancebroker-moduliguidare-sicuri-fase-di-vendita-faq-accordion-possopagarelamiapolizzaincontanti-37-37 &gt; .panel-title &gt; .accordion-toggle.collapsed[role=\"button\"]"]
Dettaglio + screenshot (accedere con le seguenti credenziali: user, axeposte@gmail.com; password, Poste2024!): https://axe.deque.com/issues/133090b2-cf97-40fd-8268-ae72b7362f9a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52" t="e">
        <f>_xlfn.XLOOKUP(Tabella4[[#This Row],[ID Silk]],outTable[ID Silk],outTable[Numero ticket  ],,0,1)</f>
        <v>#N/A</v>
      </c>
    </row>
    <row r="453" spans="1:32">
      <c r="A453" s="34" t="str">
        <f>MID(Tabella4[[#This Row],[Servizio]],1,4)&amp;Tabella4[[#This Row],[UNI CEI EN 301549]]</f>
        <v>S0029.2.5.8</v>
      </c>
      <c r="B453" s="34" t="str">
        <f>Tabella4[[#This Row],[ID Silk]]&amp;"_1"</f>
        <v>S0029.2.5.8_1</v>
      </c>
      <c r="C453" s="34" t="s">
        <v>1798</v>
      </c>
      <c r="D453" s="2" t="str">
        <f>"(#"&amp;Tabella4[[#This Row],['#ID]]&amp;")"</f>
        <v>(#TM0356)</v>
      </c>
      <c r="E453" s="34" t="str">
        <f>IF(MID(Tabella4[[#This Row],['#ID]],1,1)="M","Mobile",IF(MID(Tabella4[[#This Row],['#ID]],1,1)="D","Desktop",IF(MID(Tabella4[[#This Row],['#ID]],1,2)="TM","Manuale","Documenti")))</f>
        <v>Manuale</v>
      </c>
      <c r="F453" s="34" t="s">
        <v>1006</v>
      </c>
      <c r="G453" s="34" t="s">
        <v>372</v>
      </c>
      <c r="H453" s="34" t="str">
        <f>IF(Tabella4[[#This Row],[Componente]]="Documenti","10.","9.")&amp;Tabella4[[#This Row],[Criterio]]</f>
        <v>9.2.5.8</v>
      </c>
      <c r="I453" s="34" t="s">
        <v>1023</v>
      </c>
      <c r="J453" s="34" t="s">
        <v>1032</v>
      </c>
      <c r="K453" s="34" t="s">
        <v>1033</v>
      </c>
      <c r="L453" s="34" t="s">
        <v>1034</v>
      </c>
      <c r="M453" s="34" t="s">
        <v>1035</v>
      </c>
      <c r="N453" t="s">
        <v>1410</v>
      </c>
      <c r="O453" t="s">
        <v>1411</v>
      </c>
      <c r="P453" t="s">
        <v>388</v>
      </c>
      <c r="R453" s="34" t="str">
        <f>IF(Tabella4[[#This Row],[Componente]]="Documenti",_xlfn.XLOOKUP(Tabella4[[#This Row],[URL]],Tabella27[URL],Tabella27[PDF ID],,0),_xlfn.XLOOKUP(Tabella4[[#This Row],[URL]],Tabella1[URL],Tabella1[Page ID],,0))</f>
        <v>#8</v>
      </c>
      <c r="S453" s="34" t="s">
        <v>1004</v>
      </c>
      <c r="T453" t="s">
        <v>518</v>
      </c>
      <c r="V453" t="s">
        <v>519</v>
      </c>
      <c r="W453" s="34" t="s">
        <v>1068</v>
      </c>
      <c r="X453"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id="heading-item-posteinsurancebrokerposteinsurancebroker-moduliguidare-sicuri-fase-di-vendita-faq-accordion-previstolannulloingiornataperlapolizza-38-38"&gt;</v>
      </c>
      <c r="Y453" s="34" t="str">
        <f>SUBSTITUTE(IF(Tabella4[[#This Row],[Tool]]="axe-core",MID(Tabella4[[#This Row],[Rejected Element]],3,LEN(Tabella4[[#This Row],[Rejected Element]])-4),Tabella4[[#This Row],[Rejected Element]]),"\","")</f>
        <v>#heading-item-posteinsurancebrokerposteinsurancebroker-moduliguidare-sicuri-fase-di-vendita-faq-accordion-previstolannulloingiornataperlapolizza-38-38</v>
      </c>
      <c r="Z453" s="34">
        <f>COUNTIFS(Tabella4[Detail univoco],Tabella4[[#This Row],[Detail univoco]],Tabella4[Rejected Element Univoco],Tabella4[[#This Row],[Rejected Element Univoco]],Tabella4[ItemsNodeLabel],Tabella4[[#This Row],[ItemsNodeLabel]])</f>
        <v>0</v>
      </c>
      <c r="AA453" s="34" t="str">
        <f>IF(Tabella4[[#This Row],[Componente]]="Documenti",VLOOKUP(Tabella4[[#This Row],[URL]],Tabella27[[URL]:[Servizio]],4,FALSE),VLOOKUP(Tabella4[[#This Row],[Page ID]],Tabella1[[Page ID]:[Servizio]],4,FALSE))</f>
        <v>S002 Poste Guidare Sicuri</v>
      </c>
      <c r="AB453" t="s">
        <v>1607</v>
      </c>
      <c r="AC453" s="34" t="str">
        <f>Tabella4[[#This Row],[User Impact]]</f>
        <v>2 - Serious</v>
      </c>
      <c r="AD453" s="34" t="str">
        <f>Copertina!C$2&amp;" - "&amp;Tabella4[[#This Row],[UNI CEI EN 301549]]&amp;" "&amp;VLOOKUP(Tabella4[[#This Row],[Criterio]],Tabella5[[ID]:[Criterio di successo]],2,FALSE)&amp;" - "&amp;Tabella4[[#This Row],[Servizio]]&amp;":"</f>
        <v>Insurance Brocker - 9.2.5.8 Dimensione dell'obiettivo (minimo) - S002 Poste Guidare Sicuri:</v>
      </c>
      <c r="AE45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(#TM0356)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id="heading-item-posteinsurancebrokerposteinsurancebroker-moduliguidare-sicuri-fase-di-vendita-faq-accordion-previstolannulloingiornataperlapolizza-38-38"&gt; con selettore: 
["#heading-item-posteinsurancebrokerposteinsurancebroker-moduliguidare-sicuri-fase-di-vendita-faq-accordion-previstolannulloingiornataperlapolizza-38-38"]
Dettaglio + screenshot (accedere con le seguenti credenziali: user, axeposte@gmail.com; password, Poste2024!): https://axe.deque.com/issues/6dafa7b4-a02b-4971-8f37-e37f7cc70a87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53" t="e">
        <f>_xlfn.XLOOKUP(Tabella4[[#This Row],[ID Silk]],outTable[ID Silk],outTable[Numero ticket  ],,0,1)</f>
        <v>#N/A</v>
      </c>
    </row>
    <row r="454" spans="1:32">
      <c r="A454" s="34" t="str">
        <f>MID(Tabella4[[#This Row],[Servizio]],1,4)&amp;Tabella4[[#This Row],[UNI CEI EN 301549]]</f>
        <v>S0029.2.5.8</v>
      </c>
      <c r="B454" s="34" t="str">
        <f>Tabella4[[#This Row],[ID Silk]]&amp;"_1"</f>
        <v>S0029.2.5.8_1</v>
      </c>
      <c r="C454" s="34" t="s">
        <v>1799</v>
      </c>
      <c r="D454" s="2" t="str">
        <f>"(#"&amp;Tabella4[[#This Row],['#ID]]&amp;")"</f>
        <v>(#TM0357)</v>
      </c>
      <c r="E454" s="34" t="str">
        <f>IF(MID(Tabella4[[#This Row],['#ID]],1,1)="M","Mobile",IF(MID(Tabella4[[#This Row],['#ID]],1,1)="D","Desktop",IF(MID(Tabella4[[#This Row],['#ID]],1,2)="TM","Manuale","Documenti")))</f>
        <v>Manuale</v>
      </c>
      <c r="F454" s="34" t="s">
        <v>1006</v>
      </c>
      <c r="G454" s="34" t="s">
        <v>372</v>
      </c>
      <c r="H454" s="34" t="str">
        <f>IF(Tabella4[[#This Row],[Componente]]="Documenti","10.","9.")&amp;Tabella4[[#This Row],[Criterio]]</f>
        <v>9.2.5.8</v>
      </c>
      <c r="I454" s="34" t="s">
        <v>1023</v>
      </c>
      <c r="J454" s="34" t="s">
        <v>1032</v>
      </c>
      <c r="K454" s="34" t="s">
        <v>1033</v>
      </c>
      <c r="L454" s="34" t="s">
        <v>1034</v>
      </c>
      <c r="M454" s="34" t="s">
        <v>1035</v>
      </c>
      <c r="N454" t="s">
        <v>1608</v>
      </c>
      <c r="O454" t="s">
        <v>1609</v>
      </c>
      <c r="P454" t="s">
        <v>388</v>
      </c>
      <c r="R454" s="34" t="str">
        <f>IF(Tabella4[[#This Row],[Componente]]="Documenti",_xlfn.XLOOKUP(Tabella4[[#This Row],[URL]],Tabella27[URL],Tabella27[PDF ID],,0),_xlfn.XLOOKUP(Tabella4[[#This Row],[URL]],Tabella1[URL],Tabella1[Page ID],,0))</f>
        <v>#8</v>
      </c>
      <c r="S454" s="34" t="s">
        <v>1004</v>
      </c>
      <c r="T454" t="s">
        <v>518</v>
      </c>
      <c r="V454" t="s">
        <v>521</v>
      </c>
      <c r="W454" s="34" t="s">
        <v>1068</v>
      </c>
      <c r="X45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href="#item-posteinsurancebrokerposteinsurancebroker-moduliguidare-sicuri-fase-di-vendita-faq-accordion-previstolannulloingiornataperlapolizza-38" aria-expanded="false" aria-controls="item-posteinsurancebrokerposteinsurancebroker-moduliguidare-sicuri-fase-di-vendita-faq-accordion-previstolannulloingiornataperlapolizza-38" title="È previsto l’annullo in giornata per la polizza?"&gt;</v>
      </c>
      <c r="Y454" s="34" t="str">
        <f>SUBSTITUTE(IF(Tabella4[[#This Row],[Tool]]="axe-core",MID(Tabella4[[#This Row],[Rejected Element]],3,LEN(Tabella4[[#This Row],[Rejected Element]])-4),Tabella4[[#This Row],[Rejected Element]]),"\","")</f>
        <v>#heading-item-posteinsurancebrokerposteinsurancebroker-moduliguidare-sicuri-fase-di-vendita-faq-accordion-previstolannulloingiornataperlapolizza-38-38 &gt; .panel-title &gt; .accordion-toggle.collapsed[role="button"]</v>
      </c>
      <c r="Z454" s="34">
        <f>COUNTIFS(Tabella4[Detail univoco],Tabella4[[#This Row],[Detail univoco]],Tabella4[Rejected Element Univoco],Tabella4[[#This Row],[Rejected Element Univoco]],Tabella4[ItemsNodeLabel],Tabella4[[#This Row],[ItemsNodeLabel]])</f>
        <v>0</v>
      </c>
      <c r="AA454" s="34" t="str">
        <f>IF(Tabella4[[#This Row],[Componente]]="Documenti",VLOOKUP(Tabella4[[#This Row],[URL]],Tabella27[[URL]:[Servizio]],4,FALSE),VLOOKUP(Tabella4[[#This Row],[Page ID]],Tabella1[[Page ID]:[Servizio]],4,FALSE))</f>
        <v>S002 Poste Guidare Sicuri</v>
      </c>
      <c r="AB454" t="s">
        <v>1610</v>
      </c>
      <c r="AC454" s="34" t="str">
        <f>Tabella4[[#This Row],[User Impact]]</f>
        <v>2 - Serious</v>
      </c>
      <c r="AD454" s="34" t="str">
        <f>Copertina!C$2&amp;" - "&amp;Tabella4[[#This Row],[UNI CEI EN 301549]]&amp;" "&amp;VLOOKUP(Tabella4[[#This Row],[Criterio]],Tabella5[[ID]:[Criterio di successo]],2,FALSE)&amp;" - "&amp;Tabella4[[#This Row],[Servizio]]&amp;":"</f>
        <v>Insurance Brocker - 9.2.5.8 Dimensione dell'obiettivo (minimo) - S002 Poste Guidare Sicuri:</v>
      </c>
      <c r="AE45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(#TM0357)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href="#item-posteinsurancebrokerposteinsurancebroker-moduliguidare-sicuri-fase-di-vendita-faq-accordion-previstolannulloingiornataperlapolizza-38" aria-expanded="false" aria-controls="item-posteinsurancebrokerposteinsurancebroker-moduliguidare-sicuri-fase-di-vendita-faq-accordion-previstolannulloingiornataperlapolizza-38" title="È previsto l’annullo in giornata per la polizza?"&gt; con selettore: 
["#heading-item-posteinsurancebrokerposteinsurancebroker-moduliguidare-sicuri-fase-di-vendita-faq-accordion-previstolannulloingiornataperlapolizza-38-38 &gt; .panel-title &gt; .accordion-toggle.collapsed[role=\"button\"]"]
Dettaglio + screenshot (accedere con le seguenti credenziali: user, axeposte@gmail.com; password, Poste2024!): https://axe.deque.com/issues/8734b134-f3c0-4180-8b16-a17a82c7bb4f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54" t="e">
        <f>_xlfn.XLOOKUP(Tabella4[[#This Row],[ID Silk]],outTable[ID Silk],outTable[Numero ticket  ],,0,1)</f>
        <v>#N/A</v>
      </c>
    </row>
    <row r="455" spans="1:32">
      <c r="A455" s="34" t="str">
        <f>MID(Tabella4[[#This Row],[Servizio]],1,4)&amp;Tabella4[[#This Row],[UNI CEI EN 301549]]</f>
        <v>S0029.2.5.8</v>
      </c>
      <c r="B455" s="34" t="str">
        <f>Tabella4[[#This Row],[ID Silk]]&amp;"_1"</f>
        <v>S0029.2.5.8_1</v>
      </c>
      <c r="C455" s="34" t="s">
        <v>1800</v>
      </c>
      <c r="D455" s="2" t="str">
        <f>"(#"&amp;Tabella4[[#This Row],['#ID]]&amp;")"</f>
        <v>(#TM0358)</v>
      </c>
      <c r="E455" s="34" t="str">
        <f>IF(MID(Tabella4[[#This Row],['#ID]],1,1)="M","Mobile",IF(MID(Tabella4[[#This Row],['#ID]],1,1)="D","Desktop",IF(MID(Tabella4[[#This Row],['#ID]],1,2)="TM","Manuale","Documenti")))</f>
        <v>Manuale</v>
      </c>
      <c r="F455" s="34" t="s">
        <v>1006</v>
      </c>
      <c r="G455" s="34" t="s">
        <v>372</v>
      </c>
      <c r="H455" s="34" t="str">
        <f>IF(Tabella4[[#This Row],[Componente]]="Documenti","10.","9.")&amp;Tabella4[[#This Row],[Criterio]]</f>
        <v>9.2.5.8</v>
      </c>
      <c r="I455" s="34" t="s">
        <v>1023</v>
      </c>
      <c r="J455" s="34" t="s">
        <v>1032</v>
      </c>
      <c r="K455" s="34" t="s">
        <v>1033</v>
      </c>
      <c r="L455" s="34" t="s">
        <v>1034</v>
      </c>
      <c r="M455" s="34" t="s">
        <v>1035</v>
      </c>
      <c r="N455" t="s">
        <v>1413</v>
      </c>
      <c r="O455" t="s">
        <v>1414</v>
      </c>
      <c r="P455" t="s">
        <v>388</v>
      </c>
      <c r="R455" s="34" t="str">
        <f>IF(Tabella4[[#This Row],[Componente]]="Documenti",_xlfn.XLOOKUP(Tabella4[[#This Row],[URL]],Tabella27[URL],Tabella27[PDF ID],,0),_xlfn.XLOOKUP(Tabella4[[#This Row],[URL]],Tabella1[URL],Tabella1[Page ID],,0))</f>
        <v>#8</v>
      </c>
      <c r="S455" s="34" t="s">
        <v>1004</v>
      </c>
      <c r="T455" t="s">
        <v>518</v>
      </c>
      <c r="V455" t="s">
        <v>519</v>
      </c>
      <c r="W455" s="34" t="s">
        <v>1068</v>
      </c>
      <c r="X455" s="34" t="str">
        <f>IFERROR(IF(Tabella4[[#This Row],[Tool]]="lighthouse",Tabella4[[#This Row],[Detail]],MID(Tabella4[[#This Row],[Detail]],1,FIND("&gt;",Tabella4[[#This Row],[Detail]]))),Tabella4[[#This Row],[Detail]])</f>
        <v>&lt;div class="panel-heading" role="tab" tabindex="0" id="heading-item-posteinsurancebrokerposteinsurancebroker-moduliguidare-sicuri-fase-di-vendita-faq-accordion-qualisonoitempinecessariallemissionedelcontratto-39-39"&gt;</v>
      </c>
      <c r="Y455" s="34" t="str">
        <f>SUBSTITUTE(IF(Tabella4[[#This Row],[Tool]]="axe-core",MID(Tabella4[[#This Row],[Rejected Element]],3,LEN(Tabella4[[#This Row],[Rejected Element]])-4),Tabella4[[#This Row],[Rejected Element]]),"\","")</f>
        <v>#heading-item-posteinsurancebrokerposteinsurancebroker-moduliguidare-sicuri-fase-di-vendita-faq-accordion-qualisonoitempinecessariallemissionedelcontratto-39-39</v>
      </c>
      <c r="Z455" s="34">
        <f>COUNTIFS(Tabella4[Detail univoco],Tabella4[[#This Row],[Detail univoco]],Tabella4[Rejected Element Univoco],Tabella4[[#This Row],[Rejected Element Univoco]],Tabella4[ItemsNodeLabel],Tabella4[[#This Row],[ItemsNodeLabel]])</f>
        <v>0</v>
      </c>
      <c r="AA455" s="34" t="str">
        <f>IF(Tabella4[[#This Row],[Componente]]="Documenti",VLOOKUP(Tabella4[[#This Row],[URL]],Tabella27[[URL]:[Servizio]],4,FALSE),VLOOKUP(Tabella4[[#This Row],[Page ID]],Tabella1[[Page ID]:[Servizio]],4,FALSE))</f>
        <v>S002 Poste Guidare Sicuri</v>
      </c>
      <c r="AB455" t="s">
        <v>1611</v>
      </c>
      <c r="AC455" s="34" t="str">
        <f>Tabella4[[#This Row],[User Impact]]</f>
        <v>2 - Serious</v>
      </c>
      <c r="AD455" s="34" t="str">
        <f>Copertina!C$2&amp;" - "&amp;Tabella4[[#This Row],[UNI CEI EN 301549]]&amp;" "&amp;VLOOKUP(Tabella4[[#This Row],[Criterio]],Tabella5[[ID]:[Criterio di successo]],2,FALSE)&amp;" - "&amp;Tabella4[[#This Row],[Servizio]]&amp;":"</f>
        <v>Insurance Brocker - 9.2.5.8 Dimensione dell'obiettivo (minimo) - S002 Poste Guidare Sicuri:</v>
      </c>
      <c r="AE45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(#TM0358)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id="heading-item-posteinsurancebrokerposteinsurancebroker-moduliguidare-sicuri-fase-di-vendita-faq-accordion-qualisonoitempinecessariallemissionedelcontratto-39-39"&gt; con selettore: 
["#heading-item-posteinsurancebrokerposteinsurancebroker-moduliguidare-sicuri-fase-di-vendita-faq-accordion-qualisonoitempinecessariallemissionedelcontratto-39-39"]
Dettaglio + screenshot (accedere con le seguenti credenziali: user, axeposte@gmail.com; password, Poste2024!): https://axe.deque.com/issues/276451a3-0a82-4ffe-a2a9-7f0b3b183036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55" t="e">
        <f>_xlfn.XLOOKUP(Tabella4[[#This Row],[ID Silk]],outTable[ID Silk],outTable[Numero ticket  ],,0,1)</f>
        <v>#N/A</v>
      </c>
    </row>
    <row r="456" spans="1:32">
      <c r="A456" s="34" t="str">
        <f>MID(Tabella4[[#This Row],[Servizio]],1,4)&amp;Tabella4[[#This Row],[UNI CEI EN 301549]]</f>
        <v>S0029.2.5.8</v>
      </c>
      <c r="B456" s="34" t="str">
        <f>Tabella4[[#This Row],[ID Silk]]&amp;"_1"</f>
        <v>S0029.2.5.8_1</v>
      </c>
      <c r="C456" s="34" t="s">
        <v>1801</v>
      </c>
      <c r="D456" s="2" t="str">
        <f>"(#"&amp;Tabella4[[#This Row],['#ID]]&amp;")"</f>
        <v>(#TM0359)</v>
      </c>
      <c r="E456" s="34" t="str">
        <f>IF(MID(Tabella4[[#This Row],['#ID]],1,1)="M","Mobile",IF(MID(Tabella4[[#This Row],['#ID]],1,1)="D","Desktop",IF(MID(Tabella4[[#This Row],['#ID]],1,2)="TM","Manuale","Documenti")))</f>
        <v>Manuale</v>
      </c>
      <c r="F456" s="34" t="s">
        <v>1006</v>
      </c>
      <c r="G456" s="34" t="s">
        <v>372</v>
      </c>
      <c r="H456" s="34" t="str">
        <f>IF(Tabella4[[#This Row],[Componente]]="Documenti","10.","9.")&amp;Tabella4[[#This Row],[Criterio]]</f>
        <v>9.2.5.8</v>
      </c>
      <c r="I456" s="34" t="s">
        <v>1023</v>
      </c>
      <c r="J456" s="34" t="s">
        <v>1032</v>
      </c>
      <c r="K456" s="34" t="s">
        <v>1033</v>
      </c>
      <c r="L456" s="34" t="s">
        <v>1034</v>
      </c>
      <c r="M456" s="34" t="s">
        <v>1035</v>
      </c>
      <c r="N456" t="s">
        <v>1612</v>
      </c>
      <c r="O456" t="s">
        <v>1613</v>
      </c>
      <c r="P456" t="s">
        <v>388</v>
      </c>
      <c r="R456" s="34" t="str">
        <f>IF(Tabella4[[#This Row],[Componente]]="Documenti",_xlfn.XLOOKUP(Tabella4[[#This Row],[URL]],Tabella27[URL],Tabella27[PDF ID],,0),_xlfn.XLOOKUP(Tabella4[[#This Row],[URL]],Tabella1[URL],Tabella1[Page ID],,0))</f>
        <v>#8</v>
      </c>
      <c r="S456" s="34" t="s">
        <v>1004</v>
      </c>
      <c r="T456" t="s">
        <v>518</v>
      </c>
      <c r="V456" t="s">
        <v>521</v>
      </c>
      <c r="W456" s="34" t="s">
        <v>1068</v>
      </c>
      <c r="X45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data-parent="#accordion-posteinsurancebrokerposteinsurancebroker-moduliguidare-sicuri-fase-di-vendita-faq-accordion-fasedivendita" href="#item-posteinsurancebrokerposteinsurancebroker-moduliguidare-sicuri-fase-di-vendita-faq-accordion-qualisonoitempinecessariallemissionedelcontratto-39" aria-expanded="false" aria-controls="item-posteinsurancebrokerposteinsurancebroker-moduliguidare-sicuri-fase-di-vendita-faq-accordion-qualisonoitempinecessariallemissionedelcontratto-39" title="Quali sono i tempi necessari all’emissione del contratto?"&gt;</v>
      </c>
      <c r="Y456" s="34" t="str">
        <f>SUBSTITUTE(IF(Tabella4[[#This Row],[Tool]]="axe-core",MID(Tabella4[[#This Row],[Rejected Element]],3,LEN(Tabella4[[#This Row],[Rejected Element]])-4),Tabella4[[#This Row],[Rejected Element]]),"\","")</f>
        <v>#heading-item-posteinsurancebrokerposteinsurancebroker-moduliguidare-sicuri-fase-di-vendita-faq-accordion-qualisonoitempinecessariallemissionedelcontratto-39-39 &gt; .panel-title &gt; .accordion-toggle.collapsed[role="button"]</v>
      </c>
      <c r="Z456" s="34">
        <f>COUNTIFS(Tabella4[Detail univoco],Tabella4[[#This Row],[Detail univoco]],Tabella4[Rejected Element Univoco],Tabella4[[#This Row],[Rejected Element Univoco]],Tabella4[ItemsNodeLabel],Tabella4[[#This Row],[ItemsNodeLabel]])</f>
        <v>0</v>
      </c>
      <c r="AA456" s="34" t="str">
        <f>IF(Tabella4[[#This Row],[Componente]]="Documenti",VLOOKUP(Tabella4[[#This Row],[URL]],Tabella27[[URL]:[Servizio]],4,FALSE),VLOOKUP(Tabella4[[#This Row],[Page ID]],Tabella1[[Page ID]:[Servizio]],4,FALSE))</f>
        <v>S002 Poste Guidare Sicuri</v>
      </c>
      <c r="AB456" t="s">
        <v>1614</v>
      </c>
      <c r="AC456" s="34" t="str">
        <f>Tabella4[[#This Row],[User Impact]]</f>
        <v>2 - Serious</v>
      </c>
      <c r="AD456" s="34" t="str">
        <f>Copertina!C$2&amp;" - "&amp;Tabella4[[#This Row],[UNI CEI EN 301549]]&amp;" "&amp;VLOOKUP(Tabella4[[#This Row],[Criterio]],Tabella5[[ID]:[Criterio di successo]],2,FALSE)&amp;" - "&amp;Tabella4[[#This Row],[Servizio]]&amp;":"</f>
        <v>Insurance Brocker - 9.2.5.8 Dimensione dell'obiettivo (minimo) - S002 Poste Guidare Sicuri:</v>
      </c>
      <c r="AE45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(#TM0359)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href="#item-posteinsurancebrokerposteinsurancebroker-moduliguidare-sicuri-fase-di-vendita-faq-accordion-qualisonoitempinecessariallemissionedelcontratto-39" aria-expanded="false" aria-controls="item-posteinsurancebrokerposteinsurancebroker-moduliguidare-sicuri-fase-di-vendita-faq-accordion-qualisonoitempinecessariallemissionedelcontratto-39" title="Quali sono i tempi necessari all’emissione del contratto?"&gt; con selettore: 
["#heading-item-posteinsurancebrokerposteinsurancebroker-moduliguidare-sicuri-fase-di-vendita-faq-accordion-qualisonoitempinecessariallemissionedelcontratto-39-39 &gt; .panel-title &gt; .accordion-toggle.collapsed[role=\"button\"]"]
Dettaglio + screenshot (accedere con le seguenti credenziali: user, axeposte@gmail.com; password, Poste2024!): https://axe.deque.com/issues/3246bb13-50f7-46cb-adc4-ed164486d12d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56" t="e">
        <f>_xlfn.XLOOKUP(Tabella4[[#This Row],[ID Silk]],outTable[ID Silk],outTable[Numero ticket  ],,0,1)</f>
        <v>#N/A</v>
      </c>
    </row>
    <row r="457" spans="1:32">
      <c r="A457" s="34" t="str">
        <f>MID(Tabella4[[#This Row],[Servizio]],1,4)&amp;Tabella4[[#This Row],[UNI CEI EN 301549]]</f>
        <v>S0029.2.5.8</v>
      </c>
      <c r="B457" s="34" t="str">
        <f>Tabella4[[#This Row],[ID Silk]]&amp;"_1"</f>
        <v>S0029.2.5.8_1</v>
      </c>
      <c r="C457" s="34" t="s">
        <v>1802</v>
      </c>
      <c r="D457" s="2" t="str">
        <f>"(#"&amp;Tabella4[[#This Row],['#ID]]&amp;")"</f>
        <v>(#TM0360)</v>
      </c>
      <c r="E457" s="34" t="str">
        <f>IF(MID(Tabella4[[#This Row],['#ID]],1,1)="M","Mobile",IF(MID(Tabella4[[#This Row],['#ID]],1,1)="D","Desktop",IF(MID(Tabella4[[#This Row],['#ID]],1,2)="TM","Manuale","Documenti")))</f>
        <v>Manuale</v>
      </c>
      <c r="F457" s="34" t="s">
        <v>1006</v>
      </c>
      <c r="G457" s="34" t="s">
        <v>372</v>
      </c>
      <c r="H457" s="34" t="str">
        <f>IF(Tabella4[[#This Row],[Componente]]="Documenti","10.","9.")&amp;Tabella4[[#This Row],[Criterio]]</f>
        <v>9.2.5.8</v>
      </c>
      <c r="I457" s="34" t="s">
        <v>1023</v>
      </c>
      <c r="J457" s="34" t="s">
        <v>1032</v>
      </c>
      <c r="K457" s="34" t="s">
        <v>1033</v>
      </c>
      <c r="L457" s="34" t="s">
        <v>1034</v>
      </c>
      <c r="M457" s="34" t="s">
        <v>1035</v>
      </c>
      <c r="N457" t="s">
        <v>1416</v>
      </c>
      <c r="O457" t="s">
        <v>1417</v>
      </c>
      <c r="P457" t="s">
        <v>388</v>
      </c>
      <c r="R457" s="34" t="str">
        <f>IF(Tabella4[[#This Row],[Componente]]="Documenti",_xlfn.XLOOKUP(Tabella4[[#This Row],[URL]],Tabella27[URL],Tabella27[PDF ID],,0),_xlfn.XLOOKUP(Tabella4[[#This Row],[URL]],Tabella1[URL],Tabella1[Page ID],,0))</f>
        <v>#8</v>
      </c>
      <c r="S457" s="34" t="s">
        <v>1004</v>
      </c>
      <c r="T457" t="s">
        <v>518</v>
      </c>
      <c r="V457" t="s">
        <v>519</v>
      </c>
      <c r="W457" s="34" t="s">
        <v>1068</v>
      </c>
      <c r="X457"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id="heading-item-posteinsurancebrokerposteinsurancebroker-moduliguidare-sicuri-fase-di-post-vendita-faq-accordion-hounveicoloassicuratopostemadevosostituirloetrasferirelapolizzacosadevofare-0-0"&gt;</v>
      </c>
      <c r="Y457" s="34" t="str">
        <f>SUBSTITUTE(IF(Tabella4[[#This Row],[Tool]]="axe-core",MID(Tabella4[[#This Row],[Rejected Element]],3,LEN(Tabella4[[#This Row],[Rejected Element]])-4),Tabella4[[#This Row],[Rejected Element]]),"\","")</f>
        <v>#heading-item-posteinsurancebrokerposteinsurancebroker-moduliguidare-sicuri-fase-di-post-vendita-faq-accordion-hounveicoloassicuratopostemadevosostituirloetrasferirelapolizzacosadevofare-0-0</v>
      </c>
      <c r="Z457" s="34">
        <f>COUNTIFS(Tabella4[Detail univoco],Tabella4[[#This Row],[Detail univoco]],Tabella4[Rejected Element Univoco],Tabella4[[#This Row],[Rejected Element Univoco]],Tabella4[ItemsNodeLabel],Tabella4[[#This Row],[ItemsNodeLabel]])</f>
        <v>0</v>
      </c>
      <c r="AA457" s="34" t="str">
        <f>IF(Tabella4[[#This Row],[Componente]]="Documenti",VLOOKUP(Tabella4[[#This Row],[URL]],Tabella27[[URL]:[Servizio]],4,FALSE),VLOOKUP(Tabella4[[#This Row],[Page ID]],Tabella1[[Page ID]:[Servizio]],4,FALSE))</f>
        <v>S002 Poste Guidare Sicuri</v>
      </c>
      <c r="AB457" t="s">
        <v>1615</v>
      </c>
      <c r="AC457" s="34" t="str">
        <f>Tabella4[[#This Row],[User Impact]]</f>
        <v>2 - Serious</v>
      </c>
      <c r="AD457" s="34" t="str">
        <f>Copertina!C$2&amp;" - "&amp;Tabella4[[#This Row],[UNI CEI EN 301549]]&amp;" "&amp;VLOOKUP(Tabella4[[#This Row],[Criterio]],Tabella5[[ID]:[Criterio di successo]],2,FALSE)&amp;" - "&amp;Tabella4[[#This Row],[Servizio]]&amp;":"</f>
        <v>Insurance Brocker - 9.2.5.8 Dimensione dell'obiettivo (minimo) - S002 Poste Guidare Sicuri:</v>
      </c>
      <c r="AE45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(#TM0360)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id="heading-item-posteinsurancebrokerposteinsurancebroker-moduliguidare-sicuri-fase-di-post-vendita-faq-accordion-hounveicoloassicuratopostemadevosostituirloetrasferirelapolizzacosadevofare-0-0"&gt; con selettore: 
["#heading-item-posteinsurancebrokerposteinsurancebroker-moduliguidare-sicuri-fase-di-post-vendita-faq-accordion-hounveicoloassicuratopostemadevosostituirloetrasferirelapolizzacosadevofare-0-0"]
Dettaglio + screenshot (accedere con le seguenti credenziali: user, axeposte@gmail.com; password, Poste2024!): https://axe.deque.com/issues/7120c0ee-cd92-4a2a-9884-308e43ac0369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57" t="e">
        <f>_xlfn.XLOOKUP(Tabella4[[#This Row],[ID Silk]],outTable[ID Silk],outTable[Numero ticket  ],,0,1)</f>
        <v>#N/A</v>
      </c>
    </row>
    <row r="458" spans="1:32">
      <c r="A458" s="34" t="str">
        <f>MID(Tabella4[[#This Row],[Servizio]],1,4)&amp;Tabella4[[#This Row],[UNI CEI EN 301549]]</f>
        <v>S0029.2.5.8</v>
      </c>
      <c r="B458" s="34" t="str">
        <f>Tabella4[[#This Row],[ID Silk]]&amp;"_1"</f>
        <v>S0029.2.5.8_1</v>
      </c>
      <c r="C458" s="34" t="s">
        <v>1803</v>
      </c>
      <c r="D458" s="2" t="str">
        <f>"(#"&amp;Tabella4[[#This Row],['#ID]]&amp;")"</f>
        <v>(#TM0361)</v>
      </c>
      <c r="E458" s="34" t="str">
        <f>IF(MID(Tabella4[[#This Row],['#ID]],1,1)="M","Mobile",IF(MID(Tabella4[[#This Row],['#ID]],1,1)="D","Desktop",IF(MID(Tabella4[[#This Row],['#ID]],1,2)="TM","Manuale","Documenti")))</f>
        <v>Manuale</v>
      </c>
      <c r="F458" s="34" t="s">
        <v>1006</v>
      </c>
      <c r="G458" s="34" t="s">
        <v>372</v>
      </c>
      <c r="H458" s="34" t="str">
        <f>IF(Tabella4[[#This Row],[Componente]]="Documenti","10.","9.")&amp;Tabella4[[#This Row],[Criterio]]</f>
        <v>9.2.5.8</v>
      </c>
      <c r="I458" s="34" t="s">
        <v>1023</v>
      </c>
      <c r="J458" s="34" t="s">
        <v>1032</v>
      </c>
      <c r="K458" s="34" t="s">
        <v>1033</v>
      </c>
      <c r="L458" s="34" t="s">
        <v>1034</v>
      </c>
      <c r="M458" s="34" t="s">
        <v>1035</v>
      </c>
      <c r="N458" t="s">
        <v>1616</v>
      </c>
      <c r="O458" t="s">
        <v>1617</v>
      </c>
      <c r="P458" t="s">
        <v>388</v>
      </c>
      <c r="R458" s="34" t="str">
        <f>IF(Tabella4[[#This Row],[Componente]]="Documenti",_xlfn.XLOOKUP(Tabella4[[#This Row],[URL]],Tabella27[URL],Tabella27[PDF ID],,0),_xlfn.XLOOKUP(Tabella4[[#This Row],[URL]],Tabella1[URL],Tabella1[Page ID],,0))</f>
        <v>#8</v>
      </c>
      <c r="S458" s="34" t="s">
        <v>1004</v>
      </c>
      <c r="T458" t="s">
        <v>518</v>
      </c>
      <c r="V458" t="s">
        <v>521</v>
      </c>
      <c r="W458" s="34" t="s">
        <v>1068</v>
      </c>
      <c r="X45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href="#item-posteinsurancebrokerposteinsurancebroker-moduliguidare-sicuri-fase-di-post-vendita-faq-accordion-hounveicoloassicuratopostemadevosostituirloetrasferirelapolizzacosadevofare-0" aria-expanded="false" aria-controls="item-posteinsurancebrokerposteinsurancebroker-moduliguidare-sicuri-fase-di-post-vendita-faq-accordion-hounveicoloassicuratopostemadevosostituirloetrasferirelapolizzacosadevofare-0" title="Ho un veicolo assicurato Poste ma devo sostituirlo e trasferire la polizza: cosa devo fare?"&gt;</v>
      </c>
      <c r="Y458" s="34" t="str">
        <f>SUBSTITUTE(IF(Tabella4[[#This Row],[Tool]]="axe-core",MID(Tabella4[[#This Row],[Rejected Element]],3,LEN(Tabella4[[#This Row],[Rejected Element]])-4),Tabella4[[#This Row],[Rejected Element]]),"\","")</f>
        <v>#heading-item-posteinsurancebrokerposteinsurancebroker-moduliguidare-sicuri-fase-di-post-vendita-faq-accordion-hounveicoloassicuratopostemadevosostituirloetrasferirelapolizzacosadevofare-0-0 &gt; .panel-title &gt; .accordion-toggle.collapsed[role="button"]</v>
      </c>
      <c r="Z458" s="34">
        <f>COUNTIFS(Tabella4[Detail univoco],Tabella4[[#This Row],[Detail univoco]],Tabella4[Rejected Element Univoco],Tabella4[[#This Row],[Rejected Element Univoco]],Tabella4[ItemsNodeLabel],Tabella4[[#This Row],[ItemsNodeLabel]])</f>
        <v>0</v>
      </c>
      <c r="AA458" s="34" t="str">
        <f>IF(Tabella4[[#This Row],[Componente]]="Documenti",VLOOKUP(Tabella4[[#This Row],[URL]],Tabella27[[URL]:[Servizio]],4,FALSE),VLOOKUP(Tabella4[[#This Row],[Page ID]],Tabella1[[Page ID]:[Servizio]],4,FALSE))</f>
        <v>S002 Poste Guidare Sicuri</v>
      </c>
      <c r="AB458" t="s">
        <v>1618</v>
      </c>
      <c r="AC458" s="34" t="str">
        <f>Tabella4[[#This Row],[User Impact]]</f>
        <v>2 - Serious</v>
      </c>
      <c r="AD458" s="34" t="str">
        <f>Copertina!C$2&amp;" - "&amp;Tabella4[[#This Row],[UNI CEI EN 301549]]&amp;" "&amp;VLOOKUP(Tabella4[[#This Row],[Criterio]],Tabella5[[ID]:[Criterio di successo]],2,FALSE)&amp;" - "&amp;Tabella4[[#This Row],[Servizio]]&amp;":"</f>
        <v>Insurance Brocker - 9.2.5.8 Dimensione dell'obiettivo (minimo) - S002 Poste Guidare Sicuri:</v>
      </c>
      <c r="AE45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(#TM0361)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href="#item-posteinsurancebrokerposteinsurancebroker-moduliguidare-sicuri-fase-di-post-vendita-faq-accordion-hounveicoloassicuratopostemadevosostituirloetrasferirelapolizzacosadevofare-0" aria-expanded="false" aria-controls="item-posteinsurancebrokerposteinsurancebroker-moduliguidare-sicuri-fase-di-post-vendita-faq-accordion-hounveicoloassicuratopostemadevosostituirloetrasferirelapolizzacosadevofare-0" title="Ho un veicolo assicurato Poste ma devo sostituirlo e trasferire la polizza: cosa devo fare?"&gt; con selettore: 
["#heading-item-posteinsurancebrokerposteinsurancebroker-moduliguidare-sicuri-fase-di-post-vendita-faq-accordion-hounveicoloassicuratopostemadevosostituirloetrasferirelapolizzacosadevofare-0-0 &gt; .panel-title &gt; .accordion-toggle.collapsed[role=\"button\"]"]
Dettaglio + screenshot (accedere con le seguenti credenziali: user, axeposte@gmail.com; password, Poste2024!): https://axe.deque.com/issues/c1c9be4d-915a-4148-a00d-593c9cb82a02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58" t="e">
        <f>_xlfn.XLOOKUP(Tabella4[[#This Row],[ID Silk]],outTable[ID Silk],outTable[Numero ticket  ],,0,1)</f>
        <v>#N/A</v>
      </c>
    </row>
    <row r="459" spans="1:32">
      <c r="A459" s="34" t="str">
        <f>MID(Tabella4[[#This Row],[Servizio]],1,4)&amp;Tabella4[[#This Row],[UNI CEI EN 301549]]</f>
        <v>S0029.2.5.8</v>
      </c>
      <c r="B459" s="34" t="str">
        <f>Tabella4[[#This Row],[ID Silk]]&amp;"_1"</f>
        <v>S0029.2.5.8_1</v>
      </c>
      <c r="C459" s="34" t="s">
        <v>1804</v>
      </c>
      <c r="D459" s="2" t="str">
        <f>"(#"&amp;Tabella4[[#This Row],['#ID]]&amp;")"</f>
        <v>(#TM0362)</v>
      </c>
      <c r="E459" s="34" t="str">
        <f>IF(MID(Tabella4[[#This Row],['#ID]],1,1)="M","Mobile",IF(MID(Tabella4[[#This Row],['#ID]],1,1)="D","Desktop",IF(MID(Tabella4[[#This Row],['#ID]],1,2)="TM","Manuale","Documenti")))</f>
        <v>Manuale</v>
      </c>
      <c r="F459" s="34" t="s">
        <v>1006</v>
      </c>
      <c r="G459" s="34" t="s">
        <v>372</v>
      </c>
      <c r="H459" s="34" t="str">
        <f>IF(Tabella4[[#This Row],[Componente]]="Documenti","10.","9.")&amp;Tabella4[[#This Row],[Criterio]]</f>
        <v>9.2.5.8</v>
      </c>
      <c r="I459" s="34" t="s">
        <v>1023</v>
      </c>
      <c r="J459" s="34" t="s">
        <v>1032</v>
      </c>
      <c r="K459" s="34" t="s">
        <v>1033</v>
      </c>
      <c r="L459" s="34" t="s">
        <v>1034</v>
      </c>
      <c r="M459" s="34" t="s">
        <v>1035</v>
      </c>
      <c r="N459" t="s">
        <v>1419</v>
      </c>
      <c r="O459" t="s">
        <v>1420</v>
      </c>
      <c r="P459" t="s">
        <v>388</v>
      </c>
      <c r="R459" s="34" t="str">
        <f>IF(Tabella4[[#This Row],[Componente]]="Documenti",_xlfn.XLOOKUP(Tabella4[[#This Row],[URL]],Tabella27[URL],Tabella27[PDF ID],,0),_xlfn.XLOOKUP(Tabella4[[#This Row],[URL]],Tabella1[URL],Tabella1[Page ID],,0))</f>
        <v>#8</v>
      </c>
      <c r="S459" s="34" t="s">
        <v>1004</v>
      </c>
      <c r="T459" t="s">
        <v>518</v>
      </c>
      <c r="V459" t="s">
        <v>519</v>
      </c>
      <c r="W459" s="34" t="s">
        <v>1068</v>
      </c>
      <c r="X459"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id="heading-item-posteinsurancebrokerposteinsurancebroker-moduliguidare-sicuri-fase-di-post-vendita-faq-accordion-devomodificaredeidatinelmiocontrattocosadevofare-1-1"&gt;</v>
      </c>
      <c r="Y459" s="34" t="str">
        <f>SUBSTITUTE(IF(Tabella4[[#This Row],[Tool]]="axe-core",MID(Tabella4[[#This Row],[Rejected Element]],3,LEN(Tabella4[[#This Row],[Rejected Element]])-4),Tabella4[[#This Row],[Rejected Element]]),"\","")</f>
        <v>#heading-item-posteinsurancebrokerposteinsurancebroker-moduliguidare-sicuri-fase-di-post-vendita-faq-accordion-devomodificaredeidatinelmiocontrattocosadevofare-1-1</v>
      </c>
      <c r="Z459" s="34">
        <f>COUNTIFS(Tabella4[Detail univoco],Tabella4[[#This Row],[Detail univoco]],Tabella4[Rejected Element Univoco],Tabella4[[#This Row],[Rejected Element Univoco]],Tabella4[ItemsNodeLabel],Tabella4[[#This Row],[ItemsNodeLabel]])</f>
        <v>0</v>
      </c>
      <c r="AA459" s="34" t="str">
        <f>IF(Tabella4[[#This Row],[Componente]]="Documenti",VLOOKUP(Tabella4[[#This Row],[URL]],Tabella27[[URL]:[Servizio]],4,FALSE),VLOOKUP(Tabella4[[#This Row],[Page ID]],Tabella1[[Page ID]:[Servizio]],4,FALSE))</f>
        <v>S002 Poste Guidare Sicuri</v>
      </c>
      <c r="AB459" t="s">
        <v>1619</v>
      </c>
      <c r="AC459" s="34" t="str">
        <f>Tabella4[[#This Row],[User Impact]]</f>
        <v>2 - Serious</v>
      </c>
      <c r="AD459" s="34" t="str">
        <f>Copertina!C$2&amp;" - "&amp;Tabella4[[#This Row],[UNI CEI EN 301549]]&amp;" "&amp;VLOOKUP(Tabella4[[#This Row],[Criterio]],Tabella5[[ID]:[Criterio di successo]],2,FALSE)&amp;" - "&amp;Tabella4[[#This Row],[Servizio]]&amp;":"</f>
        <v>Insurance Brocker - 9.2.5.8 Dimensione dell'obiettivo (minimo) - S002 Poste Guidare Sicuri:</v>
      </c>
      <c r="AE45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(#TM0362)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id="heading-item-posteinsurancebrokerposteinsurancebroker-moduliguidare-sicuri-fase-di-post-vendita-faq-accordion-devomodificaredeidatinelmiocontrattocosadevofare-1-1"&gt; con selettore: 
["#heading-item-posteinsurancebrokerposteinsurancebroker-moduliguidare-sicuri-fase-di-post-vendita-faq-accordion-devomodificaredeidatinelmiocontrattocosadevofare-1-1"]
Dettaglio + screenshot (accedere con le seguenti credenziali: user, axeposte@gmail.com; password, Poste2024!): https://axe.deque.com/issues/24c8f3bb-fdf8-452d-8b4a-845cfd3fe0ce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59" t="e">
        <f>_xlfn.XLOOKUP(Tabella4[[#This Row],[ID Silk]],outTable[ID Silk],outTable[Numero ticket  ],,0,1)</f>
        <v>#N/A</v>
      </c>
    </row>
    <row r="460" spans="1:32">
      <c r="A460" s="34" t="str">
        <f>MID(Tabella4[[#This Row],[Servizio]],1,4)&amp;Tabella4[[#This Row],[UNI CEI EN 301549]]</f>
        <v>S0029.2.5.8</v>
      </c>
      <c r="B460" s="34" t="str">
        <f>Tabella4[[#This Row],[ID Silk]]&amp;"_1"</f>
        <v>S0029.2.5.8_1</v>
      </c>
      <c r="C460" s="34" t="s">
        <v>1805</v>
      </c>
      <c r="D460" s="2" t="str">
        <f>"(#"&amp;Tabella4[[#This Row],['#ID]]&amp;")"</f>
        <v>(#TM0363)</v>
      </c>
      <c r="E460" s="34" t="str">
        <f>IF(MID(Tabella4[[#This Row],['#ID]],1,1)="M","Mobile",IF(MID(Tabella4[[#This Row],['#ID]],1,1)="D","Desktop",IF(MID(Tabella4[[#This Row],['#ID]],1,2)="TM","Manuale","Documenti")))</f>
        <v>Manuale</v>
      </c>
      <c r="F460" s="34" t="s">
        <v>1006</v>
      </c>
      <c r="G460" s="34" t="s">
        <v>372</v>
      </c>
      <c r="H460" s="34" t="str">
        <f>IF(Tabella4[[#This Row],[Componente]]="Documenti","10.","9.")&amp;Tabella4[[#This Row],[Criterio]]</f>
        <v>9.2.5.8</v>
      </c>
      <c r="I460" s="34" t="s">
        <v>1023</v>
      </c>
      <c r="J460" s="34" t="s">
        <v>1032</v>
      </c>
      <c r="K460" s="34" t="s">
        <v>1033</v>
      </c>
      <c r="L460" s="34" t="s">
        <v>1034</v>
      </c>
      <c r="M460" s="34" t="s">
        <v>1035</v>
      </c>
      <c r="N460" t="s">
        <v>1620</v>
      </c>
      <c r="O460" t="s">
        <v>1621</v>
      </c>
      <c r="P460" t="s">
        <v>388</v>
      </c>
      <c r="R460" s="34" t="str">
        <f>IF(Tabella4[[#This Row],[Componente]]="Documenti",_xlfn.XLOOKUP(Tabella4[[#This Row],[URL]],Tabella27[URL],Tabella27[PDF ID],,0),_xlfn.XLOOKUP(Tabella4[[#This Row],[URL]],Tabella1[URL],Tabella1[Page ID],,0))</f>
        <v>#8</v>
      </c>
      <c r="S460" s="34" t="s">
        <v>1004</v>
      </c>
      <c r="T460" t="s">
        <v>518</v>
      </c>
      <c r="V460" t="s">
        <v>521</v>
      </c>
      <c r="W460" s="34" t="s">
        <v>1068</v>
      </c>
      <c r="X46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href="#item-posteinsurancebrokerposteinsurancebroker-moduliguidare-sicuri-fase-di-post-vendita-faq-accordion-devomodificaredeidatinelmiocontrattocosadevofare-1" aria-expanded="false" aria-controls="item-posteinsurancebrokerposteinsurancebroker-moduliguidare-sicuri-fase-di-post-vendita-faq-accordion-devomodificaredeidatinelmiocontrattocosadevofare-1" title="Devo modificare dei dati nel mio contratto: cosa devo fare?"&gt;</v>
      </c>
      <c r="Y460" s="34" t="str">
        <f>SUBSTITUTE(IF(Tabella4[[#This Row],[Tool]]="axe-core",MID(Tabella4[[#This Row],[Rejected Element]],3,LEN(Tabella4[[#This Row],[Rejected Element]])-4),Tabella4[[#This Row],[Rejected Element]]),"\","")</f>
        <v>#heading-item-posteinsurancebrokerposteinsurancebroker-moduliguidare-sicuri-fase-di-post-vendita-faq-accordion-devomodificaredeidatinelmiocontrattocosadevofare-1-1 &gt; .panel-title &gt; .accordion-toggle.collapsed[role="button"]</v>
      </c>
      <c r="Z460" s="34">
        <f>COUNTIFS(Tabella4[Detail univoco],Tabella4[[#This Row],[Detail univoco]],Tabella4[Rejected Element Univoco],Tabella4[[#This Row],[Rejected Element Univoco]],Tabella4[ItemsNodeLabel],Tabella4[[#This Row],[ItemsNodeLabel]])</f>
        <v>0</v>
      </c>
      <c r="AA460" s="34" t="str">
        <f>IF(Tabella4[[#This Row],[Componente]]="Documenti",VLOOKUP(Tabella4[[#This Row],[URL]],Tabella27[[URL]:[Servizio]],4,FALSE),VLOOKUP(Tabella4[[#This Row],[Page ID]],Tabella1[[Page ID]:[Servizio]],4,FALSE))</f>
        <v>S002 Poste Guidare Sicuri</v>
      </c>
      <c r="AB460" t="s">
        <v>1622</v>
      </c>
      <c r="AC460" s="34" t="str">
        <f>Tabella4[[#This Row],[User Impact]]</f>
        <v>2 - Serious</v>
      </c>
      <c r="AD460" s="34" t="str">
        <f>Copertina!C$2&amp;" - "&amp;Tabella4[[#This Row],[UNI CEI EN 301549]]&amp;" "&amp;VLOOKUP(Tabella4[[#This Row],[Criterio]],Tabella5[[ID]:[Criterio di successo]],2,FALSE)&amp;" - "&amp;Tabella4[[#This Row],[Servizio]]&amp;":"</f>
        <v>Insurance Brocker - 9.2.5.8 Dimensione dell'obiettivo (minimo) - S002 Poste Guidare Sicuri:</v>
      </c>
      <c r="AE46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(#TM0363)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href="#item-posteinsurancebrokerposteinsurancebroker-moduliguidare-sicuri-fase-di-post-vendita-faq-accordion-devomodificaredeidatinelmiocontrattocosadevofare-1" aria-expanded="false" aria-controls="item-posteinsurancebrokerposteinsurancebroker-moduliguidare-sicuri-fase-di-post-vendita-faq-accordion-devomodificaredeidatinelmiocontrattocosadevofare-1" title="Devo modificare dei dati nel mio contratto: cosa devo fare?"&gt; con selettore: 
["#heading-item-posteinsurancebrokerposteinsurancebroker-moduliguidare-sicuri-fase-di-post-vendita-faq-accordion-devomodificaredeidatinelmiocontrattocosadevofare-1-1 &gt; .panel-title &gt; .accordion-toggle.collapsed[role=\"button\"]"]
Dettaglio + screenshot (accedere con le seguenti credenziali: user, axeposte@gmail.com; password, Poste2024!): https://axe.deque.com/issues/cc7aa7a9-18bd-4c69-a363-224ebaee28b3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60" t="e">
        <f>_xlfn.XLOOKUP(Tabella4[[#This Row],[ID Silk]],outTable[ID Silk],outTable[Numero ticket  ],,0,1)</f>
        <v>#N/A</v>
      </c>
    </row>
    <row r="461" spans="1:32">
      <c r="A461" s="34" t="str">
        <f>MID(Tabella4[[#This Row],[Servizio]],1,4)&amp;Tabella4[[#This Row],[UNI CEI EN 301549]]</f>
        <v>S0029.2.5.8</v>
      </c>
      <c r="B461" s="34" t="str">
        <f>Tabella4[[#This Row],[ID Silk]]&amp;"_1"</f>
        <v>S0029.2.5.8_1</v>
      </c>
      <c r="C461" s="34" t="s">
        <v>1806</v>
      </c>
      <c r="D461" s="2" t="str">
        <f>"(#"&amp;Tabella4[[#This Row],['#ID]]&amp;")"</f>
        <v>(#TM0364)</v>
      </c>
      <c r="E461" s="34" t="str">
        <f>IF(MID(Tabella4[[#This Row],['#ID]],1,1)="M","Mobile",IF(MID(Tabella4[[#This Row],['#ID]],1,1)="D","Desktop",IF(MID(Tabella4[[#This Row],['#ID]],1,2)="TM","Manuale","Documenti")))</f>
        <v>Manuale</v>
      </c>
      <c r="F461" s="34" t="s">
        <v>1006</v>
      </c>
      <c r="G461" s="34" t="s">
        <v>372</v>
      </c>
      <c r="H461" s="34" t="str">
        <f>IF(Tabella4[[#This Row],[Componente]]="Documenti","10.","9.")&amp;Tabella4[[#This Row],[Criterio]]</f>
        <v>9.2.5.8</v>
      </c>
      <c r="I461" s="34" t="s">
        <v>1023</v>
      </c>
      <c r="J461" s="34" t="s">
        <v>1032</v>
      </c>
      <c r="K461" s="34" t="s">
        <v>1033</v>
      </c>
      <c r="L461" s="34" t="s">
        <v>1034</v>
      </c>
      <c r="M461" s="34" t="s">
        <v>1035</v>
      </c>
      <c r="N461" t="s">
        <v>1422</v>
      </c>
      <c r="O461" t="s">
        <v>1423</v>
      </c>
      <c r="P461" t="s">
        <v>388</v>
      </c>
      <c r="R461" s="34" t="str">
        <f>IF(Tabella4[[#This Row],[Componente]]="Documenti",_xlfn.XLOOKUP(Tabella4[[#This Row],[URL]],Tabella27[URL],Tabella27[PDF ID],,0),_xlfn.XLOOKUP(Tabella4[[#This Row],[URL]],Tabella1[URL],Tabella1[Page ID],,0))</f>
        <v>#8</v>
      </c>
      <c r="S461" s="34" t="s">
        <v>1004</v>
      </c>
      <c r="T461" t="s">
        <v>518</v>
      </c>
      <c r="V461" t="s">
        <v>519</v>
      </c>
      <c r="W461" s="34" t="s">
        <v>1068</v>
      </c>
      <c r="X461"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id="heading-item-posteinsurancebrokerposteinsurancebroker-moduliguidare-sicuri-fase-di-post-vendita-faq-accordion-cosadevofaresehomodificatolamiaresidenza-2-2"&gt;</v>
      </c>
      <c r="Y461" s="34" t="str">
        <f>SUBSTITUTE(IF(Tabella4[[#This Row],[Tool]]="axe-core",MID(Tabella4[[#This Row],[Rejected Element]],3,LEN(Tabella4[[#This Row],[Rejected Element]])-4),Tabella4[[#This Row],[Rejected Element]]),"\","")</f>
        <v>#heading-item-posteinsurancebrokerposteinsurancebroker-moduliguidare-sicuri-fase-di-post-vendita-faq-accordion-cosadevofaresehomodificatolamiaresidenza-2-2</v>
      </c>
      <c r="Z461" s="34">
        <f>COUNTIFS(Tabella4[Detail univoco],Tabella4[[#This Row],[Detail univoco]],Tabella4[Rejected Element Univoco],Tabella4[[#This Row],[Rejected Element Univoco]],Tabella4[ItemsNodeLabel],Tabella4[[#This Row],[ItemsNodeLabel]])</f>
        <v>0</v>
      </c>
      <c r="AA461" s="34" t="str">
        <f>IF(Tabella4[[#This Row],[Componente]]="Documenti",VLOOKUP(Tabella4[[#This Row],[URL]],Tabella27[[URL]:[Servizio]],4,FALSE),VLOOKUP(Tabella4[[#This Row],[Page ID]],Tabella1[[Page ID]:[Servizio]],4,FALSE))</f>
        <v>S002 Poste Guidare Sicuri</v>
      </c>
      <c r="AB461" t="s">
        <v>1623</v>
      </c>
      <c r="AC461" s="34" t="str">
        <f>Tabella4[[#This Row],[User Impact]]</f>
        <v>2 - Serious</v>
      </c>
      <c r="AD461" s="34" t="str">
        <f>Copertina!C$2&amp;" - "&amp;Tabella4[[#This Row],[UNI CEI EN 301549]]&amp;" "&amp;VLOOKUP(Tabella4[[#This Row],[Criterio]],Tabella5[[ID]:[Criterio di successo]],2,FALSE)&amp;" - "&amp;Tabella4[[#This Row],[Servizio]]&amp;":"</f>
        <v>Insurance Brocker - 9.2.5.8 Dimensione dell'obiettivo (minimo) - S002 Poste Guidare Sicuri:</v>
      </c>
      <c r="AE46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(#TM0364)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id="heading-item-posteinsurancebrokerposteinsurancebroker-moduliguidare-sicuri-fase-di-post-vendita-faq-accordion-cosadevofaresehomodificatolamiaresidenza-2-2"&gt; con selettore: 
["#heading-item-posteinsurancebrokerposteinsurancebroker-moduliguidare-sicuri-fase-di-post-vendita-faq-accordion-cosadevofaresehomodificatolamiaresidenza-2-2"]
Dettaglio + screenshot (accedere con le seguenti credenziali: user, axeposte@gmail.com; password, Poste2024!): https://axe.deque.com/issues/383c6550-a0a5-42d1-ac82-4fc315863762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61" t="e">
        <f>_xlfn.XLOOKUP(Tabella4[[#This Row],[ID Silk]],outTable[ID Silk],outTable[Numero ticket  ],,0,1)</f>
        <v>#N/A</v>
      </c>
    </row>
    <row r="462" spans="1:32">
      <c r="A462" s="34" t="str">
        <f>MID(Tabella4[[#This Row],[Servizio]],1,4)&amp;Tabella4[[#This Row],[UNI CEI EN 301549]]</f>
        <v>S0029.2.5.8</v>
      </c>
      <c r="B462" s="34" t="str">
        <f>Tabella4[[#This Row],[ID Silk]]&amp;"_1"</f>
        <v>S0029.2.5.8_1</v>
      </c>
      <c r="C462" s="34" t="s">
        <v>1807</v>
      </c>
      <c r="D462" s="2" t="str">
        <f>"(#"&amp;Tabella4[[#This Row],['#ID]]&amp;")"</f>
        <v>(#TM0365)</v>
      </c>
      <c r="E462" s="34" t="str">
        <f>IF(MID(Tabella4[[#This Row],['#ID]],1,1)="M","Mobile",IF(MID(Tabella4[[#This Row],['#ID]],1,1)="D","Desktop",IF(MID(Tabella4[[#This Row],['#ID]],1,2)="TM","Manuale","Documenti")))</f>
        <v>Manuale</v>
      </c>
      <c r="F462" s="34" t="s">
        <v>1006</v>
      </c>
      <c r="G462" s="34" t="s">
        <v>372</v>
      </c>
      <c r="H462" s="34" t="str">
        <f>IF(Tabella4[[#This Row],[Componente]]="Documenti","10.","9.")&amp;Tabella4[[#This Row],[Criterio]]</f>
        <v>9.2.5.8</v>
      </c>
      <c r="I462" s="34" t="s">
        <v>1023</v>
      </c>
      <c r="J462" s="34" t="s">
        <v>1032</v>
      </c>
      <c r="K462" s="34" t="s">
        <v>1033</v>
      </c>
      <c r="L462" s="34" t="s">
        <v>1034</v>
      </c>
      <c r="M462" s="34" t="s">
        <v>1035</v>
      </c>
      <c r="N462" t="s">
        <v>1624</v>
      </c>
      <c r="O462" t="s">
        <v>1625</v>
      </c>
      <c r="P462" t="s">
        <v>388</v>
      </c>
      <c r="R462" s="34" t="str">
        <f>IF(Tabella4[[#This Row],[Componente]]="Documenti",_xlfn.XLOOKUP(Tabella4[[#This Row],[URL]],Tabella27[URL],Tabella27[PDF ID],,0),_xlfn.XLOOKUP(Tabella4[[#This Row],[URL]],Tabella1[URL],Tabella1[Page ID],,0))</f>
        <v>#8</v>
      </c>
      <c r="S462" s="34" t="s">
        <v>1004</v>
      </c>
      <c r="T462" t="s">
        <v>518</v>
      </c>
      <c r="V462" t="s">
        <v>521</v>
      </c>
      <c r="W462" s="34" t="s">
        <v>1068</v>
      </c>
      <c r="X46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href="#item-posteinsurancebrokerposteinsurancebroker-moduliguidare-sicuri-fase-di-post-vendita-faq-accordion-cosadevofaresehomodificatolamiaresidenza-2" aria-expanded="false" aria-controls="item-posteinsurancebrokerposteinsurancebroker-moduliguidare-sicuri-fase-di-post-vendita-faq-accordion-cosadevofaresehomodificatolamiaresidenza-2" title="Cosa devo fare se ho modificato la mia residenza?"&gt;</v>
      </c>
      <c r="Y462" s="34" t="str">
        <f>SUBSTITUTE(IF(Tabella4[[#This Row],[Tool]]="axe-core",MID(Tabella4[[#This Row],[Rejected Element]],3,LEN(Tabella4[[#This Row],[Rejected Element]])-4),Tabella4[[#This Row],[Rejected Element]]),"\","")</f>
        <v>#heading-item-posteinsurancebrokerposteinsurancebroker-moduliguidare-sicuri-fase-di-post-vendita-faq-accordion-cosadevofaresehomodificatolamiaresidenza-2-2 &gt; .panel-title &gt; .accordion-toggle.collapsed[role="button"]</v>
      </c>
      <c r="Z462" s="34">
        <f>COUNTIFS(Tabella4[Detail univoco],Tabella4[[#This Row],[Detail univoco]],Tabella4[Rejected Element Univoco],Tabella4[[#This Row],[Rejected Element Univoco]],Tabella4[ItemsNodeLabel],Tabella4[[#This Row],[ItemsNodeLabel]])</f>
        <v>0</v>
      </c>
      <c r="AA462" s="34" t="str">
        <f>IF(Tabella4[[#This Row],[Componente]]="Documenti",VLOOKUP(Tabella4[[#This Row],[URL]],Tabella27[[URL]:[Servizio]],4,FALSE),VLOOKUP(Tabella4[[#This Row],[Page ID]],Tabella1[[Page ID]:[Servizio]],4,FALSE))</f>
        <v>S002 Poste Guidare Sicuri</v>
      </c>
      <c r="AB462" t="s">
        <v>1626</v>
      </c>
      <c r="AC462" s="34" t="str">
        <f>Tabella4[[#This Row],[User Impact]]</f>
        <v>2 - Serious</v>
      </c>
      <c r="AD462" s="34" t="str">
        <f>Copertina!C$2&amp;" - "&amp;Tabella4[[#This Row],[UNI CEI EN 301549]]&amp;" "&amp;VLOOKUP(Tabella4[[#This Row],[Criterio]],Tabella5[[ID]:[Criterio di successo]],2,FALSE)&amp;" - "&amp;Tabella4[[#This Row],[Servizio]]&amp;":"</f>
        <v>Insurance Brocker - 9.2.5.8 Dimensione dell'obiettivo (minimo) - S002 Poste Guidare Sicuri:</v>
      </c>
      <c r="AE46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(#TM0365)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href="#item-posteinsurancebrokerposteinsurancebroker-moduliguidare-sicuri-fase-di-post-vendita-faq-accordion-cosadevofaresehomodificatolamiaresidenza-2" aria-expanded="false" aria-controls="item-posteinsurancebrokerposteinsurancebroker-moduliguidare-sicuri-fase-di-post-vendita-faq-accordion-cosadevofaresehomodificatolamiaresidenza-2" title="Cosa devo fare se ho modificato la mia residenza?"&gt; con selettore: 
["#heading-item-posteinsurancebrokerposteinsurancebroker-moduliguidare-sicuri-fase-di-post-vendita-faq-accordion-cosadevofaresehomodificatolamiaresidenza-2-2 &gt; .panel-title &gt; .accordion-toggle.collapsed[role=\"button\"]"]
Dettaglio + screenshot (accedere con le seguenti credenziali: user, axeposte@gmail.com; password, Poste2024!): https://axe.deque.com/issues/a6adf20b-0baf-4068-ac6c-f6f149697c6c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62" t="e">
        <f>_xlfn.XLOOKUP(Tabella4[[#This Row],[ID Silk]],outTable[ID Silk],outTable[Numero ticket  ],,0,1)</f>
        <v>#N/A</v>
      </c>
    </row>
    <row r="463" spans="1:32">
      <c r="A463" s="34" t="str">
        <f>MID(Tabella4[[#This Row],[Servizio]],1,4)&amp;Tabella4[[#This Row],[UNI CEI EN 301549]]</f>
        <v>S0029.2.5.8</v>
      </c>
      <c r="B463" s="34" t="str">
        <f>Tabella4[[#This Row],[ID Silk]]&amp;"_1"</f>
        <v>S0029.2.5.8_1</v>
      </c>
      <c r="C463" s="34" t="s">
        <v>1808</v>
      </c>
      <c r="D463" s="2" t="str">
        <f>"(#"&amp;Tabella4[[#This Row],['#ID]]&amp;")"</f>
        <v>(#TM0366)</v>
      </c>
      <c r="E463" s="34" t="str">
        <f>IF(MID(Tabella4[[#This Row],['#ID]],1,1)="M","Mobile",IF(MID(Tabella4[[#This Row],['#ID]],1,1)="D","Desktop",IF(MID(Tabella4[[#This Row],['#ID]],1,2)="TM","Manuale","Documenti")))</f>
        <v>Manuale</v>
      </c>
      <c r="F463" s="34" t="s">
        <v>1006</v>
      </c>
      <c r="G463" s="34" t="s">
        <v>372</v>
      </c>
      <c r="H463" s="34" t="str">
        <f>IF(Tabella4[[#This Row],[Componente]]="Documenti","10.","9.")&amp;Tabella4[[#This Row],[Criterio]]</f>
        <v>9.2.5.8</v>
      </c>
      <c r="I463" s="34" t="s">
        <v>1023</v>
      </c>
      <c r="J463" s="34" t="s">
        <v>1032</v>
      </c>
      <c r="K463" s="34" t="s">
        <v>1033</v>
      </c>
      <c r="L463" s="34" t="s">
        <v>1034</v>
      </c>
      <c r="M463" s="34" t="s">
        <v>1035</v>
      </c>
      <c r="N463" t="s">
        <v>1425</v>
      </c>
      <c r="O463" t="s">
        <v>1426</v>
      </c>
      <c r="P463" t="s">
        <v>388</v>
      </c>
      <c r="R463" s="34" t="str">
        <f>IF(Tabella4[[#This Row],[Componente]]="Documenti",_xlfn.XLOOKUP(Tabella4[[#This Row],[URL]],Tabella27[URL],Tabella27[PDF ID],,0),_xlfn.XLOOKUP(Tabella4[[#This Row],[URL]],Tabella1[URL],Tabella1[Page ID],,0))</f>
        <v>#8</v>
      </c>
      <c r="S463" s="34" t="s">
        <v>1004</v>
      </c>
      <c r="T463" t="s">
        <v>518</v>
      </c>
      <c r="V463" t="s">
        <v>519</v>
      </c>
      <c r="W463" s="34" t="s">
        <v>1068</v>
      </c>
      <c r="X463"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id="heading-item-posteinsurancebrokerposteinsurancebroker-moduliguidare-sicuri-fase-di-post-vendita-faq-accordion-cosadevofarepersospenderelamiapolizza-3-3"&gt;</v>
      </c>
      <c r="Y463" s="34" t="str">
        <f>SUBSTITUTE(IF(Tabella4[[#This Row],[Tool]]="axe-core",MID(Tabella4[[#This Row],[Rejected Element]],3,LEN(Tabella4[[#This Row],[Rejected Element]])-4),Tabella4[[#This Row],[Rejected Element]]),"\","")</f>
        <v>#heading-item-posteinsurancebrokerposteinsurancebroker-moduliguidare-sicuri-fase-di-post-vendita-faq-accordion-cosadevofarepersospenderelamiapolizza-3-3</v>
      </c>
      <c r="Z463" s="34">
        <f>COUNTIFS(Tabella4[Detail univoco],Tabella4[[#This Row],[Detail univoco]],Tabella4[Rejected Element Univoco],Tabella4[[#This Row],[Rejected Element Univoco]],Tabella4[ItemsNodeLabel],Tabella4[[#This Row],[ItemsNodeLabel]])</f>
        <v>0</v>
      </c>
      <c r="AA463" s="34" t="str">
        <f>IF(Tabella4[[#This Row],[Componente]]="Documenti",VLOOKUP(Tabella4[[#This Row],[URL]],Tabella27[[URL]:[Servizio]],4,FALSE),VLOOKUP(Tabella4[[#This Row],[Page ID]],Tabella1[[Page ID]:[Servizio]],4,FALSE))</f>
        <v>S002 Poste Guidare Sicuri</v>
      </c>
      <c r="AB463" t="s">
        <v>1627</v>
      </c>
      <c r="AC463" s="34" t="str">
        <f>Tabella4[[#This Row],[User Impact]]</f>
        <v>2 - Serious</v>
      </c>
      <c r="AD463" s="34" t="str">
        <f>Copertina!C$2&amp;" - "&amp;Tabella4[[#This Row],[UNI CEI EN 301549]]&amp;" "&amp;VLOOKUP(Tabella4[[#This Row],[Criterio]],Tabella5[[ID]:[Criterio di successo]],2,FALSE)&amp;" - "&amp;Tabella4[[#This Row],[Servizio]]&amp;":"</f>
        <v>Insurance Brocker - 9.2.5.8 Dimensione dell'obiettivo (minimo) - S002 Poste Guidare Sicuri:</v>
      </c>
      <c r="AE46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(#TM0366)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id="heading-item-posteinsurancebrokerposteinsurancebroker-moduliguidare-sicuri-fase-di-post-vendita-faq-accordion-cosadevofarepersospenderelamiapolizza-3-3"&gt; con selettore: 
["#heading-item-posteinsurancebrokerposteinsurancebroker-moduliguidare-sicuri-fase-di-post-vendita-faq-accordion-cosadevofarepersospenderelamiapolizza-3-3"]
Dettaglio + screenshot (accedere con le seguenti credenziali: user, axeposte@gmail.com; password, Poste2024!): https://axe.deque.com/issues/495ec5f3-fd33-4418-9350-51f1cc71bed5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63" t="e">
        <f>_xlfn.XLOOKUP(Tabella4[[#This Row],[ID Silk]],outTable[ID Silk],outTable[Numero ticket  ],,0,1)</f>
        <v>#N/A</v>
      </c>
    </row>
    <row r="464" spans="1:32">
      <c r="A464" s="34" t="str">
        <f>MID(Tabella4[[#This Row],[Servizio]],1,4)&amp;Tabella4[[#This Row],[UNI CEI EN 301549]]</f>
        <v>S0029.2.5.8</v>
      </c>
      <c r="B464" s="34" t="str">
        <f>Tabella4[[#This Row],[ID Silk]]&amp;"_1"</f>
        <v>S0029.2.5.8_1</v>
      </c>
      <c r="C464" s="34" t="s">
        <v>1809</v>
      </c>
      <c r="D464" s="2" t="str">
        <f>"(#"&amp;Tabella4[[#This Row],['#ID]]&amp;")"</f>
        <v>(#TM0367)</v>
      </c>
      <c r="E464" s="34" t="str">
        <f>IF(MID(Tabella4[[#This Row],['#ID]],1,1)="M","Mobile",IF(MID(Tabella4[[#This Row],['#ID]],1,1)="D","Desktop",IF(MID(Tabella4[[#This Row],['#ID]],1,2)="TM","Manuale","Documenti")))</f>
        <v>Manuale</v>
      </c>
      <c r="F464" s="34" t="s">
        <v>1006</v>
      </c>
      <c r="G464" s="34" t="s">
        <v>372</v>
      </c>
      <c r="H464" s="34" t="str">
        <f>IF(Tabella4[[#This Row],[Componente]]="Documenti","10.","9.")&amp;Tabella4[[#This Row],[Criterio]]</f>
        <v>9.2.5.8</v>
      </c>
      <c r="I464" s="34" t="s">
        <v>1023</v>
      </c>
      <c r="J464" s="34" t="s">
        <v>1032</v>
      </c>
      <c r="K464" s="34" t="s">
        <v>1033</v>
      </c>
      <c r="L464" s="34" t="s">
        <v>1034</v>
      </c>
      <c r="M464" s="34" t="s">
        <v>1035</v>
      </c>
      <c r="N464" t="s">
        <v>1628</v>
      </c>
      <c r="O464" t="s">
        <v>1629</v>
      </c>
      <c r="P464" t="s">
        <v>388</v>
      </c>
      <c r="R464" s="34" t="str">
        <f>IF(Tabella4[[#This Row],[Componente]]="Documenti",_xlfn.XLOOKUP(Tabella4[[#This Row],[URL]],Tabella27[URL],Tabella27[PDF ID],,0),_xlfn.XLOOKUP(Tabella4[[#This Row],[URL]],Tabella1[URL],Tabella1[Page ID],,0))</f>
        <v>#8</v>
      </c>
      <c r="S464" s="34" t="s">
        <v>1004</v>
      </c>
      <c r="T464" t="s">
        <v>518</v>
      </c>
      <c r="V464" t="s">
        <v>521</v>
      </c>
      <c r="W464" s="34" t="s">
        <v>1068</v>
      </c>
      <c r="X46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href="#item-posteinsurancebrokerposteinsurancebroker-moduliguidare-sicuri-fase-di-post-vendita-faq-accordion-cosadevofarepersospenderelamiapolizza-3" aria-expanded="false" aria-controls="item-posteinsurancebrokerposteinsurancebroker-moduliguidare-sicuri-fase-di-post-vendita-faq-accordion-cosadevofarepersospenderelamiapolizza-3" title="Cosa devo fare per sospendere la mia polizza?"&gt;</v>
      </c>
      <c r="Y464" s="34" t="str">
        <f>SUBSTITUTE(IF(Tabella4[[#This Row],[Tool]]="axe-core",MID(Tabella4[[#This Row],[Rejected Element]],3,LEN(Tabella4[[#This Row],[Rejected Element]])-4),Tabella4[[#This Row],[Rejected Element]]),"\","")</f>
        <v>#heading-item-posteinsurancebrokerposteinsurancebroker-moduliguidare-sicuri-fase-di-post-vendita-faq-accordion-cosadevofarepersospenderelamiapolizza-3-3 &gt; .panel-title &gt; .accordion-toggle.collapsed[role="button"]</v>
      </c>
      <c r="Z464" s="34">
        <f>COUNTIFS(Tabella4[Detail univoco],Tabella4[[#This Row],[Detail univoco]],Tabella4[Rejected Element Univoco],Tabella4[[#This Row],[Rejected Element Univoco]],Tabella4[ItemsNodeLabel],Tabella4[[#This Row],[ItemsNodeLabel]])</f>
        <v>0</v>
      </c>
      <c r="AA464" s="34" t="str">
        <f>IF(Tabella4[[#This Row],[Componente]]="Documenti",VLOOKUP(Tabella4[[#This Row],[URL]],Tabella27[[URL]:[Servizio]],4,FALSE),VLOOKUP(Tabella4[[#This Row],[Page ID]],Tabella1[[Page ID]:[Servizio]],4,FALSE))</f>
        <v>S002 Poste Guidare Sicuri</v>
      </c>
      <c r="AB464" t="s">
        <v>1630</v>
      </c>
      <c r="AC464" s="34" t="str">
        <f>Tabella4[[#This Row],[User Impact]]</f>
        <v>2 - Serious</v>
      </c>
      <c r="AD464" s="34" t="str">
        <f>Copertina!C$2&amp;" - "&amp;Tabella4[[#This Row],[UNI CEI EN 301549]]&amp;" "&amp;VLOOKUP(Tabella4[[#This Row],[Criterio]],Tabella5[[ID]:[Criterio di successo]],2,FALSE)&amp;" - "&amp;Tabella4[[#This Row],[Servizio]]&amp;":"</f>
        <v>Insurance Brocker - 9.2.5.8 Dimensione dell'obiettivo (minimo) - S002 Poste Guidare Sicuri:</v>
      </c>
      <c r="AE46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(#TM0367)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href="#item-posteinsurancebrokerposteinsurancebroker-moduliguidare-sicuri-fase-di-post-vendita-faq-accordion-cosadevofarepersospenderelamiapolizza-3" aria-expanded="false" aria-controls="item-posteinsurancebrokerposteinsurancebroker-moduliguidare-sicuri-fase-di-post-vendita-faq-accordion-cosadevofarepersospenderelamiapolizza-3" title="Cosa devo fare per sospendere la mia polizza?"&gt; con selettore: 
["#heading-item-posteinsurancebrokerposteinsurancebroker-moduliguidare-sicuri-fase-di-post-vendita-faq-accordion-cosadevofarepersospenderelamiapolizza-3-3 &gt; .panel-title &gt; .accordion-toggle.collapsed[role=\"button\"]"]
Dettaglio + screenshot (accedere con le seguenti credenziali: user, axeposte@gmail.com; password, Poste2024!): https://axe.deque.com/issues/55f63d85-d1db-45fc-8c2d-c3ebcf513821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64" t="e">
        <f>_xlfn.XLOOKUP(Tabella4[[#This Row],[ID Silk]],outTable[ID Silk],outTable[Numero ticket  ],,0,1)</f>
        <v>#N/A</v>
      </c>
    </row>
    <row r="465" spans="1:32">
      <c r="A465" s="34" t="str">
        <f>MID(Tabella4[[#This Row],[Servizio]],1,4)&amp;Tabella4[[#This Row],[UNI CEI EN 301549]]</f>
        <v>S0029.2.5.8</v>
      </c>
      <c r="B465" s="34" t="str">
        <f>Tabella4[[#This Row],[ID Silk]]&amp;"_1"</f>
        <v>S0029.2.5.8_1</v>
      </c>
      <c r="C465" s="34" t="s">
        <v>1810</v>
      </c>
      <c r="D465" s="2" t="str">
        <f>"(#"&amp;Tabella4[[#This Row],['#ID]]&amp;")"</f>
        <v>(#TM0368)</v>
      </c>
      <c r="E465" s="34" t="str">
        <f>IF(MID(Tabella4[[#This Row],['#ID]],1,1)="M","Mobile",IF(MID(Tabella4[[#This Row],['#ID]],1,1)="D","Desktop",IF(MID(Tabella4[[#This Row],['#ID]],1,2)="TM","Manuale","Documenti")))</f>
        <v>Manuale</v>
      </c>
      <c r="F465" s="34" t="s">
        <v>1006</v>
      </c>
      <c r="G465" s="34" t="s">
        <v>372</v>
      </c>
      <c r="H465" s="34" t="str">
        <f>IF(Tabella4[[#This Row],[Componente]]="Documenti","10.","9.")&amp;Tabella4[[#This Row],[Criterio]]</f>
        <v>9.2.5.8</v>
      </c>
      <c r="I465" s="34" t="s">
        <v>1023</v>
      </c>
      <c r="J465" s="34" t="s">
        <v>1032</v>
      </c>
      <c r="K465" s="34" t="s">
        <v>1033</v>
      </c>
      <c r="L465" s="34" t="s">
        <v>1034</v>
      </c>
      <c r="M465" s="34" t="s">
        <v>1035</v>
      </c>
      <c r="N465" t="s">
        <v>1428</v>
      </c>
      <c r="O465" t="s">
        <v>1429</v>
      </c>
      <c r="P465" t="s">
        <v>388</v>
      </c>
      <c r="R465" s="34" t="str">
        <f>IF(Tabella4[[#This Row],[Componente]]="Documenti",_xlfn.XLOOKUP(Tabella4[[#This Row],[URL]],Tabella27[URL],Tabella27[PDF ID],,0),_xlfn.XLOOKUP(Tabella4[[#This Row],[URL]],Tabella1[URL],Tabella1[Page ID],,0))</f>
        <v>#8</v>
      </c>
      <c r="S465" s="34" t="s">
        <v>1004</v>
      </c>
      <c r="T465" t="s">
        <v>518</v>
      </c>
      <c r="V465" t="s">
        <v>519</v>
      </c>
      <c r="W465" s="34" t="s">
        <v>1068</v>
      </c>
      <c r="X465"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id="heading-item-posteinsurancebrokerposteinsurancebroker-moduliguidare-sicuri-fase-di-post-vendita-faq-accordion-cosadevofareperriattivarelamiapolizzasospesa-4-4"&gt;</v>
      </c>
      <c r="Y465" s="34" t="str">
        <f>SUBSTITUTE(IF(Tabella4[[#This Row],[Tool]]="axe-core",MID(Tabella4[[#This Row],[Rejected Element]],3,LEN(Tabella4[[#This Row],[Rejected Element]])-4),Tabella4[[#This Row],[Rejected Element]]),"\","")</f>
        <v>#heading-item-posteinsurancebrokerposteinsurancebroker-moduliguidare-sicuri-fase-di-post-vendita-faq-accordion-cosadevofareperriattivarelamiapolizzasospesa-4-4</v>
      </c>
      <c r="Z465" s="34">
        <f>COUNTIFS(Tabella4[Detail univoco],Tabella4[[#This Row],[Detail univoco]],Tabella4[Rejected Element Univoco],Tabella4[[#This Row],[Rejected Element Univoco]],Tabella4[ItemsNodeLabel],Tabella4[[#This Row],[ItemsNodeLabel]])</f>
        <v>0</v>
      </c>
      <c r="AA465" s="34" t="str">
        <f>IF(Tabella4[[#This Row],[Componente]]="Documenti",VLOOKUP(Tabella4[[#This Row],[URL]],Tabella27[[URL]:[Servizio]],4,FALSE),VLOOKUP(Tabella4[[#This Row],[Page ID]],Tabella1[[Page ID]:[Servizio]],4,FALSE))</f>
        <v>S002 Poste Guidare Sicuri</v>
      </c>
      <c r="AB465" t="s">
        <v>1631</v>
      </c>
      <c r="AC465" s="34" t="str">
        <f>Tabella4[[#This Row],[User Impact]]</f>
        <v>2 - Serious</v>
      </c>
      <c r="AD465" s="34" t="str">
        <f>Copertina!C$2&amp;" - "&amp;Tabella4[[#This Row],[UNI CEI EN 301549]]&amp;" "&amp;VLOOKUP(Tabella4[[#This Row],[Criterio]],Tabella5[[ID]:[Criterio di successo]],2,FALSE)&amp;" - "&amp;Tabella4[[#This Row],[Servizio]]&amp;":"</f>
        <v>Insurance Brocker - 9.2.5.8 Dimensione dell'obiettivo (minimo) - S002 Poste Guidare Sicuri:</v>
      </c>
      <c r="AE46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(#TM0368)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id="heading-item-posteinsurancebrokerposteinsurancebroker-moduliguidare-sicuri-fase-di-post-vendita-faq-accordion-cosadevofareperriattivarelamiapolizzasospesa-4-4"&gt; con selettore: 
["#heading-item-posteinsurancebrokerposteinsurancebroker-moduliguidare-sicuri-fase-di-post-vendita-faq-accordion-cosadevofareperriattivarelamiapolizzasospesa-4-4"]
Dettaglio + screenshot (accedere con le seguenti credenziali: user, axeposte@gmail.com; password, Poste2024!): https://axe.deque.com/issues/5222fc5b-6055-4092-9acc-996b7ae7a4aa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65" t="e">
        <f>_xlfn.XLOOKUP(Tabella4[[#This Row],[ID Silk]],outTable[ID Silk],outTable[Numero ticket  ],,0,1)</f>
        <v>#N/A</v>
      </c>
    </row>
    <row r="466" spans="1:32">
      <c r="A466" s="34" t="str">
        <f>MID(Tabella4[[#This Row],[Servizio]],1,4)&amp;Tabella4[[#This Row],[UNI CEI EN 301549]]</f>
        <v>S0029.2.5.8</v>
      </c>
      <c r="B466" s="34" t="str">
        <f>Tabella4[[#This Row],[ID Silk]]&amp;"_1"</f>
        <v>S0029.2.5.8_1</v>
      </c>
      <c r="C466" s="34" t="s">
        <v>1811</v>
      </c>
      <c r="D466" s="2" t="str">
        <f>"(#"&amp;Tabella4[[#This Row],['#ID]]&amp;")"</f>
        <v>(#TM0369)</v>
      </c>
      <c r="E466" s="34" t="str">
        <f>IF(MID(Tabella4[[#This Row],['#ID]],1,1)="M","Mobile",IF(MID(Tabella4[[#This Row],['#ID]],1,1)="D","Desktop",IF(MID(Tabella4[[#This Row],['#ID]],1,2)="TM","Manuale","Documenti")))</f>
        <v>Manuale</v>
      </c>
      <c r="F466" s="34" t="s">
        <v>1006</v>
      </c>
      <c r="G466" s="34" t="s">
        <v>372</v>
      </c>
      <c r="H466" s="34" t="str">
        <f>IF(Tabella4[[#This Row],[Componente]]="Documenti","10.","9.")&amp;Tabella4[[#This Row],[Criterio]]</f>
        <v>9.2.5.8</v>
      </c>
      <c r="I466" s="34" t="s">
        <v>1023</v>
      </c>
      <c r="J466" s="34" t="s">
        <v>1032</v>
      </c>
      <c r="K466" s="34" t="s">
        <v>1033</v>
      </c>
      <c r="L466" s="34" t="s">
        <v>1034</v>
      </c>
      <c r="M466" s="34" t="s">
        <v>1035</v>
      </c>
      <c r="N466" t="s">
        <v>1632</v>
      </c>
      <c r="O466" t="s">
        <v>1633</v>
      </c>
      <c r="P466" t="s">
        <v>388</v>
      </c>
      <c r="R466" s="34" t="str">
        <f>IF(Tabella4[[#This Row],[Componente]]="Documenti",_xlfn.XLOOKUP(Tabella4[[#This Row],[URL]],Tabella27[URL],Tabella27[PDF ID],,0),_xlfn.XLOOKUP(Tabella4[[#This Row],[URL]],Tabella1[URL],Tabella1[Page ID],,0))</f>
        <v>#8</v>
      </c>
      <c r="S466" s="34" t="s">
        <v>1004</v>
      </c>
      <c r="T466" t="s">
        <v>518</v>
      </c>
      <c r="V466" t="s">
        <v>521</v>
      </c>
      <c r="W466" s="34" t="s">
        <v>1068</v>
      </c>
      <c r="X46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href="#item-posteinsurancebrokerposteinsurancebroker-moduliguidare-sicuri-fase-di-post-vendita-faq-accordion-cosadevofareperriattivarelamiapolizzasospesa-4" aria-expanded="false" aria-controls="item-posteinsurancebrokerposteinsurancebroker-moduliguidare-sicuri-fase-di-post-vendita-faq-accordion-cosadevofareperriattivarelamiapolizzasospesa-4" title="Cosa devo fare per riattivare la mia polizza sospesa?"&gt;</v>
      </c>
      <c r="Y466" s="34" t="str">
        <f>SUBSTITUTE(IF(Tabella4[[#This Row],[Tool]]="axe-core",MID(Tabella4[[#This Row],[Rejected Element]],3,LEN(Tabella4[[#This Row],[Rejected Element]])-4),Tabella4[[#This Row],[Rejected Element]]),"\","")</f>
        <v>#heading-item-posteinsurancebrokerposteinsurancebroker-moduliguidare-sicuri-fase-di-post-vendita-faq-accordion-cosadevofareperriattivarelamiapolizzasospesa-4-4 &gt; .panel-title &gt; .accordion-toggle.collapsed[role="button"]</v>
      </c>
      <c r="Z466" s="34">
        <f>COUNTIFS(Tabella4[Detail univoco],Tabella4[[#This Row],[Detail univoco]],Tabella4[Rejected Element Univoco],Tabella4[[#This Row],[Rejected Element Univoco]],Tabella4[ItemsNodeLabel],Tabella4[[#This Row],[ItemsNodeLabel]])</f>
        <v>0</v>
      </c>
      <c r="AA466" s="34" t="str">
        <f>IF(Tabella4[[#This Row],[Componente]]="Documenti",VLOOKUP(Tabella4[[#This Row],[URL]],Tabella27[[URL]:[Servizio]],4,FALSE),VLOOKUP(Tabella4[[#This Row],[Page ID]],Tabella1[[Page ID]:[Servizio]],4,FALSE))</f>
        <v>S002 Poste Guidare Sicuri</v>
      </c>
      <c r="AB466" t="s">
        <v>1634</v>
      </c>
      <c r="AC466" s="34" t="str">
        <f>Tabella4[[#This Row],[User Impact]]</f>
        <v>2 - Serious</v>
      </c>
      <c r="AD466" s="34" t="str">
        <f>Copertina!C$2&amp;" - "&amp;Tabella4[[#This Row],[UNI CEI EN 301549]]&amp;" "&amp;VLOOKUP(Tabella4[[#This Row],[Criterio]],Tabella5[[ID]:[Criterio di successo]],2,FALSE)&amp;" - "&amp;Tabella4[[#This Row],[Servizio]]&amp;":"</f>
        <v>Insurance Brocker - 9.2.5.8 Dimensione dell'obiettivo (minimo) - S002 Poste Guidare Sicuri:</v>
      </c>
      <c r="AE46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(#TM0369)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href="#item-posteinsurancebrokerposteinsurancebroker-moduliguidare-sicuri-fase-di-post-vendita-faq-accordion-cosadevofareperriattivarelamiapolizzasospesa-4" aria-expanded="false" aria-controls="item-posteinsurancebrokerposteinsurancebroker-moduliguidare-sicuri-fase-di-post-vendita-faq-accordion-cosadevofareperriattivarelamiapolizzasospesa-4" title="Cosa devo fare per riattivare la mia polizza sospesa?"&gt; con selettore: 
["#heading-item-posteinsurancebrokerposteinsurancebroker-moduliguidare-sicuri-fase-di-post-vendita-faq-accordion-cosadevofareperriattivarelamiapolizzasospesa-4-4 &gt; .panel-title &gt; .accordion-toggle.collapsed[role=\"button\"]"]
Dettaglio + screenshot (accedere con le seguenti credenziali: user, axeposte@gmail.com; password, Poste2024!): https://axe.deque.com/issues/7b4a5bd6-099d-4a10-ac2e-8a63c647a772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66" t="e">
        <f>_xlfn.XLOOKUP(Tabella4[[#This Row],[ID Silk]],outTable[ID Silk],outTable[Numero ticket  ],,0,1)</f>
        <v>#N/A</v>
      </c>
    </row>
    <row r="467" spans="1:32">
      <c r="A467" s="34" t="str">
        <f>MID(Tabella4[[#This Row],[Servizio]],1,4)&amp;Tabella4[[#This Row],[UNI CEI EN 301549]]</f>
        <v>S0029.2.5.8</v>
      </c>
      <c r="B467" s="34" t="str">
        <f>Tabella4[[#This Row],[ID Silk]]&amp;"_1"</f>
        <v>S0029.2.5.8_1</v>
      </c>
      <c r="C467" s="34" t="s">
        <v>1812</v>
      </c>
      <c r="D467" s="2" t="str">
        <f>"(#"&amp;Tabella4[[#This Row],['#ID]]&amp;")"</f>
        <v>(#TM0370)</v>
      </c>
      <c r="E467" s="34" t="str">
        <f>IF(MID(Tabella4[[#This Row],['#ID]],1,1)="M","Mobile",IF(MID(Tabella4[[#This Row],['#ID]],1,1)="D","Desktop",IF(MID(Tabella4[[#This Row],['#ID]],1,2)="TM","Manuale","Documenti")))</f>
        <v>Manuale</v>
      </c>
      <c r="F467" s="34" t="s">
        <v>1006</v>
      </c>
      <c r="G467" s="34" t="s">
        <v>372</v>
      </c>
      <c r="H467" s="34" t="str">
        <f>IF(Tabella4[[#This Row],[Componente]]="Documenti","10.","9.")&amp;Tabella4[[#This Row],[Criterio]]</f>
        <v>9.2.5.8</v>
      </c>
      <c r="I467" s="34" t="s">
        <v>1023</v>
      </c>
      <c r="J467" s="34" t="s">
        <v>1032</v>
      </c>
      <c r="K467" s="34" t="s">
        <v>1033</v>
      </c>
      <c r="L467" s="34" t="s">
        <v>1034</v>
      </c>
      <c r="M467" s="34" t="s">
        <v>1035</v>
      </c>
      <c r="N467" t="s">
        <v>1431</v>
      </c>
      <c r="O467" t="s">
        <v>1432</v>
      </c>
      <c r="P467" t="s">
        <v>388</v>
      </c>
      <c r="R467" s="34" t="str">
        <f>IF(Tabella4[[#This Row],[Componente]]="Documenti",_xlfn.XLOOKUP(Tabella4[[#This Row],[URL]],Tabella27[URL],Tabella27[PDF ID],,0),_xlfn.XLOOKUP(Tabella4[[#This Row],[URL]],Tabella1[URL],Tabella1[Page ID],,0))</f>
        <v>#8</v>
      </c>
      <c r="S467" s="34" t="s">
        <v>1004</v>
      </c>
      <c r="T467" t="s">
        <v>518</v>
      </c>
      <c r="V467" t="s">
        <v>519</v>
      </c>
      <c r="W467" s="34" t="s">
        <v>1068</v>
      </c>
      <c r="X467"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id="heading-item-posteinsurancebrokerposteinsurancebroker-moduliguidare-sicuri-fase-di-post-vendita-faq-accordion-possochiudereilmiocontrattoassicurativoprimadellascadenza-5-5"&gt;</v>
      </c>
      <c r="Y467" s="34" t="str">
        <f>SUBSTITUTE(IF(Tabella4[[#This Row],[Tool]]="axe-core",MID(Tabella4[[#This Row],[Rejected Element]],3,LEN(Tabella4[[#This Row],[Rejected Element]])-4),Tabella4[[#This Row],[Rejected Element]]),"\","")</f>
        <v>#heading-item-posteinsurancebrokerposteinsurancebroker-moduliguidare-sicuri-fase-di-post-vendita-faq-accordion-possochiudereilmiocontrattoassicurativoprimadellascadenza-5-5</v>
      </c>
      <c r="Z467" s="34">
        <f>COUNTIFS(Tabella4[Detail univoco],Tabella4[[#This Row],[Detail univoco]],Tabella4[Rejected Element Univoco],Tabella4[[#This Row],[Rejected Element Univoco]],Tabella4[ItemsNodeLabel],Tabella4[[#This Row],[ItemsNodeLabel]])</f>
        <v>0</v>
      </c>
      <c r="AA467" s="34" t="str">
        <f>IF(Tabella4[[#This Row],[Componente]]="Documenti",VLOOKUP(Tabella4[[#This Row],[URL]],Tabella27[[URL]:[Servizio]],4,FALSE),VLOOKUP(Tabella4[[#This Row],[Page ID]],Tabella1[[Page ID]:[Servizio]],4,FALSE))</f>
        <v>S002 Poste Guidare Sicuri</v>
      </c>
      <c r="AB467" t="s">
        <v>1635</v>
      </c>
      <c r="AC467" s="34" t="str">
        <f>Tabella4[[#This Row],[User Impact]]</f>
        <v>2 - Serious</v>
      </c>
      <c r="AD467" s="34" t="str">
        <f>Copertina!C$2&amp;" - "&amp;Tabella4[[#This Row],[UNI CEI EN 301549]]&amp;" "&amp;VLOOKUP(Tabella4[[#This Row],[Criterio]],Tabella5[[ID]:[Criterio di successo]],2,FALSE)&amp;" - "&amp;Tabella4[[#This Row],[Servizio]]&amp;":"</f>
        <v>Insurance Brocker - 9.2.5.8 Dimensione dell'obiettivo (minimo) - S002 Poste Guidare Sicuri:</v>
      </c>
      <c r="AE46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(#TM0370)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id="heading-item-posteinsurancebrokerposteinsurancebroker-moduliguidare-sicuri-fase-di-post-vendita-faq-accordion-possochiudereilmiocontrattoassicurativoprimadellascadenza-5-5"&gt; con selettore: 
["#heading-item-posteinsurancebrokerposteinsurancebroker-moduliguidare-sicuri-fase-di-post-vendita-faq-accordion-possochiudereilmiocontrattoassicurativoprimadellascadenza-5-5"]
Dettaglio + screenshot (accedere con le seguenti credenziali: user, axeposte@gmail.com; password, Poste2024!): https://axe.deque.com/issues/f6bf3a6f-e6c8-4e68-99e5-07e8d2cec81f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67" t="e">
        <f>_xlfn.XLOOKUP(Tabella4[[#This Row],[ID Silk]],outTable[ID Silk],outTable[Numero ticket  ],,0,1)</f>
        <v>#N/A</v>
      </c>
    </row>
    <row r="468" spans="1:32">
      <c r="A468" s="34" t="str">
        <f>MID(Tabella4[[#This Row],[Servizio]],1,4)&amp;Tabella4[[#This Row],[UNI CEI EN 301549]]</f>
        <v>S0029.2.5.8</v>
      </c>
      <c r="B468" s="34" t="str">
        <f>Tabella4[[#This Row],[ID Silk]]&amp;"_1"</f>
        <v>S0029.2.5.8_1</v>
      </c>
      <c r="C468" s="34" t="s">
        <v>1813</v>
      </c>
      <c r="D468" s="2" t="str">
        <f>"(#"&amp;Tabella4[[#This Row],['#ID]]&amp;")"</f>
        <v>(#TM0371)</v>
      </c>
      <c r="E468" s="34" t="str">
        <f>IF(MID(Tabella4[[#This Row],['#ID]],1,1)="M","Mobile",IF(MID(Tabella4[[#This Row],['#ID]],1,1)="D","Desktop",IF(MID(Tabella4[[#This Row],['#ID]],1,2)="TM","Manuale","Documenti")))</f>
        <v>Manuale</v>
      </c>
      <c r="F468" s="34" t="s">
        <v>1006</v>
      </c>
      <c r="G468" s="34" t="s">
        <v>372</v>
      </c>
      <c r="H468" s="34" t="str">
        <f>IF(Tabella4[[#This Row],[Componente]]="Documenti","10.","9.")&amp;Tabella4[[#This Row],[Criterio]]</f>
        <v>9.2.5.8</v>
      </c>
      <c r="I468" s="34" t="s">
        <v>1023</v>
      </c>
      <c r="J468" s="34" t="s">
        <v>1032</v>
      </c>
      <c r="K468" s="34" t="s">
        <v>1033</v>
      </c>
      <c r="L468" s="34" t="s">
        <v>1034</v>
      </c>
      <c r="M468" s="34" t="s">
        <v>1035</v>
      </c>
      <c r="N468" t="s">
        <v>1636</v>
      </c>
      <c r="O468" t="s">
        <v>1637</v>
      </c>
      <c r="P468" t="s">
        <v>388</v>
      </c>
      <c r="R468" s="34" t="str">
        <f>IF(Tabella4[[#This Row],[Componente]]="Documenti",_xlfn.XLOOKUP(Tabella4[[#This Row],[URL]],Tabella27[URL],Tabella27[PDF ID],,0),_xlfn.XLOOKUP(Tabella4[[#This Row],[URL]],Tabella1[URL],Tabella1[Page ID],,0))</f>
        <v>#8</v>
      </c>
      <c r="S468" s="34" t="s">
        <v>1004</v>
      </c>
      <c r="T468" t="s">
        <v>518</v>
      </c>
      <c r="V468" t="s">
        <v>521</v>
      </c>
      <c r="W468" s="34" t="s">
        <v>1068</v>
      </c>
      <c r="X46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href="#item-posteinsurancebrokerposteinsurancebroker-moduliguidare-sicuri-fase-di-post-vendita-faq-accordion-possochiudereilmiocontrattoassicurativoprimadellascadenza-5" aria-expanded="false" aria-controls="item-posteinsurancebrokerposteinsurancebroker-moduliguidare-sicuri-fase-di-post-vendita-faq-accordion-possochiudereilmiocontrattoassicurativoprimadellascadenza-5" title="Posso chiudere il mio contratto assicurativo prima della scadenza?"&gt;</v>
      </c>
      <c r="Y468" s="34" t="str">
        <f>SUBSTITUTE(IF(Tabella4[[#This Row],[Tool]]="axe-core",MID(Tabella4[[#This Row],[Rejected Element]],3,LEN(Tabella4[[#This Row],[Rejected Element]])-4),Tabella4[[#This Row],[Rejected Element]]),"\","")</f>
        <v>#heading-item-posteinsurancebrokerposteinsurancebroker-moduliguidare-sicuri-fase-di-post-vendita-faq-accordion-possochiudereilmiocontrattoassicurativoprimadellascadenza-5-5 &gt; .panel-title &gt; .accordion-toggle.collapsed[role="button"]</v>
      </c>
      <c r="Z468" s="34">
        <f>COUNTIFS(Tabella4[Detail univoco],Tabella4[[#This Row],[Detail univoco]],Tabella4[Rejected Element Univoco],Tabella4[[#This Row],[Rejected Element Univoco]],Tabella4[ItemsNodeLabel],Tabella4[[#This Row],[ItemsNodeLabel]])</f>
        <v>0</v>
      </c>
      <c r="AA468" s="34" t="str">
        <f>IF(Tabella4[[#This Row],[Componente]]="Documenti",VLOOKUP(Tabella4[[#This Row],[URL]],Tabella27[[URL]:[Servizio]],4,FALSE),VLOOKUP(Tabella4[[#This Row],[Page ID]],Tabella1[[Page ID]:[Servizio]],4,FALSE))</f>
        <v>S002 Poste Guidare Sicuri</v>
      </c>
      <c r="AB468" t="s">
        <v>1638</v>
      </c>
      <c r="AC468" s="34" t="str">
        <f>Tabella4[[#This Row],[User Impact]]</f>
        <v>2 - Serious</v>
      </c>
      <c r="AD468" s="34" t="str">
        <f>Copertina!C$2&amp;" - "&amp;Tabella4[[#This Row],[UNI CEI EN 301549]]&amp;" "&amp;VLOOKUP(Tabella4[[#This Row],[Criterio]],Tabella5[[ID]:[Criterio di successo]],2,FALSE)&amp;" - "&amp;Tabella4[[#This Row],[Servizio]]&amp;":"</f>
        <v>Insurance Brocker - 9.2.5.8 Dimensione dell'obiettivo (minimo) - S002 Poste Guidare Sicuri:</v>
      </c>
      <c r="AE46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(#TM0371)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href="#item-posteinsurancebrokerposteinsurancebroker-moduliguidare-sicuri-fase-di-post-vendita-faq-accordion-possochiudereilmiocontrattoassicurativoprimadellascadenza-5" aria-expanded="false" aria-controls="item-posteinsurancebrokerposteinsurancebroker-moduliguidare-sicuri-fase-di-post-vendita-faq-accordion-possochiudereilmiocontrattoassicurativoprimadellascadenza-5" title="Posso chiudere il mio contratto assicurativo prima della scadenza?"&gt; con selettore: 
["#heading-item-posteinsurancebrokerposteinsurancebroker-moduliguidare-sicuri-fase-di-post-vendita-faq-accordion-possochiudereilmiocontrattoassicurativoprimadellascadenza-5-5 &gt; .panel-title &gt; .accordion-toggle.collapsed[role=\"button\"]"]
Dettaglio + screenshot (accedere con le seguenti credenziali: user, axeposte@gmail.com; password, Poste2024!): https://axe.deque.com/issues/4b0d4d36-ec63-48af-a164-dd28bd5d393c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68" t="e">
        <f>_xlfn.XLOOKUP(Tabella4[[#This Row],[ID Silk]],outTable[ID Silk],outTable[Numero ticket  ],,0,1)</f>
        <v>#N/A</v>
      </c>
    </row>
    <row r="469" spans="1:32">
      <c r="A469" s="34" t="str">
        <f>MID(Tabella4[[#This Row],[Servizio]],1,4)&amp;Tabella4[[#This Row],[UNI CEI EN 301549]]</f>
        <v>S0029.2.5.8</v>
      </c>
      <c r="B469" s="34" t="str">
        <f>Tabella4[[#This Row],[ID Silk]]&amp;"_1"</f>
        <v>S0029.2.5.8_1</v>
      </c>
      <c r="C469" s="34" t="s">
        <v>1814</v>
      </c>
      <c r="D469" s="2" t="str">
        <f>"(#"&amp;Tabella4[[#This Row],['#ID]]&amp;")"</f>
        <v>(#TM0372)</v>
      </c>
      <c r="E469" s="34" t="str">
        <f>IF(MID(Tabella4[[#This Row],['#ID]],1,1)="M","Mobile",IF(MID(Tabella4[[#This Row],['#ID]],1,1)="D","Desktop",IF(MID(Tabella4[[#This Row],['#ID]],1,2)="TM","Manuale","Documenti")))</f>
        <v>Manuale</v>
      </c>
      <c r="F469" s="34" t="s">
        <v>1006</v>
      </c>
      <c r="G469" s="34" t="s">
        <v>372</v>
      </c>
      <c r="H469" s="34" t="str">
        <f>IF(Tabella4[[#This Row],[Componente]]="Documenti","10.","9.")&amp;Tabella4[[#This Row],[Criterio]]</f>
        <v>9.2.5.8</v>
      </c>
      <c r="I469" s="34" t="s">
        <v>1023</v>
      </c>
      <c r="J469" s="34" t="s">
        <v>1032</v>
      </c>
      <c r="K469" s="34" t="s">
        <v>1033</v>
      </c>
      <c r="L469" s="34" t="s">
        <v>1034</v>
      </c>
      <c r="M469" s="34" t="s">
        <v>1035</v>
      </c>
      <c r="N469" t="s">
        <v>1434</v>
      </c>
      <c r="O469" t="s">
        <v>1435</v>
      </c>
      <c r="P469" t="s">
        <v>388</v>
      </c>
      <c r="R469" s="34" t="str">
        <f>IF(Tabella4[[#This Row],[Componente]]="Documenti",_xlfn.XLOOKUP(Tabella4[[#This Row],[URL]],Tabella27[URL],Tabella27[PDF ID],,0),_xlfn.XLOOKUP(Tabella4[[#This Row],[URL]],Tabella1[URL],Tabella1[Page ID],,0))</f>
        <v>#8</v>
      </c>
      <c r="S469" s="34" t="s">
        <v>1004</v>
      </c>
      <c r="T469" t="s">
        <v>518</v>
      </c>
      <c r="V469" t="s">
        <v>519</v>
      </c>
      <c r="W469" s="34" t="s">
        <v>1068</v>
      </c>
      <c r="X469"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id="heading-item-posteinsurancebrokerposteinsurancebroker-moduliguidare-sicuri-fase-di-post-vendita-faq-accordion-perqualsiasiinformazionesullostatodeimieisinistrichidevocontattare-6-6"&gt;</v>
      </c>
      <c r="Y469" s="34" t="str">
        <f>SUBSTITUTE(IF(Tabella4[[#This Row],[Tool]]="axe-core",MID(Tabella4[[#This Row],[Rejected Element]],3,LEN(Tabella4[[#This Row],[Rejected Element]])-4),Tabella4[[#This Row],[Rejected Element]]),"\","")</f>
        <v>#heading-item-posteinsurancebrokerposteinsurancebroker-moduliguidare-sicuri-fase-di-post-vendita-faq-accordion-perqualsiasiinformazionesullostatodeimieisinistrichidevocontattare-6-6</v>
      </c>
      <c r="Z469" s="34">
        <f>COUNTIFS(Tabella4[Detail univoco],Tabella4[[#This Row],[Detail univoco]],Tabella4[Rejected Element Univoco],Tabella4[[#This Row],[Rejected Element Univoco]],Tabella4[ItemsNodeLabel],Tabella4[[#This Row],[ItemsNodeLabel]])</f>
        <v>0</v>
      </c>
      <c r="AA469" s="34" t="str">
        <f>IF(Tabella4[[#This Row],[Componente]]="Documenti",VLOOKUP(Tabella4[[#This Row],[URL]],Tabella27[[URL]:[Servizio]],4,FALSE),VLOOKUP(Tabella4[[#This Row],[Page ID]],Tabella1[[Page ID]:[Servizio]],4,FALSE))</f>
        <v>S002 Poste Guidare Sicuri</v>
      </c>
      <c r="AB469" t="s">
        <v>1639</v>
      </c>
      <c r="AC469" s="34" t="str">
        <f>Tabella4[[#This Row],[User Impact]]</f>
        <v>2 - Serious</v>
      </c>
      <c r="AD469" s="34" t="str">
        <f>Copertina!C$2&amp;" - "&amp;Tabella4[[#This Row],[UNI CEI EN 301549]]&amp;" "&amp;VLOOKUP(Tabella4[[#This Row],[Criterio]],Tabella5[[ID]:[Criterio di successo]],2,FALSE)&amp;" - "&amp;Tabella4[[#This Row],[Servizio]]&amp;":"</f>
        <v>Insurance Brocker - 9.2.5.8 Dimensione dell'obiettivo (minimo) - S002 Poste Guidare Sicuri:</v>
      </c>
      <c r="AE46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(#TM0372)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id="heading-item-posteinsurancebrokerposteinsurancebroker-moduliguidare-sicuri-fase-di-post-vendita-faq-accordion-perqualsiasiinformazionesullostatodeimieisinistrichidevocontattare-6-6"&gt; con selettore: 
["#heading-item-posteinsurancebrokerposteinsurancebroker-moduliguidare-sicuri-fase-di-post-vendita-faq-accordion-perqualsiasiinformazionesullostatodeimieisinistrichidevocontattare-6-6"]
Dettaglio + screenshot (accedere con le seguenti credenziali: user, axeposte@gmail.com; password, Poste2024!): https://axe.deque.com/issues/d3e05792-b958-457b-b4eb-a16a62a2becc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69" t="e">
        <f>_xlfn.XLOOKUP(Tabella4[[#This Row],[ID Silk]],outTable[ID Silk],outTable[Numero ticket  ],,0,1)</f>
        <v>#N/A</v>
      </c>
    </row>
    <row r="470" spans="1:32">
      <c r="A470" s="34" t="str">
        <f>MID(Tabella4[[#This Row],[Servizio]],1,4)&amp;Tabella4[[#This Row],[UNI CEI EN 301549]]</f>
        <v>S0029.2.5.8</v>
      </c>
      <c r="B470" s="34" t="str">
        <f>Tabella4[[#This Row],[ID Silk]]&amp;"_1"</f>
        <v>S0029.2.5.8_1</v>
      </c>
      <c r="C470" s="34" t="s">
        <v>1815</v>
      </c>
      <c r="D470" s="2" t="str">
        <f>"(#"&amp;Tabella4[[#This Row],['#ID]]&amp;")"</f>
        <v>(#TM0373)</v>
      </c>
      <c r="E470" s="34" t="str">
        <f>IF(MID(Tabella4[[#This Row],['#ID]],1,1)="M","Mobile",IF(MID(Tabella4[[#This Row],['#ID]],1,1)="D","Desktop",IF(MID(Tabella4[[#This Row],['#ID]],1,2)="TM","Manuale","Documenti")))</f>
        <v>Manuale</v>
      </c>
      <c r="F470" s="34" t="s">
        <v>1006</v>
      </c>
      <c r="G470" s="34" t="s">
        <v>372</v>
      </c>
      <c r="H470" s="34" t="str">
        <f>IF(Tabella4[[#This Row],[Componente]]="Documenti","10.","9.")&amp;Tabella4[[#This Row],[Criterio]]</f>
        <v>9.2.5.8</v>
      </c>
      <c r="I470" s="34" t="s">
        <v>1023</v>
      </c>
      <c r="J470" s="34" t="s">
        <v>1032</v>
      </c>
      <c r="K470" s="34" t="s">
        <v>1033</v>
      </c>
      <c r="L470" s="34" t="s">
        <v>1034</v>
      </c>
      <c r="M470" s="34" t="s">
        <v>1035</v>
      </c>
      <c r="N470" t="s">
        <v>1640</v>
      </c>
      <c r="O470" t="s">
        <v>1641</v>
      </c>
      <c r="P470" t="s">
        <v>388</v>
      </c>
      <c r="R470" s="34" t="str">
        <f>IF(Tabella4[[#This Row],[Componente]]="Documenti",_xlfn.XLOOKUP(Tabella4[[#This Row],[URL]],Tabella27[URL],Tabella27[PDF ID],,0),_xlfn.XLOOKUP(Tabella4[[#This Row],[URL]],Tabella1[URL],Tabella1[Page ID],,0))</f>
        <v>#8</v>
      </c>
      <c r="S470" s="34" t="s">
        <v>1004</v>
      </c>
      <c r="T470" t="s">
        <v>518</v>
      </c>
      <c r="V470" t="s">
        <v>521</v>
      </c>
      <c r="W470" s="34" t="s">
        <v>1068</v>
      </c>
      <c r="X47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href="#item-posteinsurancebrokerposteinsurancebroker-moduliguidare-sicuri-fase-di-post-vendita-faq-accordion-perqualsiasiinformazionesullostatodeimieisinistrichidevocontattare-6" aria-expanded="false" aria-controls="item-posteinsurancebrokerposteinsurancebroker-moduliguidare-sicuri-fase-di-post-vendita-faq-accordion-perqualsiasiinformazionesullostatodeimieisinistrichidevocontattare-6" title="Per qualsiasi informazione sullo stato dei miei sinistri chi devo contattare?"&gt;</v>
      </c>
      <c r="Y470" s="34" t="str">
        <f>SUBSTITUTE(IF(Tabella4[[#This Row],[Tool]]="axe-core",MID(Tabella4[[#This Row],[Rejected Element]],3,LEN(Tabella4[[#This Row],[Rejected Element]])-4),Tabella4[[#This Row],[Rejected Element]]),"\","")</f>
        <v>#heading-item-posteinsurancebrokerposteinsurancebroker-moduliguidare-sicuri-fase-di-post-vendita-faq-accordion-perqualsiasiinformazionesullostatodeimieisinistrichidevocontattare-6-6 &gt; .panel-title &gt; .accordion-toggle.collapsed[role="button"]</v>
      </c>
      <c r="Z470" s="34">
        <f>COUNTIFS(Tabella4[Detail univoco],Tabella4[[#This Row],[Detail univoco]],Tabella4[Rejected Element Univoco],Tabella4[[#This Row],[Rejected Element Univoco]],Tabella4[ItemsNodeLabel],Tabella4[[#This Row],[ItemsNodeLabel]])</f>
        <v>0</v>
      </c>
      <c r="AA470" s="34" t="str">
        <f>IF(Tabella4[[#This Row],[Componente]]="Documenti",VLOOKUP(Tabella4[[#This Row],[URL]],Tabella27[[URL]:[Servizio]],4,FALSE),VLOOKUP(Tabella4[[#This Row],[Page ID]],Tabella1[[Page ID]:[Servizio]],4,FALSE))</f>
        <v>S002 Poste Guidare Sicuri</v>
      </c>
      <c r="AB470" t="s">
        <v>1642</v>
      </c>
      <c r="AC470" s="34" t="str">
        <f>Tabella4[[#This Row],[User Impact]]</f>
        <v>2 - Serious</v>
      </c>
      <c r="AD470" s="34" t="str">
        <f>Copertina!C$2&amp;" - "&amp;Tabella4[[#This Row],[UNI CEI EN 301549]]&amp;" "&amp;VLOOKUP(Tabella4[[#This Row],[Criterio]],Tabella5[[ID]:[Criterio di successo]],2,FALSE)&amp;" - "&amp;Tabella4[[#This Row],[Servizio]]&amp;":"</f>
        <v>Insurance Brocker - 9.2.5.8 Dimensione dell'obiettivo (minimo) - S002 Poste Guidare Sicuri:</v>
      </c>
      <c r="AE47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(#TM0373)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href="#item-posteinsurancebrokerposteinsurancebroker-moduliguidare-sicuri-fase-di-post-vendita-faq-accordion-perqualsiasiinformazionesullostatodeimieisinistrichidevocontattare-6" aria-expanded="false" aria-controls="item-posteinsurancebrokerposteinsurancebroker-moduliguidare-sicuri-fase-di-post-vendita-faq-accordion-perqualsiasiinformazionesullostatodeimieisinistrichidevocontattare-6" title="Per qualsiasi informazione sullo stato dei miei sinistri chi devo contattare?"&gt; con selettore: 
["#heading-item-posteinsurancebrokerposteinsurancebroker-moduliguidare-sicuri-fase-di-post-vendita-faq-accordion-perqualsiasiinformazionesullostatodeimieisinistrichidevocontattare-6-6 &gt; .panel-title &gt; .accordion-toggle.collapsed[role=\"button\"]"]
Dettaglio + screenshot (accedere con le seguenti credenziali: user, axeposte@gmail.com; password, Poste2024!): https://axe.deque.com/issues/c1ffeda7-6f7b-4b0f-813f-f3cb5d20fe0c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70" t="e">
        <f>_xlfn.XLOOKUP(Tabella4[[#This Row],[ID Silk]],outTable[ID Silk],outTable[Numero ticket  ],,0,1)</f>
        <v>#N/A</v>
      </c>
    </row>
    <row r="471" spans="1:32">
      <c r="A471" s="34" t="str">
        <f>MID(Tabella4[[#This Row],[Servizio]],1,4)&amp;Tabella4[[#This Row],[UNI CEI EN 301549]]</f>
        <v>S0029.2.5.8</v>
      </c>
      <c r="B471" s="34" t="str">
        <f>Tabella4[[#This Row],[ID Silk]]&amp;"_1"</f>
        <v>S0029.2.5.8_1</v>
      </c>
      <c r="C471" s="34" t="s">
        <v>1816</v>
      </c>
      <c r="D471" s="2" t="str">
        <f>"(#"&amp;Tabella4[[#This Row],['#ID]]&amp;")"</f>
        <v>(#TM0374)</v>
      </c>
      <c r="E471" s="34" t="str">
        <f>IF(MID(Tabella4[[#This Row],['#ID]],1,1)="M","Mobile",IF(MID(Tabella4[[#This Row],['#ID]],1,1)="D","Desktop",IF(MID(Tabella4[[#This Row],['#ID]],1,2)="TM","Manuale","Documenti")))</f>
        <v>Manuale</v>
      </c>
      <c r="F471" s="34" t="s">
        <v>1006</v>
      </c>
      <c r="G471" s="34" t="s">
        <v>372</v>
      </c>
      <c r="H471" s="34" t="str">
        <f>IF(Tabella4[[#This Row],[Componente]]="Documenti","10.","9.")&amp;Tabella4[[#This Row],[Criterio]]</f>
        <v>9.2.5.8</v>
      </c>
      <c r="I471" s="34" t="s">
        <v>1023</v>
      </c>
      <c r="J471" s="34" t="s">
        <v>1032</v>
      </c>
      <c r="K471" s="34" t="s">
        <v>1033</v>
      </c>
      <c r="L471" s="34" t="s">
        <v>1034</v>
      </c>
      <c r="M471" s="34" t="s">
        <v>1035</v>
      </c>
      <c r="N471" t="s">
        <v>1437</v>
      </c>
      <c r="O471" t="s">
        <v>1438</v>
      </c>
      <c r="P471" t="s">
        <v>388</v>
      </c>
      <c r="R471" s="34" t="str">
        <f>IF(Tabella4[[#This Row],[Componente]]="Documenti",_xlfn.XLOOKUP(Tabella4[[#This Row],[URL]],Tabella27[URL],Tabella27[PDF ID],,0),_xlfn.XLOOKUP(Tabella4[[#This Row],[URL]],Tabella1[URL],Tabella1[Page ID],,0))</f>
        <v>#8</v>
      </c>
      <c r="S471" s="34" t="s">
        <v>1004</v>
      </c>
      <c r="T471" t="s">
        <v>518</v>
      </c>
      <c r="V471" t="s">
        <v>519</v>
      </c>
      <c r="W471" s="34" t="s">
        <v>1068</v>
      </c>
      <c r="X471"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id="heading-item-posteinsurancebrokerposteinsurancebroker-moduliguidare-sicuri-fase-di-post-vendita-faq-accordion-cosadevofareincasodiincidente-7-7"&gt;</v>
      </c>
      <c r="Y471" s="34" t="str">
        <f>SUBSTITUTE(IF(Tabella4[[#This Row],[Tool]]="axe-core",MID(Tabella4[[#This Row],[Rejected Element]],3,LEN(Tabella4[[#This Row],[Rejected Element]])-4),Tabella4[[#This Row],[Rejected Element]]),"\","")</f>
        <v>#heading-item-posteinsurancebrokerposteinsurancebroker-moduliguidare-sicuri-fase-di-post-vendita-faq-accordion-cosadevofareincasodiincidente-7-7</v>
      </c>
      <c r="Z471" s="34">
        <f>COUNTIFS(Tabella4[Detail univoco],Tabella4[[#This Row],[Detail univoco]],Tabella4[Rejected Element Univoco],Tabella4[[#This Row],[Rejected Element Univoco]],Tabella4[ItemsNodeLabel],Tabella4[[#This Row],[ItemsNodeLabel]])</f>
        <v>0</v>
      </c>
      <c r="AA471" s="34" t="str">
        <f>IF(Tabella4[[#This Row],[Componente]]="Documenti",VLOOKUP(Tabella4[[#This Row],[URL]],Tabella27[[URL]:[Servizio]],4,FALSE),VLOOKUP(Tabella4[[#This Row],[Page ID]],Tabella1[[Page ID]:[Servizio]],4,FALSE))</f>
        <v>S002 Poste Guidare Sicuri</v>
      </c>
      <c r="AB471" t="s">
        <v>1643</v>
      </c>
      <c r="AC471" s="34" t="str">
        <f>Tabella4[[#This Row],[User Impact]]</f>
        <v>2 - Serious</v>
      </c>
      <c r="AD471" s="34" t="str">
        <f>Copertina!C$2&amp;" - "&amp;Tabella4[[#This Row],[UNI CEI EN 301549]]&amp;" "&amp;VLOOKUP(Tabella4[[#This Row],[Criterio]],Tabella5[[ID]:[Criterio di successo]],2,FALSE)&amp;" - "&amp;Tabella4[[#This Row],[Servizio]]&amp;":"</f>
        <v>Insurance Brocker - 9.2.5.8 Dimensione dell'obiettivo (minimo) - S002 Poste Guidare Sicuri:</v>
      </c>
      <c r="AE47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(#TM0374)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id="heading-item-posteinsurancebrokerposteinsurancebroker-moduliguidare-sicuri-fase-di-post-vendita-faq-accordion-cosadevofareincasodiincidente-7-7"&gt; con selettore: 
["#heading-item-posteinsurancebrokerposteinsurancebroker-moduliguidare-sicuri-fase-di-post-vendita-faq-accordion-cosadevofareincasodiincidente-7-7"]
Dettaglio + screenshot (accedere con le seguenti credenziali: user, axeposte@gmail.com; password, Poste2024!): https://axe.deque.com/issues/741531c9-a2ef-43ab-930d-7c04dbd1cc50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71" t="e">
        <f>_xlfn.XLOOKUP(Tabella4[[#This Row],[ID Silk]],outTable[ID Silk],outTable[Numero ticket  ],,0,1)</f>
        <v>#N/A</v>
      </c>
    </row>
    <row r="472" spans="1:32">
      <c r="A472" s="34" t="str">
        <f>MID(Tabella4[[#This Row],[Servizio]],1,4)&amp;Tabella4[[#This Row],[UNI CEI EN 301549]]</f>
        <v>S0029.2.5.8</v>
      </c>
      <c r="B472" s="34" t="str">
        <f>Tabella4[[#This Row],[ID Silk]]&amp;"_1"</f>
        <v>S0029.2.5.8_1</v>
      </c>
      <c r="C472" s="34" t="s">
        <v>1817</v>
      </c>
      <c r="D472" s="2" t="str">
        <f>"(#"&amp;Tabella4[[#This Row],['#ID]]&amp;")"</f>
        <v>(#TM0375)</v>
      </c>
      <c r="E472" s="34" t="str">
        <f>IF(MID(Tabella4[[#This Row],['#ID]],1,1)="M","Mobile",IF(MID(Tabella4[[#This Row],['#ID]],1,1)="D","Desktop",IF(MID(Tabella4[[#This Row],['#ID]],1,2)="TM","Manuale","Documenti")))</f>
        <v>Manuale</v>
      </c>
      <c r="F472" s="34" t="s">
        <v>1006</v>
      </c>
      <c r="G472" s="34" t="s">
        <v>372</v>
      </c>
      <c r="H472" s="34" t="str">
        <f>IF(Tabella4[[#This Row],[Componente]]="Documenti","10.","9.")&amp;Tabella4[[#This Row],[Criterio]]</f>
        <v>9.2.5.8</v>
      </c>
      <c r="I472" s="34" t="s">
        <v>1023</v>
      </c>
      <c r="J472" s="34" t="s">
        <v>1032</v>
      </c>
      <c r="K472" s="34" t="s">
        <v>1033</v>
      </c>
      <c r="L472" s="34" t="s">
        <v>1034</v>
      </c>
      <c r="M472" s="34" t="s">
        <v>1035</v>
      </c>
      <c r="N472" t="s">
        <v>1644</v>
      </c>
      <c r="O472" t="s">
        <v>1645</v>
      </c>
      <c r="P472" t="s">
        <v>388</v>
      </c>
      <c r="R472" s="34" t="str">
        <f>IF(Tabella4[[#This Row],[Componente]]="Documenti",_xlfn.XLOOKUP(Tabella4[[#This Row],[URL]],Tabella27[URL],Tabella27[PDF ID],,0),_xlfn.XLOOKUP(Tabella4[[#This Row],[URL]],Tabella1[URL],Tabella1[Page ID],,0))</f>
        <v>#8</v>
      </c>
      <c r="S472" s="34" t="s">
        <v>1004</v>
      </c>
      <c r="T472" t="s">
        <v>518</v>
      </c>
      <c r="V472" t="s">
        <v>521</v>
      </c>
      <c r="W472" s="34" t="s">
        <v>1068</v>
      </c>
      <c r="X472"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href="#item-posteinsurancebrokerposteinsurancebroker-moduliguidare-sicuri-fase-di-post-vendita-faq-accordion-cosadevofareincasodiincidente-7" aria-expanded="false" aria-controls="item-posteinsurancebrokerposteinsurancebroker-moduliguidare-sicuri-fase-di-post-vendita-faq-accordion-cosadevofareincasodiincidente-7" title="Cosa devo fare in caso di incidente?"&gt;</v>
      </c>
      <c r="Y472" s="34" t="str">
        <f>SUBSTITUTE(IF(Tabella4[[#This Row],[Tool]]="axe-core",MID(Tabella4[[#This Row],[Rejected Element]],3,LEN(Tabella4[[#This Row],[Rejected Element]])-4),Tabella4[[#This Row],[Rejected Element]]),"\","")</f>
        <v>#heading-item-posteinsurancebrokerposteinsurancebroker-moduliguidare-sicuri-fase-di-post-vendita-faq-accordion-cosadevofareincasodiincidente-7-7 &gt; .panel-title &gt; .accordion-toggle.collapsed[role="button"]</v>
      </c>
      <c r="Z472" s="34">
        <f>COUNTIFS(Tabella4[Detail univoco],Tabella4[[#This Row],[Detail univoco]],Tabella4[Rejected Element Univoco],Tabella4[[#This Row],[Rejected Element Univoco]],Tabella4[ItemsNodeLabel],Tabella4[[#This Row],[ItemsNodeLabel]])</f>
        <v>0</v>
      </c>
      <c r="AA472" s="34" t="str">
        <f>IF(Tabella4[[#This Row],[Componente]]="Documenti",VLOOKUP(Tabella4[[#This Row],[URL]],Tabella27[[URL]:[Servizio]],4,FALSE),VLOOKUP(Tabella4[[#This Row],[Page ID]],Tabella1[[Page ID]:[Servizio]],4,FALSE))</f>
        <v>S002 Poste Guidare Sicuri</v>
      </c>
      <c r="AB472" t="s">
        <v>1646</v>
      </c>
      <c r="AC472" s="34" t="str">
        <f>Tabella4[[#This Row],[User Impact]]</f>
        <v>2 - Serious</v>
      </c>
      <c r="AD472" s="34" t="str">
        <f>Copertina!C$2&amp;" - "&amp;Tabella4[[#This Row],[UNI CEI EN 301549]]&amp;" "&amp;VLOOKUP(Tabella4[[#This Row],[Criterio]],Tabella5[[ID]:[Criterio di successo]],2,FALSE)&amp;" - "&amp;Tabella4[[#This Row],[Servizio]]&amp;":"</f>
        <v>Insurance Brocker - 9.2.5.8 Dimensione dell'obiettivo (minimo) - S002 Poste Guidare Sicuri:</v>
      </c>
      <c r="AE47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(#TM0375)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href="#item-posteinsurancebrokerposteinsurancebroker-moduliguidare-sicuri-fase-di-post-vendita-faq-accordion-cosadevofareincasodiincidente-7" aria-expanded="false" aria-controls="item-posteinsurancebrokerposteinsurancebroker-moduliguidare-sicuri-fase-di-post-vendita-faq-accordion-cosadevofareincasodiincidente-7" title="Cosa devo fare in caso di incidente?"&gt; con selettore: 
["#heading-item-posteinsurancebrokerposteinsurancebroker-moduliguidare-sicuri-fase-di-post-vendita-faq-accordion-cosadevofareincasodiincidente-7-7 &gt; .panel-title &gt; .accordion-toggle.collapsed[role=\"button\"]"]
Dettaglio + screenshot (accedere con le seguenti credenziali: user, axeposte@gmail.com; password, Poste2024!): https://axe.deque.com/issues/f18cf6de-75ee-4fb2-8d67-0e7dcd0c4509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72" t="e">
        <f>_xlfn.XLOOKUP(Tabella4[[#This Row],[ID Silk]],outTable[ID Silk],outTable[Numero ticket  ],,0,1)</f>
        <v>#N/A</v>
      </c>
    </row>
    <row r="473" spans="1:32">
      <c r="A473" s="34" t="str">
        <f>MID(Tabella4[[#This Row],[Servizio]],1,4)&amp;Tabella4[[#This Row],[UNI CEI EN 301549]]</f>
        <v>S0029.2.5.8</v>
      </c>
      <c r="B473" s="34" t="str">
        <f>Tabella4[[#This Row],[ID Silk]]&amp;"_1"</f>
        <v>S0029.2.5.8_1</v>
      </c>
      <c r="C473" s="34" t="s">
        <v>1818</v>
      </c>
      <c r="D473" s="2" t="str">
        <f>"(#"&amp;Tabella4[[#This Row],['#ID]]&amp;")"</f>
        <v>(#TM0376)</v>
      </c>
      <c r="E473" s="34" t="str">
        <f>IF(MID(Tabella4[[#This Row],['#ID]],1,1)="M","Mobile",IF(MID(Tabella4[[#This Row],['#ID]],1,1)="D","Desktop",IF(MID(Tabella4[[#This Row],['#ID]],1,2)="TM","Manuale","Documenti")))</f>
        <v>Manuale</v>
      </c>
      <c r="F473" s="34" t="s">
        <v>1006</v>
      </c>
      <c r="G473" s="34" t="s">
        <v>372</v>
      </c>
      <c r="H473" s="34" t="str">
        <f>IF(Tabella4[[#This Row],[Componente]]="Documenti","10.","9.")&amp;Tabella4[[#This Row],[Criterio]]</f>
        <v>9.2.5.8</v>
      </c>
      <c r="I473" s="34" t="s">
        <v>1023</v>
      </c>
      <c r="J473" s="34" t="s">
        <v>1032</v>
      </c>
      <c r="K473" s="34" t="s">
        <v>1033</v>
      </c>
      <c r="L473" s="34" t="s">
        <v>1034</v>
      </c>
      <c r="M473" s="34" t="s">
        <v>1035</v>
      </c>
      <c r="N473" t="s">
        <v>1440</v>
      </c>
      <c r="O473" t="s">
        <v>1441</v>
      </c>
      <c r="P473" t="s">
        <v>388</v>
      </c>
      <c r="R473" s="34" t="str">
        <f>IF(Tabella4[[#This Row],[Componente]]="Documenti",_xlfn.XLOOKUP(Tabella4[[#This Row],[URL]],Tabella27[URL],Tabella27[PDF ID],,0),_xlfn.XLOOKUP(Tabella4[[#This Row],[URL]],Tabella1[URL],Tabella1[Page ID],,0))</f>
        <v>#8</v>
      </c>
      <c r="S473" s="34" t="s">
        <v>1004</v>
      </c>
      <c r="T473" t="s">
        <v>518</v>
      </c>
      <c r="V473" t="s">
        <v>519</v>
      </c>
      <c r="W473" s="34" t="s">
        <v>1068</v>
      </c>
      <c r="X473"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id="heading-item-posteinsurancebrokerposteinsurancebroker-moduliguidare-sicuri-fase-di-post-vendita-faq-accordion-cosadevofareperpagarelaratasemestraledellapolizza-8-8"&gt;</v>
      </c>
      <c r="Y473" s="34" t="str">
        <f>SUBSTITUTE(IF(Tabella4[[#This Row],[Tool]]="axe-core",MID(Tabella4[[#This Row],[Rejected Element]],3,LEN(Tabella4[[#This Row],[Rejected Element]])-4),Tabella4[[#This Row],[Rejected Element]]),"\","")</f>
        <v>#heading-item-posteinsurancebrokerposteinsurancebroker-moduliguidare-sicuri-fase-di-post-vendita-faq-accordion-cosadevofareperpagarelaratasemestraledellapolizza-8-8</v>
      </c>
      <c r="Z473" s="34">
        <f>COUNTIFS(Tabella4[Detail univoco],Tabella4[[#This Row],[Detail univoco]],Tabella4[Rejected Element Univoco],Tabella4[[#This Row],[Rejected Element Univoco]],Tabella4[ItemsNodeLabel],Tabella4[[#This Row],[ItemsNodeLabel]])</f>
        <v>0</v>
      </c>
      <c r="AA473" s="34" t="str">
        <f>IF(Tabella4[[#This Row],[Componente]]="Documenti",VLOOKUP(Tabella4[[#This Row],[URL]],Tabella27[[URL]:[Servizio]],4,FALSE),VLOOKUP(Tabella4[[#This Row],[Page ID]],Tabella1[[Page ID]:[Servizio]],4,FALSE))</f>
        <v>S002 Poste Guidare Sicuri</v>
      </c>
      <c r="AB473" t="s">
        <v>1647</v>
      </c>
      <c r="AC473" s="34" t="str">
        <f>Tabella4[[#This Row],[User Impact]]</f>
        <v>2 - Serious</v>
      </c>
      <c r="AD473" s="34" t="str">
        <f>Copertina!C$2&amp;" - "&amp;Tabella4[[#This Row],[UNI CEI EN 301549]]&amp;" "&amp;VLOOKUP(Tabella4[[#This Row],[Criterio]],Tabella5[[ID]:[Criterio di successo]],2,FALSE)&amp;" - "&amp;Tabella4[[#This Row],[Servizio]]&amp;":"</f>
        <v>Insurance Brocker - 9.2.5.8 Dimensione dell'obiettivo (minimo) - S002 Poste Guidare Sicuri:</v>
      </c>
      <c r="AE47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(#TM0376)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id="heading-item-posteinsurancebrokerposteinsurancebroker-moduliguidare-sicuri-fase-di-post-vendita-faq-accordion-cosadevofareperpagarelaratasemestraledellapolizza-8-8"&gt; con selettore: 
["#heading-item-posteinsurancebrokerposteinsurancebroker-moduliguidare-sicuri-fase-di-post-vendita-faq-accordion-cosadevofareperpagarelaratasemestraledellapolizza-8-8"]
Dettaglio + screenshot (accedere con le seguenti credenziali: user, axeposte@gmail.com; password, Poste2024!): https://axe.deque.com/issues/e3cde3da-8f4b-42c8-a7cc-cdf10a4c4eed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73" t="e">
        <f>_xlfn.XLOOKUP(Tabella4[[#This Row],[ID Silk]],outTable[ID Silk],outTable[Numero ticket  ],,0,1)</f>
        <v>#N/A</v>
      </c>
    </row>
    <row r="474" spans="1:32">
      <c r="A474" s="34" t="str">
        <f>MID(Tabella4[[#This Row],[Servizio]],1,4)&amp;Tabella4[[#This Row],[UNI CEI EN 301549]]</f>
        <v>S0029.2.5.8</v>
      </c>
      <c r="B474" s="34" t="str">
        <f>Tabella4[[#This Row],[ID Silk]]&amp;"_1"</f>
        <v>S0029.2.5.8_1</v>
      </c>
      <c r="C474" s="34" t="s">
        <v>1819</v>
      </c>
      <c r="D474" s="2" t="str">
        <f>"(#"&amp;Tabella4[[#This Row],['#ID]]&amp;")"</f>
        <v>(#TM0377)</v>
      </c>
      <c r="E474" s="34" t="str">
        <f>IF(MID(Tabella4[[#This Row],['#ID]],1,1)="M","Mobile",IF(MID(Tabella4[[#This Row],['#ID]],1,1)="D","Desktop",IF(MID(Tabella4[[#This Row],['#ID]],1,2)="TM","Manuale","Documenti")))</f>
        <v>Manuale</v>
      </c>
      <c r="F474" s="34" t="s">
        <v>1006</v>
      </c>
      <c r="G474" s="34" t="s">
        <v>372</v>
      </c>
      <c r="H474" s="34" t="str">
        <f>IF(Tabella4[[#This Row],[Componente]]="Documenti","10.","9.")&amp;Tabella4[[#This Row],[Criterio]]</f>
        <v>9.2.5.8</v>
      </c>
      <c r="I474" s="34" t="s">
        <v>1023</v>
      </c>
      <c r="J474" s="34" t="s">
        <v>1032</v>
      </c>
      <c r="K474" s="34" t="s">
        <v>1033</v>
      </c>
      <c r="L474" s="34" t="s">
        <v>1034</v>
      </c>
      <c r="M474" s="34" t="s">
        <v>1035</v>
      </c>
      <c r="N474" t="s">
        <v>1648</v>
      </c>
      <c r="O474" t="s">
        <v>1649</v>
      </c>
      <c r="P474" t="s">
        <v>388</v>
      </c>
      <c r="R474" s="34" t="str">
        <f>IF(Tabella4[[#This Row],[Componente]]="Documenti",_xlfn.XLOOKUP(Tabella4[[#This Row],[URL]],Tabella27[URL],Tabella27[PDF ID],,0),_xlfn.XLOOKUP(Tabella4[[#This Row],[URL]],Tabella1[URL],Tabella1[Page ID],,0))</f>
        <v>#8</v>
      </c>
      <c r="S474" s="34" t="s">
        <v>1004</v>
      </c>
      <c r="T474" t="s">
        <v>518</v>
      </c>
      <c r="V474" t="s">
        <v>521</v>
      </c>
      <c r="W474" s="34" t="s">
        <v>1068</v>
      </c>
      <c r="X474"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href="#item-posteinsurancebrokerposteinsurancebroker-moduliguidare-sicuri-fase-di-post-vendita-faq-accordion-cosadevofareperpagarelaratasemestraledellapolizza-8" aria-expanded="false" aria-controls="item-posteinsurancebrokerposteinsurancebroker-moduliguidare-sicuri-fase-di-post-vendita-faq-accordion-cosadevofareperpagarelaratasemestraledellapolizza-8" title="Cosa devo fare per pagare la rata semestrale della polizza?"&gt;</v>
      </c>
      <c r="Y474" s="34" t="str">
        <f>SUBSTITUTE(IF(Tabella4[[#This Row],[Tool]]="axe-core",MID(Tabella4[[#This Row],[Rejected Element]],3,LEN(Tabella4[[#This Row],[Rejected Element]])-4),Tabella4[[#This Row],[Rejected Element]]),"\","")</f>
        <v>#heading-item-posteinsurancebrokerposteinsurancebroker-moduliguidare-sicuri-fase-di-post-vendita-faq-accordion-cosadevofareperpagarelaratasemestraledellapolizza-8-8 &gt; .panel-title &gt; .accordion-toggle.collapsed[role="button"]</v>
      </c>
      <c r="Z474" s="34">
        <f>COUNTIFS(Tabella4[Detail univoco],Tabella4[[#This Row],[Detail univoco]],Tabella4[Rejected Element Univoco],Tabella4[[#This Row],[Rejected Element Univoco]],Tabella4[ItemsNodeLabel],Tabella4[[#This Row],[ItemsNodeLabel]])</f>
        <v>0</v>
      </c>
      <c r="AA474" s="34" t="str">
        <f>IF(Tabella4[[#This Row],[Componente]]="Documenti",VLOOKUP(Tabella4[[#This Row],[URL]],Tabella27[[URL]:[Servizio]],4,FALSE),VLOOKUP(Tabella4[[#This Row],[Page ID]],Tabella1[[Page ID]:[Servizio]],4,FALSE))</f>
        <v>S002 Poste Guidare Sicuri</v>
      </c>
      <c r="AB474" t="s">
        <v>1650</v>
      </c>
      <c r="AC474" s="34" t="str">
        <f>Tabella4[[#This Row],[User Impact]]</f>
        <v>2 - Serious</v>
      </c>
      <c r="AD474" s="34" t="str">
        <f>Copertina!C$2&amp;" - "&amp;Tabella4[[#This Row],[UNI CEI EN 301549]]&amp;" "&amp;VLOOKUP(Tabella4[[#This Row],[Criterio]],Tabella5[[ID]:[Criterio di successo]],2,FALSE)&amp;" - "&amp;Tabella4[[#This Row],[Servizio]]&amp;":"</f>
        <v>Insurance Brocker - 9.2.5.8 Dimensione dell'obiettivo (minimo) - S002 Poste Guidare Sicuri:</v>
      </c>
      <c r="AE47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(#TM0377)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href="#item-posteinsurancebrokerposteinsurancebroker-moduliguidare-sicuri-fase-di-post-vendita-faq-accordion-cosadevofareperpagarelaratasemestraledellapolizza-8" aria-expanded="false" aria-controls="item-posteinsurancebrokerposteinsurancebroker-moduliguidare-sicuri-fase-di-post-vendita-faq-accordion-cosadevofareperpagarelaratasemestraledellapolizza-8" title="Cosa devo fare per pagare la rata semestrale della polizza?"&gt; con selettore: 
["#heading-item-posteinsurancebrokerposteinsurancebroker-moduliguidare-sicuri-fase-di-post-vendita-faq-accordion-cosadevofareperpagarelaratasemestraledellapolizza-8-8 &gt; .panel-title &gt; .accordion-toggle.collapsed[role=\"button\"]"]
Dettaglio + screenshot (accedere con le seguenti credenziali: user, axeposte@gmail.com; password, Poste2024!): https://axe.deque.com/issues/11b2b2e7-4a64-4a5a-9a1f-a5798816efcc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74" t="e">
        <f>_xlfn.XLOOKUP(Tabella4[[#This Row],[ID Silk]],outTable[ID Silk],outTable[Numero ticket  ],,0,1)</f>
        <v>#N/A</v>
      </c>
    </row>
    <row r="475" spans="1:32">
      <c r="A475" s="34" t="str">
        <f>MID(Tabella4[[#This Row],[Servizio]],1,4)&amp;Tabella4[[#This Row],[UNI CEI EN 301549]]</f>
        <v>S0029.2.5.8</v>
      </c>
      <c r="B475" s="34" t="str">
        <f>Tabella4[[#This Row],[ID Silk]]&amp;"_1"</f>
        <v>S0029.2.5.8_1</v>
      </c>
      <c r="C475" s="34" t="s">
        <v>1820</v>
      </c>
      <c r="D475" s="2" t="str">
        <f>"(#"&amp;Tabella4[[#This Row],['#ID]]&amp;")"</f>
        <v>(#TM0378)</v>
      </c>
      <c r="E475" s="34" t="str">
        <f>IF(MID(Tabella4[[#This Row],['#ID]],1,1)="M","Mobile",IF(MID(Tabella4[[#This Row],['#ID]],1,1)="D","Desktop",IF(MID(Tabella4[[#This Row],['#ID]],1,2)="TM","Manuale","Documenti")))</f>
        <v>Manuale</v>
      </c>
      <c r="F475" s="34" t="s">
        <v>1006</v>
      </c>
      <c r="G475" s="34" t="s">
        <v>372</v>
      </c>
      <c r="H475" s="34" t="str">
        <f>IF(Tabella4[[#This Row],[Componente]]="Documenti","10.","9.")&amp;Tabella4[[#This Row],[Criterio]]</f>
        <v>9.2.5.8</v>
      </c>
      <c r="I475" s="34" t="s">
        <v>1023</v>
      </c>
      <c r="J475" s="34" t="s">
        <v>1032</v>
      </c>
      <c r="K475" s="34" t="s">
        <v>1033</v>
      </c>
      <c r="L475" s="34" t="s">
        <v>1034</v>
      </c>
      <c r="M475" s="34" t="s">
        <v>1035</v>
      </c>
      <c r="N475" t="s">
        <v>1443</v>
      </c>
      <c r="O475" t="s">
        <v>1444</v>
      </c>
      <c r="P475" t="s">
        <v>388</v>
      </c>
      <c r="R475" s="34" t="str">
        <f>IF(Tabella4[[#This Row],[Componente]]="Documenti",_xlfn.XLOOKUP(Tabella4[[#This Row],[URL]],Tabella27[URL],Tabella27[PDF ID],,0),_xlfn.XLOOKUP(Tabella4[[#This Row],[URL]],Tabella1[URL],Tabella1[Page ID],,0))</f>
        <v>#8</v>
      </c>
      <c r="S475" s="34" t="s">
        <v>1004</v>
      </c>
      <c r="T475" t="s">
        <v>518</v>
      </c>
      <c r="V475" t="s">
        <v>519</v>
      </c>
      <c r="W475" s="34" t="s">
        <v>1068</v>
      </c>
      <c r="X475"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id="heading-item-posteinsurancebrokerposteinsurancebroker-moduliguidare-sicuri-fase-di-post-vendita-faq-accordion-ilrinnovodipolizzapossibilesoloinupoanchetramitelareariservatadellacompagniapartner-9-9"&gt;</v>
      </c>
      <c r="Y475" s="34" t="str">
        <f>SUBSTITUTE(IF(Tabella4[[#This Row],[Tool]]="axe-core",MID(Tabella4[[#This Row],[Rejected Element]],3,LEN(Tabella4[[#This Row],[Rejected Element]])-4),Tabella4[[#This Row],[Rejected Element]]),"\","")</f>
        <v>#heading-item-posteinsurancebrokerposteinsurancebroker-moduliguidare-sicuri-fase-di-post-vendita-faq-accordion-ilrinnovodipolizzapossibilesoloinupoanchetramitelareariservatadellacompagniapartner-9-9</v>
      </c>
      <c r="Z475" s="34">
        <f>COUNTIFS(Tabella4[Detail univoco],Tabella4[[#This Row],[Detail univoco]],Tabella4[Rejected Element Univoco],Tabella4[[#This Row],[Rejected Element Univoco]],Tabella4[ItemsNodeLabel],Tabella4[[#This Row],[ItemsNodeLabel]])</f>
        <v>0</v>
      </c>
      <c r="AA475" s="34" t="str">
        <f>IF(Tabella4[[#This Row],[Componente]]="Documenti",VLOOKUP(Tabella4[[#This Row],[URL]],Tabella27[[URL]:[Servizio]],4,FALSE),VLOOKUP(Tabella4[[#This Row],[Page ID]],Tabella1[[Page ID]:[Servizio]],4,FALSE))</f>
        <v>S002 Poste Guidare Sicuri</v>
      </c>
      <c r="AB475" t="s">
        <v>1651</v>
      </c>
      <c r="AC475" s="34" t="str">
        <f>Tabella4[[#This Row],[User Impact]]</f>
        <v>2 - Serious</v>
      </c>
      <c r="AD475" s="34" t="str">
        <f>Copertina!C$2&amp;" - "&amp;Tabella4[[#This Row],[UNI CEI EN 301549]]&amp;" "&amp;VLOOKUP(Tabella4[[#This Row],[Criterio]],Tabella5[[ID]:[Criterio di successo]],2,FALSE)&amp;" - "&amp;Tabella4[[#This Row],[Servizio]]&amp;":"</f>
        <v>Insurance Brocker - 9.2.5.8 Dimensione dell'obiettivo (minimo) - S002 Poste Guidare Sicuri:</v>
      </c>
      <c r="AE475"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(#TM0378)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id="heading-item-posteinsurancebrokerposteinsurancebroker-moduliguidare-sicuri-fase-di-post-vendita-faq-accordion-ilrinnovodipolizzapossibilesoloinupoanchetramitelareariservatadellacompagniapartner-9-9"&gt; con selettore: 
["#heading-item-posteinsurancebrokerposteinsurancebroker-moduliguidare-sicuri-fase-di-post-vendita-faq-accordion-ilrinnovodipolizzapossibilesoloinupoanchetramitelareariservatadellacompagniapartner-9-9"]
Dettaglio + screenshot (accedere con le seguenti credenziali: user, axeposte@gmail.com; password, Poste2024!): https://axe.deque.com/issues/1c3be779-3e14-4d3b-975c-574dcfdf72e3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75" t="e">
        <f>_xlfn.XLOOKUP(Tabella4[[#This Row],[ID Silk]],outTable[ID Silk],outTable[Numero ticket  ],,0,1)</f>
        <v>#N/A</v>
      </c>
    </row>
    <row r="476" spans="1:32">
      <c r="A476" s="34" t="str">
        <f>MID(Tabella4[[#This Row],[Servizio]],1,4)&amp;Tabella4[[#This Row],[UNI CEI EN 301549]]</f>
        <v>S0029.2.5.8</v>
      </c>
      <c r="B476" s="34" t="str">
        <f>Tabella4[[#This Row],[ID Silk]]&amp;"_1"</f>
        <v>S0029.2.5.8_1</v>
      </c>
      <c r="C476" s="34" t="s">
        <v>1821</v>
      </c>
      <c r="D476" s="2" t="str">
        <f>"(#"&amp;Tabella4[[#This Row],['#ID]]&amp;")"</f>
        <v>(#TM0379)</v>
      </c>
      <c r="E476" s="34" t="str">
        <f>IF(MID(Tabella4[[#This Row],['#ID]],1,1)="M","Mobile",IF(MID(Tabella4[[#This Row],['#ID]],1,1)="D","Desktop",IF(MID(Tabella4[[#This Row],['#ID]],1,2)="TM","Manuale","Documenti")))</f>
        <v>Manuale</v>
      </c>
      <c r="F476" s="34" t="s">
        <v>1006</v>
      </c>
      <c r="G476" s="34" t="s">
        <v>372</v>
      </c>
      <c r="H476" s="34" t="str">
        <f>IF(Tabella4[[#This Row],[Componente]]="Documenti","10.","9.")&amp;Tabella4[[#This Row],[Criterio]]</f>
        <v>9.2.5.8</v>
      </c>
      <c r="I476" s="34" t="s">
        <v>1023</v>
      </c>
      <c r="J476" s="34" t="s">
        <v>1032</v>
      </c>
      <c r="K476" s="34" t="s">
        <v>1033</v>
      </c>
      <c r="L476" s="34" t="s">
        <v>1034</v>
      </c>
      <c r="M476" s="34" t="s">
        <v>1035</v>
      </c>
      <c r="N476" t="s">
        <v>1652</v>
      </c>
      <c r="O476" t="s">
        <v>1653</v>
      </c>
      <c r="P476" t="s">
        <v>388</v>
      </c>
      <c r="R476" s="34" t="str">
        <f>IF(Tabella4[[#This Row],[Componente]]="Documenti",_xlfn.XLOOKUP(Tabella4[[#This Row],[URL]],Tabella27[URL],Tabella27[PDF ID],,0),_xlfn.XLOOKUP(Tabella4[[#This Row],[URL]],Tabella1[URL],Tabella1[Page ID],,0))</f>
        <v>#8</v>
      </c>
      <c r="S476" s="34" t="s">
        <v>1004</v>
      </c>
      <c r="T476" t="s">
        <v>518</v>
      </c>
      <c r="V476" t="s">
        <v>521</v>
      </c>
      <c r="W476" s="34" t="s">
        <v>1068</v>
      </c>
      <c r="X476"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href="#item-posteinsurancebrokerposteinsurancebroker-moduliguidare-sicuri-fase-di-post-vendita-faq-accordion-ilrinnovodipolizzapossibilesoloinupoanchetramitelareariservatadellacompagniapartner-9" aria-expanded="false" aria-controls="item-posteinsurancebrokerposteinsurancebroker-moduliguidare-sicuri-fase-di-post-vendita-faq-accordion-ilrinnovodipolizzapossibilesoloinupoanchetramitelareariservatadellacompagniapartner-9" title="Il rinnovo di polizza è possibile solo in UP, o anche tramite l’area riservata della Compagnia Partner?"&gt;</v>
      </c>
      <c r="Y476" s="34" t="str">
        <f>SUBSTITUTE(IF(Tabella4[[#This Row],[Tool]]="axe-core",MID(Tabella4[[#This Row],[Rejected Element]],3,LEN(Tabella4[[#This Row],[Rejected Element]])-4),Tabella4[[#This Row],[Rejected Element]]),"\","")</f>
        <v>#heading-item-posteinsurancebrokerposteinsurancebroker-moduliguidare-sicuri-fase-di-post-vendita-faq-accordion-ilrinnovodipolizzapossibilesoloinupoanchetramitelareariservatadellacompagniapartner-9-9 &gt; .panel-title &gt; .accordion-toggle.collapsed[role="button"]</v>
      </c>
      <c r="Z476" s="34">
        <f>COUNTIFS(Tabella4[Detail univoco],Tabella4[[#This Row],[Detail univoco]],Tabella4[Rejected Element Univoco],Tabella4[[#This Row],[Rejected Element Univoco]],Tabella4[ItemsNodeLabel],Tabella4[[#This Row],[ItemsNodeLabel]])</f>
        <v>0</v>
      </c>
      <c r="AA476" s="34" t="str">
        <f>IF(Tabella4[[#This Row],[Componente]]="Documenti",VLOOKUP(Tabella4[[#This Row],[URL]],Tabella27[[URL]:[Servizio]],4,FALSE),VLOOKUP(Tabella4[[#This Row],[Page ID]],Tabella1[[Page ID]:[Servizio]],4,FALSE))</f>
        <v>S002 Poste Guidare Sicuri</v>
      </c>
      <c r="AB476" t="s">
        <v>1654</v>
      </c>
      <c r="AC476" s="34" t="str">
        <f>Tabella4[[#This Row],[User Impact]]</f>
        <v>2 - Serious</v>
      </c>
      <c r="AD476" s="34" t="str">
        <f>Copertina!C$2&amp;" - "&amp;Tabella4[[#This Row],[UNI CEI EN 301549]]&amp;" "&amp;VLOOKUP(Tabella4[[#This Row],[Criterio]],Tabella5[[ID]:[Criterio di successo]],2,FALSE)&amp;" - "&amp;Tabella4[[#This Row],[Servizio]]&amp;":"</f>
        <v>Insurance Brocker - 9.2.5.8 Dimensione dell'obiettivo (minimo) - S002 Poste Guidare Sicuri:</v>
      </c>
      <c r="AE476"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(#TM0379)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href="#item-posteinsurancebrokerposteinsurancebroker-moduliguidare-sicuri-fase-di-post-vendita-faq-accordion-ilrinnovodipolizzapossibilesoloinupoanchetramitelareariservatadellacompagniapartner-9" aria-expanded="false" aria-controls="item-posteinsurancebrokerposteinsurancebroker-moduliguidare-sicuri-fase-di-post-vendita-faq-accordion-ilrinnovodipolizzapossibilesoloinupoanchetramitelareariservatadellacompagniapartner-9" title="Il rinnovo di polizza è possibile solo in UP, o anche tramite l’area riservata della Compagnia Partner?"&gt; con selettore: 
["#heading-item-posteinsurancebrokerposteinsurancebroker-moduliguidare-sicuri-fase-di-post-vendita-faq-accordion-ilrinnovodipolizzapossibilesoloinupoanchetramitelareariservatadellacompagniapartner-9-9 &gt; .panel-title &gt; .accordion-toggle.collapsed[role=\"button\"]"]
Dettaglio + screenshot (accedere con le seguenti credenziali: user, axeposte@gmail.com; password, Poste2024!): https://axe.deque.com/issues/5d0e2845-b049-45e4-8323-6b8b48ee001d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76" t="e">
        <f>_xlfn.XLOOKUP(Tabella4[[#This Row],[ID Silk]],outTable[ID Silk],outTable[Numero ticket  ],,0,1)</f>
        <v>#N/A</v>
      </c>
    </row>
    <row r="477" spans="1:32">
      <c r="A477" s="34" t="str">
        <f>MID(Tabella4[[#This Row],[Servizio]],1,4)&amp;Tabella4[[#This Row],[UNI CEI EN 301549]]</f>
        <v>S0029.2.5.8</v>
      </c>
      <c r="B477" s="34" t="str">
        <f>Tabella4[[#This Row],[ID Silk]]&amp;"_1"</f>
        <v>S0029.2.5.8_1</v>
      </c>
      <c r="C477" s="34" t="s">
        <v>1822</v>
      </c>
      <c r="D477" s="2" t="str">
        <f>"(#"&amp;Tabella4[[#This Row],['#ID]]&amp;")"</f>
        <v>(#TM0380)</v>
      </c>
      <c r="E477" s="34" t="str">
        <f>IF(MID(Tabella4[[#This Row],['#ID]],1,1)="M","Mobile",IF(MID(Tabella4[[#This Row],['#ID]],1,1)="D","Desktop",IF(MID(Tabella4[[#This Row],['#ID]],1,2)="TM","Manuale","Documenti")))</f>
        <v>Manuale</v>
      </c>
      <c r="F477" s="34" t="s">
        <v>1006</v>
      </c>
      <c r="G477" s="34" t="s">
        <v>372</v>
      </c>
      <c r="H477" s="34" t="str">
        <f>IF(Tabella4[[#This Row],[Componente]]="Documenti","10.","9.")&amp;Tabella4[[#This Row],[Criterio]]</f>
        <v>9.2.5.8</v>
      </c>
      <c r="I477" s="34" t="s">
        <v>1023</v>
      </c>
      <c r="J477" s="34" t="s">
        <v>1032</v>
      </c>
      <c r="K477" s="34" t="s">
        <v>1033</v>
      </c>
      <c r="L477" s="34" t="s">
        <v>1034</v>
      </c>
      <c r="M477" s="34" t="s">
        <v>1035</v>
      </c>
      <c r="N477" t="s">
        <v>1446</v>
      </c>
      <c r="O477" t="s">
        <v>1447</v>
      </c>
      <c r="P477" t="s">
        <v>388</v>
      </c>
      <c r="R477" s="34" t="str">
        <f>IF(Tabella4[[#This Row],[Componente]]="Documenti",_xlfn.XLOOKUP(Tabella4[[#This Row],[URL]],Tabella27[URL],Tabella27[PDF ID],,0),_xlfn.XLOOKUP(Tabella4[[#This Row],[URL]],Tabella1[URL],Tabella1[Page ID],,0))</f>
        <v>#8</v>
      </c>
      <c r="S477" s="34" t="s">
        <v>1004</v>
      </c>
      <c r="T477" t="s">
        <v>518</v>
      </c>
      <c r="V477" t="s">
        <v>519</v>
      </c>
      <c r="W477" s="34" t="s">
        <v>1068</v>
      </c>
      <c r="X477"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id="heading-item-posteinsurancebrokerposteinsurancebroker-moduliguidare-sicuri-fase-di-post-vendita-faq-accordion-possocambiaremetododipagamentoperlaratasemestrale-10-10"&gt;</v>
      </c>
      <c r="Y477" s="34" t="str">
        <f>SUBSTITUTE(IF(Tabella4[[#This Row],[Tool]]="axe-core",MID(Tabella4[[#This Row],[Rejected Element]],3,LEN(Tabella4[[#This Row],[Rejected Element]])-4),Tabella4[[#This Row],[Rejected Element]]),"\","")</f>
        <v>#heading-item-posteinsurancebrokerposteinsurancebroker-moduliguidare-sicuri-fase-di-post-vendita-faq-accordion-possocambiaremetododipagamentoperlaratasemestrale-10-10</v>
      </c>
      <c r="Z477" s="34">
        <f>COUNTIFS(Tabella4[Detail univoco],Tabella4[[#This Row],[Detail univoco]],Tabella4[Rejected Element Univoco],Tabella4[[#This Row],[Rejected Element Univoco]],Tabella4[ItemsNodeLabel],Tabella4[[#This Row],[ItemsNodeLabel]])</f>
        <v>0</v>
      </c>
      <c r="AA477" s="34" t="str">
        <f>IF(Tabella4[[#This Row],[Componente]]="Documenti",VLOOKUP(Tabella4[[#This Row],[URL]],Tabella27[[URL]:[Servizio]],4,FALSE),VLOOKUP(Tabella4[[#This Row],[Page ID]],Tabella1[[Page ID]:[Servizio]],4,FALSE))</f>
        <v>S002 Poste Guidare Sicuri</v>
      </c>
      <c r="AB477" t="s">
        <v>1655</v>
      </c>
      <c r="AC477" s="34" t="str">
        <f>Tabella4[[#This Row],[User Impact]]</f>
        <v>2 - Serious</v>
      </c>
      <c r="AD477" s="34" t="str">
        <f>Copertina!C$2&amp;" - "&amp;Tabella4[[#This Row],[UNI CEI EN 301549]]&amp;" "&amp;VLOOKUP(Tabella4[[#This Row],[Criterio]],Tabella5[[ID]:[Criterio di successo]],2,FALSE)&amp;" - "&amp;Tabella4[[#This Row],[Servizio]]&amp;":"</f>
        <v>Insurance Brocker - 9.2.5.8 Dimensione dell'obiettivo (minimo) - S002 Poste Guidare Sicuri:</v>
      </c>
      <c r="AE477"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(#TM0380)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id="heading-item-posteinsurancebrokerposteinsurancebroker-moduliguidare-sicuri-fase-di-post-vendita-faq-accordion-possocambiaremetododipagamentoperlaratasemestrale-10-10"&gt; con selettore: 
["#heading-item-posteinsurancebrokerposteinsurancebroker-moduliguidare-sicuri-fase-di-post-vendita-faq-accordion-possocambiaremetododipagamentoperlaratasemestrale-10-10"]
Dettaglio + screenshot (accedere con le seguenti credenziali: user, axeposte@gmail.com; password, Poste2024!): https://axe.deque.com/issues/8fcae5a6-2e2d-4d58-bd4c-cc9fc01b8164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77" t="e">
        <f>_xlfn.XLOOKUP(Tabella4[[#This Row],[ID Silk]],outTable[ID Silk],outTable[Numero ticket  ],,0,1)</f>
        <v>#N/A</v>
      </c>
    </row>
    <row r="478" spans="1:32">
      <c r="A478" s="34" t="str">
        <f>MID(Tabella4[[#This Row],[Servizio]],1,4)&amp;Tabella4[[#This Row],[UNI CEI EN 301549]]</f>
        <v>S0029.2.5.8</v>
      </c>
      <c r="B478" s="34" t="str">
        <f>Tabella4[[#This Row],[ID Silk]]&amp;"_1"</f>
        <v>S0029.2.5.8_1</v>
      </c>
      <c r="C478" s="34" t="s">
        <v>1823</v>
      </c>
      <c r="D478" s="2" t="str">
        <f>"(#"&amp;Tabella4[[#This Row],['#ID]]&amp;")"</f>
        <v>(#TM0381)</v>
      </c>
      <c r="E478" s="34" t="str">
        <f>IF(MID(Tabella4[[#This Row],['#ID]],1,1)="M","Mobile",IF(MID(Tabella4[[#This Row],['#ID]],1,1)="D","Desktop",IF(MID(Tabella4[[#This Row],['#ID]],1,2)="TM","Manuale","Documenti")))</f>
        <v>Manuale</v>
      </c>
      <c r="F478" s="34" t="s">
        <v>1006</v>
      </c>
      <c r="G478" s="34" t="s">
        <v>372</v>
      </c>
      <c r="H478" s="34" t="str">
        <f>IF(Tabella4[[#This Row],[Componente]]="Documenti","10.","9.")&amp;Tabella4[[#This Row],[Criterio]]</f>
        <v>9.2.5.8</v>
      </c>
      <c r="I478" s="34" t="s">
        <v>1023</v>
      </c>
      <c r="J478" s="34" t="s">
        <v>1032</v>
      </c>
      <c r="K478" s="34" t="s">
        <v>1033</v>
      </c>
      <c r="L478" s="34" t="s">
        <v>1034</v>
      </c>
      <c r="M478" s="34" t="s">
        <v>1035</v>
      </c>
      <c r="N478" t="s">
        <v>1656</v>
      </c>
      <c r="O478" t="s">
        <v>1657</v>
      </c>
      <c r="P478" t="s">
        <v>388</v>
      </c>
      <c r="R478" s="34" t="str">
        <f>IF(Tabella4[[#This Row],[Componente]]="Documenti",_xlfn.XLOOKUP(Tabella4[[#This Row],[URL]],Tabella27[URL],Tabella27[PDF ID],,0),_xlfn.XLOOKUP(Tabella4[[#This Row],[URL]],Tabella1[URL],Tabella1[Page ID],,0))</f>
        <v>#8</v>
      </c>
      <c r="S478" s="34" t="s">
        <v>1004</v>
      </c>
      <c r="T478" t="s">
        <v>518</v>
      </c>
      <c r="V478" t="s">
        <v>521</v>
      </c>
      <c r="W478" s="34" t="s">
        <v>1068</v>
      </c>
      <c r="X478"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href="#item-posteinsurancebrokerposteinsurancebroker-moduliguidare-sicuri-fase-di-post-vendita-faq-accordion-possocambiaremetododipagamentoperlaratasemestrale-10" aria-expanded="false" aria-controls="item-posteinsurancebrokerposteinsurancebroker-moduliguidare-sicuri-fase-di-post-vendita-faq-accordion-possocambiaremetododipagamentoperlaratasemestrale-10" title="Posso cambiare metodo di pagamento per la rata semestrale?"&gt;</v>
      </c>
      <c r="Y478" s="34" t="str">
        <f>SUBSTITUTE(IF(Tabella4[[#This Row],[Tool]]="axe-core",MID(Tabella4[[#This Row],[Rejected Element]],3,LEN(Tabella4[[#This Row],[Rejected Element]])-4),Tabella4[[#This Row],[Rejected Element]]),"\","")</f>
        <v>#heading-item-posteinsurancebrokerposteinsurancebroker-moduliguidare-sicuri-fase-di-post-vendita-faq-accordion-possocambiaremetododipagamentoperlaratasemestrale-10-10 &gt; .panel-title &gt; .accordion-toggle.collapsed[role="button"]</v>
      </c>
      <c r="Z478" s="34">
        <f>COUNTIFS(Tabella4[Detail univoco],Tabella4[[#This Row],[Detail univoco]],Tabella4[Rejected Element Univoco],Tabella4[[#This Row],[Rejected Element Univoco]],Tabella4[ItemsNodeLabel],Tabella4[[#This Row],[ItemsNodeLabel]])</f>
        <v>0</v>
      </c>
      <c r="AA478" s="34" t="str">
        <f>IF(Tabella4[[#This Row],[Componente]]="Documenti",VLOOKUP(Tabella4[[#This Row],[URL]],Tabella27[[URL]:[Servizio]],4,FALSE),VLOOKUP(Tabella4[[#This Row],[Page ID]],Tabella1[[Page ID]:[Servizio]],4,FALSE))</f>
        <v>S002 Poste Guidare Sicuri</v>
      </c>
      <c r="AB478" t="s">
        <v>1658</v>
      </c>
      <c r="AC478" s="34" t="str">
        <f>Tabella4[[#This Row],[User Impact]]</f>
        <v>2 - Serious</v>
      </c>
      <c r="AD478" s="34" t="str">
        <f>Copertina!C$2&amp;" - "&amp;Tabella4[[#This Row],[UNI CEI EN 301549]]&amp;" "&amp;VLOOKUP(Tabella4[[#This Row],[Criterio]],Tabella5[[ID]:[Criterio di successo]],2,FALSE)&amp;" - "&amp;Tabella4[[#This Row],[Servizio]]&amp;":"</f>
        <v>Insurance Brocker - 9.2.5.8 Dimensione dell'obiettivo (minimo) - S002 Poste Guidare Sicuri:</v>
      </c>
      <c r="AE478"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(#TM0381)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href="#item-posteinsurancebrokerposteinsurancebroker-moduliguidare-sicuri-fase-di-post-vendita-faq-accordion-possocambiaremetododipagamentoperlaratasemestrale-10" aria-expanded="false" aria-controls="item-posteinsurancebrokerposteinsurancebroker-moduliguidare-sicuri-fase-di-post-vendita-faq-accordion-possocambiaremetododipagamentoperlaratasemestrale-10" title="Posso cambiare metodo di pagamento per la rata semestrale?"&gt; con selettore: 
["#heading-item-posteinsurancebrokerposteinsurancebroker-moduliguidare-sicuri-fase-di-post-vendita-faq-accordion-possocambiaremetododipagamentoperlaratasemestrale-10-10 &gt; .panel-title &gt; .accordion-toggle.collapsed[role=\"button\"]"]
Dettaglio + screenshot (accedere con le seguenti credenziali: user, axeposte@gmail.com; password, Poste2024!): https://axe.deque.com/issues/200db599-111f-4d24-9887-bbd5dbcb8ba8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78" t="e">
        <f>_xlfn.XLOOKUP(Tabella4[[#This Row],[ID Silk]],outTable[ID Silk],outTable[Numero ticket  ],,0,1)</f>
        <v>#N/A</v>
      </c>
    </row>
    <row r="479" spans="1:32">
      <c r="A479" s="34" t="str">
        <f>MID(Tabella4[[#This Row],[Servizio]],1,4)&amp;Tabella4[[#This Row],[UNI CEI EN 301549]]</f>
        <v>S0029.2.5.8</v>
      </c>
      <c r="B479" s="34" t="str">
        <f>Tabella4[[#This Row],[ID Silk]]&amp;"_1"</f>
        <v>S0029.2.5.8_1</v>
      </c>
      <c r="C479" s="34" t="s">
        <v>1824</v>
      </c>
      <c r="D479" s="2" t="str">
        <f>"(#"&amp;Tabella4[[#This Row],['#ID]]&amp;")"</f>
        <v>(#TM0382)</v>
      </c>
      <c r="E479" s="34" t="str">
        <f>IF(MID(Tabella4[[#This Row],['#ID]],1,1)="M","Mobile",IF(MID(Tabella4[[#This Row],['#ID]],1,1)="D","Desktop",IF(MID(Tabella4[[#This Row],['#ID]],1,2)="TM","Manuale","Documenti")))</f>
        <v>Manuale</v>
      </c>
      <c r="F479" s="34" t="s">
        <v>1006</v>
      </c>
      <c r="G479" s="34" t="s">
        <v>372</v>
      </c>
      <c r="H479" s="34" t="str">
        <f>IF(Tabella4[[#This Row],[Componente]]="Documenti","10.","9.")&amp;Tabella4[[#This Row],[Criterio]]</f>
        <v>9.2.5.8</v>
      </c>
      <c r="I479" s="34" t="s">
        <v>1023</v>
      </c>
      <c r="J479" s="34" t="s">
        <v>1032</v>
      </c>
      <c r="K479" s="34" t="s">
        <v>1033</v>
      </c>
      <c r="L479" s="34" t="s">
        <v>1034</v>
      </c>
      <c r="M479" s="34" t="s">
        <v>1035</v>
      </c>
      <c r="N479" t="s">
        <v>1449</v>
      </c>
      <c r="O479" t="s">
        <v>1450</v>
      </c>
      <c r="P479" t="s">
        <v>388</v>
      </c>
      <c r="R479" s="34" t="str">
        <f>IF(Tabella4[[#This Row],[Componente]]="Documenti",_xlfn.XLOOKUP(Tabella4[[#This Row],[URL]],Tabella27[URL],Tabella27[PDF ID],,0),_xlfn.XLOOKUP(Tabella4[[#This Row],[URL]],Tabella1[URL],Tabella1[Page ID],,0))</f>
        <v>#8</v>
      </c>
      <c r="S479" s="34" t="s">
        <v>1004</v>
      </c>
      <c r="T479" t="s">
        <v>518</v>
      </c>
      <c r="V479" t="s">
        <v>519</v>
      </c>
      <c r="W479" s="34" t="s">
        <v>1068</v>
      </c>
      <c r="X479"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id="heading-item-posteinsurancebrokerposteinsurancebroker-moduliguidare-sicuri-fase-di-post-vendita-faq-accordion-comepossorinnovarelamiaassicurazionercauto-11-11"&gt;</v>
      </c>
      <c r="Y479" s="34" t="str">
        <f>SUBSTITUTE(IF(Tabella4[[#This Row],[Tool]]="axe-core",MID(Tabella4[[#This Row],[Rejected Element]],3,LEN(Tabella4[[#This Row],[Rejected Element]])-4),Tabella4[[#This Row],[Rejected Element]]),"\","")</f>
        <v>#heading-item-posteinsurancebrokerposteinsurancebroker-moduliguidare-sicuri-fase-di-post-vendita-faq-accordion-comepossorinnovarelamiaassicurazionercauto-11-11</v>
      </c>
      <c r="Z479" s="34">
        <f>COUNTIFS(Tabella4[Detail univoco],Tabella4[[#This Row],[Detail univoco]],Tabella4[Rejected Element Univoco],Tabella4[[#This Row],[Rejected Element Univoco]],Tabella4[ItemsNodeLabel],Tabella4[[#This Row],[ItemsNodeLabel]])</f>
        <v>0</v>
      </c>
      <c r="AA479" s="34" t="str">
        <f>IF(Tabella4[[#This Row],[Componente]]="Documenti",VLOOKUP(Tabella4[[#This Row],[URL]],Tabella27[[URL]:[Servizio]],4,FALSE),VLOOKUP(Tabella4[[#This Row],[Page ID]],Tabella1[[Page ID]:[Servizio]],4,FALSE))</f>
        <v>S002 Poste Guidare Sicuri</v>
      </c>
      <c r="AB479" t="s">
        <v>1659</v>
      </c>
      <c r="AC479" s="34" t="str">
        <f>Tabella4[[#This Row],[User Impact]]</f>
        <v>2 - Serious</v>
      </c>
      <c r="AD479" s="34" t="str">
        <f>Copertina!C$2&amp;" - "&amp;Tabella4[[#This Row],[UNI CEI EN 301549]]&amp;" "&amp;VLOOKUP(Tabella4[[#This Row],[Criterio]],Tabella5[[ID]:[Criterio di successo]],2,FALSE)&amp;" - "&amp;Tabella4[[#This Row],[Servizio]]&amp;":"</f>
        <v>Insurance Brocker - 9.2.5.8 Dimensione dell'obiettivo (minimo) - S002 Poste Guidare Sicuri:</v>
      </c>
      <c r="AE479"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(#TM0382)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id="heading-item-posteinsurancebrokerposteinsurancebroker-moduliguidare-sicuri-fase-di-post-vendita-faq-accordion-comepossorinnovarelamiaassicurazionercauto-11-11"&gt; con selettore: 
["#heading-item-posteinsurancebrokerposteinsurancebroker-moduliguidare-sicuri-fase-di-post-vendita-faq-accordion-comepossorinnovarelamiaassicurazionercauto-11-11"]
Dettaglio + screenshot (accedere con le seguenti credenziali: user, axeposte@gmail.com; password, Poste2024!): https://axe.deque.com/issues/826287d0-1a42-45e1-8ed6-d022215c6a2f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79" t="e">
        <f>_xlfn.XLOOKUP(Tabella4[[#This Row],[ID Silk]],outTable[ID Silk],outTable[Numero ticket  ],,0,1)</f>
        <v>#N/A</v>
      </c>
    </row>
    <row r="480" spans="1:32">
      <c r="A480" s="34" t="str">
        <f>MID(Tabella4[[#This Row],[Servizio]],1,4)&amp;Tabella4[[#This Row],[UNI CEI EN 301549]]</f>
        <v>S0029.2.5.8</v>
      </c>
      <c r="B480" s="34" t="str">
        <f>Tabella4[[#This Row],[ID Silk]]&amp;"_1"</f>
        <v>S0029.2.5.8_1</v>
      </c>
      <c r="C480" s="34" t="s">
        <v>1825</v>
      </c>
      <c r="D480" s="2" t="str">
        <f>"(#"&amp;Tabella4[[#This Row],['#ID]]&amp;")"</f>
        <v>(#TM0383)</v>
      </c>
      <c r="E480" s="34" t="str">
        <f>IF(MID(Tabella4[[#This Row],['#ID]],1,1)="M","Mobile",IF(MID(Tabella4[[#This Row],['#ID]],1,1)="D","Desktop",IF(MID(Tabella4[[#This Row],['#ID]],1,2)="TM","Manuale","Documenti")))</f>
        <v>Manuale</v>
      </c>
      <c r="F480" s="34" t="s">
        <v>1006</v>
      </c>
      <c r="G480" s="34" t="s">
        <v>372</v>
      </c>
      <c r="H480" s="34" t="str">
        <f>IF(Tabella4[[#This Row],[Componente]]="Documenti","10.","9.")&amp;Tabella4[[#This Row],[Criterio]]</f>
        <v>9.2.5.8</v>
      </c>
      <c r="I480" s="34" t="s">
        <v>1023</v>
      </c>
      <c r="J480" s="34" t="s">
        <v>1032</v>
      </c>
      <c r="K480" s="34" t="s">
        <v>1033</v>
      </c>
      <c r="L480" s="34" t="s">
        <v>1034</v>
      </c>
      <c r="M480" s="34" t="s">
        <v>1035</v>
      </c>
      <c r="N480" t="s">
        <v>1660</v>
      </c>
      <c r="O480" t="s">
        <v>1661</v>
      </c>
      <c r="P480" t="s">
        <v>388</v>
      </c>
      <c r="R480" s="34" t="str">
        <f>IF(Tabella4[[#This Row],[Componente]]="Documenti",_xlfn.XLOOKUP(Tabella4[[#This Row],[URL]],Tabella27[URL],Tabella27[PDF ID],,0),_xlfn.XLOOKUP(Tabella4[[#This Row],[URL]],Tabella1[URL],Tabella1[Page ID],,0))</f>
        <v>#8</v>
      </c>
      <c r="S480" s="34" t="s">
        <v>1004</v>
      </c>
      <c r="T480" t="s">
        <v>518</v>
      </c>
      <c r="V480" t="s">
        <v>521</v>
      </c>
      <c r="W480" s="34" t="s">
        <v>1068</v>
      </c>
      <c r="X480" s="34" t="str">
        <f>IFERROR(IF(Tabella4[[#This Row],[Tool]]="lighthouse",Tabella4[[#This Row],[Detail]],MID(Tabella4[[#This Row],[Detail]],1,FIND("&gt;",Tabella4[[#This Row],[Detail]]))),Tabella4[[#This Row],[Detail]])</f>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href="#item-posteinsurancebrokerposteinsurancebroker-moduliguidare-sicuri-fase-di-post-vendita-faq-accordion-comepossorinnovarelamiaassicurazionercauto-11" aria-expanded="false" aria-controls="item-posteinsurancebrokerposteinsurancebroker-moduliguidare-sicuri-fase-di-post-vendita-faq-accordion-comepossorinnovarelamiaassicurazionercauto-11" title="Come posso rinnovare la mia assicurazione RCAuto?"&gt;</v>
      </c>
      <c r="Y480" s="34" t="str">
        <f>SUBSTITUTE(IF(Tabella4[[#This Row],[Tool]]="axe-core",MID(Tabella4[[#This Row],[Rejected Element]],3,LEN(Tabella4[[#This Row],[Rejected Element]])-4),Tabella4[[#This Row],[Rejected Element]]),"\","")</f>
        <v>#heading-item-posteinsurancebrokerposteinsurancebroker-moduliguidare-sicuri-fase-di-post-vendita-faq-accordion-comepossorinnovarelamiaassicurazionercauto-11-11 &gt; .panel-title &gt; .accordion-toggle.collapsed[role="button"]</v>
      </c>
      <c r="Z480" s="34">
        <f>COUNTIFS(Tabella4[Detail univoco],Tabella4[[#This Row],[Detail univoco]],Tabella4[Rejected Element Univoco],Tabella4[[#This Row],[Rejected Element Univoco]],Tabella4[ItemsNodeLabel],Tabella4[[#This Row],[ItemsNodeLabel]])</f>
        <v>0</v>
      </c>
      <c r="AA480" s="34" t="str">
        <f>IF(Tabella4[[#This Row],[Componente]]="Documenti",VLOOKUP(Tabella4[[#This Row],[URL]],Tabella27[[URL]:[Servizio]],4,FALSE),VLOOKUP(Tabella4[[#This Row],[Page ID]],Tabella1[[Page ID]:[Servizio]],4,FALSE))</f>
        <v>S002 Poste Guidare Sicuri</v>
      </c>
      <c r="AB480" t="s">
        <v>1662</v>
      </c>
      <c r="AC480" s="34" t="str">
        <f>Tabella4[[#This Row],[User Impact]]</f>
        <v>2 - Serious</v>
      </c>
      <c r="AD480" s="34" t="str">
        <f>Copertina!C$2&amp;" - "&amp;Tabella4[[#This Row],[UNI CEI EN 301549]]&amp;" "&amp;VLOOKUP(Tabella4[[#This Row],[Criterio]],Tabella5[[ID]:[Criterio di successo]],2,FALSE)&amp;" - "&amp;Tabella4[[#This Row],[Servizio]]&amp;":"</f>
        <v>Insurance Brocker - 9.2.5.8 Dimensione dell'obiettivo (minimo) - S002 Poste Guidare Sicuri:</v>
      </c>
      <c r="AE480"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(#TM0383)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href="#item-posteinsurancebrokerposteinsurancebroker-moduliguidare-sicuri-fase-di-post-vendita-faq-accordion-comepossorinnovarelamiaassicurazionercauto-11" aria-expanded="false" aria-controls="item-posteinsurancebrokerposteinsurancebroker-moduliguidare-sicuri-fase-di-post-vendita-faq-accordion-comepossorinnovarelamiaassicurazionercauto-11" title="Come posso rinnovare la mia assicurazione RCAuto?"&gt; con selettore: 
["#heading-item-posteinsurancebrokerposteinsurancebroker-moduliguidare-sicuri-fase-di-post-vendita-faq-accordion-comepossorinnovarelamiaassicurazionercauto-11-11 &gt; .panel-title &gt; .accordion-toggle.collapsed[role=\"button\"]"]
Dettaglio + screenshot (accedere con le seguenti credenziali: user, axeposte@gmail.com; password, Poste2024!): https://axe.deque.com/issues/c6c08236-4b5d-4747-a31a-5bd675192e3e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80" t="e">
        <f>_xlfn.XLOOKUP(Tabella4[[#This Row],[ID Silk]],outTable[ID Silk],outTable[Numero ticket  ],,0,1)</f>
        <v>#N/A</v>
      </c>
    </row>
    <row r="481" spans="1:32">
      <c r="A481" s="34" t="str">
        <f>MID(Tabella4[[#This Row],[Servizio]],1,4)&amp;Tabella4[[#This Row],[UNI CEI EN 301549]]</f>
        <v>S0029.2.5.8</v>
      </c>
      <c r="B481" s="34" t="str">
        <f>Tabella4[[#This Row],[ID Silk]]&amp;"_1"</f>
        <v>S0029.2.5.8_1</v>
      </c>
      <c r="C481" s="34" t="s">
        <v>1826</v>
      </c>
      <c r="D481" s="2" t="str">
        <f>"(#"&amp;Tabella4[[#This Row],['#ID]]&amp;")"</f>
        <v>(#TM0384)</v>
      </c>
      <c r="E481" s="34" t="str">
        <f>IF(MID(Tabella4[[#This Row],['#ID]],1,1)="M","Mobile",IF(MID(Tabella4[[#This Row],['#ID]],1,1)="D","Desktop",IF(MID(Tabella4[[#This Row],['#ID]],1,2)="TM","Manuale","Documenti")))</f>
        <v>Manuale</v>
      </c>
      <c r="F481" s="34" t="s">
        <v>1006</v>
      </c>
      <c r="G481" s="34" t="s">
        <v>372</v>
      </c>
      <c r="H481" s="34" t="str">
        <f>IF(Tabella4[[#This Row],[Componente]]="Documenti","10.","9.")&amp;Tabella4[[#This Row],[Criterio]]</f>
        <v>9.2.5.8</v>
      </c>
      <c r="I481" s="34" t="s">
        <v>1023</v>
      </c>
      <c r="J481" s="34" t="s">
        <v>1032</v>
      </c>
      <c r="K481" s="34" t="s">
        <v>1033</v>
      </c>
      <c r="L481" s="34" t="s">
        <v>1034</v>
      </c>
      <c r="M481" s="34" t="s">
        <v>1035</v>
      </c>
      <c r="N481" t="s">
        <v>1452</v>
      </c>
      <c r="O481" t="s">
        <v>1453</v>
      </c>
      <c r="P481" t="s">
        <v>388</v>
      </c>
      <c r="R481" s="34" t="str">
        <f>IF(Tabella4[[#This Row],[Componente]]="Documenti",_xlfn.XLOOKUP(Tabella4[[#This Row],[URL]],Tabella27[URL],Tabella27[PDF ID],,0),_xlfn.XLOOKUP(Tabella4[[#This Row],[URL]],Tabella1[URL],Tabella1[Page ID],,0))</f>
        <v>#8</v>
      </c>
      <c r="S481" s="34" t="s">
        <v>1004</v>
      </c>
      <c r="T481" t="s">
        <v>518</v>
      </c>
      <c r="V481" t="s">
        <v>519</v>
      </c>
      <c r="W481" s="34" t="s">
        <v>1068</v>
      </c>
      <c r="X481" s="34" t="str">
        <f>IFERROR(IF(Tabella4[[#This Row],[Tool]]="lighthouse",Tabella4[[#This Row],[Detail]],MID(Tabella4[[#This Row],[Detail]],1,FIND("&gt;",Tabella4[[#This Row],[Detail]]))),Tabella4[[#This Row],[Detail]])</f>
        <v>&lt;div class="panel-heading" role="tab" tabindex="0" id="heading-item-posteinsurancebrokerposteinsurancebroker-moduliguidare-sicuri-fase-di-post-vendita-faq-accordion-leoperazionidipost-venditaprevistedaupcomeilpagamentodellaratasemestraleeilrinnovosonoconsentitesolodallupdiemissionedellapolizza-12-12"&gt;</v>
      </c>
      <c r="Y481" s="34" t="str">
        <f>SUBSTITUTE(IF(Tabella4[[#This Row],[Tool]]="axe-core",MID(Tabella4[[#This Row],[Rejected Element]],3,LEN(Tabella4[[#This Row],[Rejected Element]])-4),Tabella4[[#This Row],[Rejected Element]]),"\","")</f>
        <v>#heading-item-posteinsurancebrokerposteinsurancebroker-moduliguidare-sicuri-fase-di-post-vendita-faq-accordion-leoperazionidipost-venditaprevistedaupcomeilpagamentodellaratasemestraleeilrinnovosonoconsentitesolodallupdiemissionedellapolizza-12-12</v>
      </c>
      <c r="Z481" s="34">
        <f>COUNTIFS(Tabella4[Detail univoco],Tabella4[[#This Row],[Detail univoco]],Tabella4[Rejected Element Univoco],Tabella4[[#This Row],[Rejected Element Univoco]],Tabella4[ItemsNodeLabel],Tabella4[[#This Row],[ItemsNodeLabel]])</f>
        <v>0</v>
      </c>
      <c r="AA481" s="34" t="str">
        <f>IF(Tabella4[[#This Row],[Componente]]="Documenti",VLOOKUP(Tabella4[[#This Row],[URL]],Tabella27[[URL]:[Servizio]],4,FALSE),VLOOKUP(Tabella4[[#This Row],[Page ID]],Tabella1[[Page ID]:[Servizio]],4,FALSE))</f>
        <v>S002 Poste Guidare Sicuri</v>
      </c>
      <c r="AB481" t="s">
        <v>1663</v>
      </c>
      <c r="AC481" s="34" t="str">
        <f>Tabella4[[#This Row],[User Impact]]</f>
        <v>2 - Serious</v>
      </c>
      <c r="AD481" s="34" t="str">
        <f>Copertina!C$2&amp;" - "&amp;Tabella4[[#This Row],[UNI CEI EN 301549]]&amp;" "&amp;VLOOKUP(Tabella4[[#This Row],[Criterio]],Tabella5[[ID]:[Criterio di successo]],2,FALSE)&amp;" - "&amp;Tabella4[[#This Row],[Servizio]]&amp;":"</f>
        <v>Insurance Brocker - 9.2.5.8 Dimensione dell'obiettivo (minimo) - S002 Poste Guidare Sicuri:</v>
      </c>
      <c r="AE481"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 xml:space="preserve">Insurance Brocker - 9.2.5.8 Dimensione dell'obiettivo (minimo) - S002 Poste Guidare Sicuri: (#TM0384)
S002 Poste Guidare Sicuri
Requisito: WCAG 2.5.8
Disabilità afflitte: Blind;Low Vision;Mobility
Impatto Utente: 2 - Serious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
Esempio di violazione individuata sull'oggetto: 
https://posteinsurancebroker.poste.it/faq-poste-guidare-sicuri/ - &lt;div class="panel-heading" role="tab" tabindex="0" id="heading-item-posteinsurancebrokerposteinsurancebroker-moduliguidare-sicuri-fase-di-post-vendita-faq-accordion-leoperazionidipost-venditaprevistedaupcomeilpagamentodellaratasemestraleeilrinnovosonoconsentitesolodallupdiemissionedellapolizza-12-12"&gt; con selettore: 
["#heading-item-posteinsurancebrokerposteinsurancebroker-moduliguidare-sicuri-fase-di-post-vendita-faq-accordion-leoperazionidipost-venditaprevistedaupcomeilpagamentodellaratasemestraleeilrinnovosonoconsentitesolodallupdiemissionedellapolizza-12-12"]
Dettaglio + screenshot (accedere con le seguenti credenziali: user, axeposte@gmail.com; password, Poste2024!): https://axe.deque.com/issues/5e9b8e62-cece-4b05-83e5-d6608782b077
Possibile metodologia risolutiva:
Aumenta le dimensioni degli elementi cliccabili (ad esempio pulsanti o link) a una dimensione minima di 24x24 px e garantisci uno spazio sufficiente attorno a essi utilizzando il padding o il margine, evitando che gli elementi siano troppo vicini tra loro.
File di log (occorrenze rilevate: 131): https://posteitaliane.sharepoint.com/:x:/r/teams/ACCESSIBILITRISULTATIVERIFICHETECNICHE-PORTALEIMMIGRAZIONE/Shared%20Documents/PORTALE%20IMMIGRAZIONE/LOG/Log_2411.xlsx?d=wce770a595441461abc11f2c139111c73&amp;csf=1&amp;web=1&amp;e=tpdJfo
Link al dettaglio requisito WCAG: </v>
      </c>
      <c r="AF481" t="e">
        <f>_xlfn.XLOOKUP(Tabella4[[#This Row],[ID Silk]],outTable[ID Silk],outTable[Numero ticket  ],,0,1)</f>
        <v>#N/A</v>
      </c>
    </row>
    <row r="482" spans="1:32">
      <c r="A482" s="34" t="str">
        <f>MID(Tabella4[[#This Row],[Servizio]],1,4)&amp;Tabella4[[#This Row],[UNI CEI EN 301549]]</f>
        <v>S0029.1.4.3</v>
      </c>
      <c r="B482" s="34" t="str">
        <f>Tabella4[[#This Row],[ID Silk]]&amp;"_1"</f>
        <v>S0029.1.4.3_1</v>
      </c>
      <c r="C482" s="34" t="s">
        <v>1827</v>
      </c>
      <c r="D482" s="2" t="str">
        <f>"(#"&amp;Tabella4[[#This Row],['#ID]]&amp;")"</f>
        <v>(#TM0385)</v>
      </c>
      <c r="E482" s="34" t="str">
        <f>IF(MID(Tabella4[[#This Row],['#ID]],1,1)="M","Mobile",IF(MID(Tabella4[[#This Row],['#ID]],1,1)="D","Desktop",IF(MID(Tabella4[[#This Row],['#ID]],1,2)="TM","Manuale","Documenti")))</f>
        <v>Manuale</v>
      </c>
      <c r="F482" s="34" t="s">
        <v>1006</v>
      </c>
      <c r="G482" s="34" t="s">
        <v>228</v>
      </c>
      <c r="H482" s="34" t="str">
        <f>IF(Tabella4[[#This Row],[Componente]]="Documenti","10.","9.")&amp;Tabella4[[#This Row],[Criterio]]</f>
        <v>9.1.4.3</v>
      </c>
      <c r="I482" s="34" t="s">
        <v>1023</v>
      </c>
      <c r="J482" s="34" t="s">
        <v>1037</v>
      </c>
      <c r="K482" s="34" t="s">
        <v>549</v>
      </c>
      <c r="L482" s="34" t="s">
        <v>1038</v>
      </c>
      <c r="M482" s="34" t="s">
        <v>1039</v>
      </c>
      <c r="N482" t="s">
        <v>550</v>
      </c>
      <c r="O482" t="s">
        <v>551</v>
      </c>
      <c r="P482" t="s">
        <v>388</v>
      </c>
      <c r="R482" s="34" t="str">
        <f>IF(Tabella4[[#This Row],[Componente]]="Documenti",_xlfn.XLOOKUP(Tabella4[[#This Row],[URL]],Tabella27[URL],Tabella27[PDF ID],,0),_xlfn.XLOOKUP(Tabella4[[#This Row],[URL]],Tabella1[URL],Tabella1[Page ID],,0))</f>
        <v>#8</v>
      </c>
      <c r="S482" s="34" t="s">
        <v>1004</v>
      </c>
      <c r="T482" t="s">
        <v>547</v>
      </c>
      <c r="V482" t="s">
        <v>548</v>
      </c>
      <c r="W482" s="34" t="s">
        <v>1069</v>
      </c>
      <c r="X482" s="34" t="str">
        <f>IFERROR(IF(Tabella4[[#This Row],[Tool]]="lighthouse",Tabella4[[#This Row],[Detail]],MID(Tabella4[[#This Row],[Detail]],1,FIND("&gt;",Tabella4[[#This Row],[Detail]]))),Tabella4[[#This Row],[Detail]])</f>
        <v>&lt;a tabindex="0" class="skip-link sr-only-focusable-abs" href="#accessibility-anchor"&gt;</v>
      </c>
      <c r="Y482" s="34" t="str">
        <f>SUBSTITUTE(IF(Tabella4[[#This Row],[Tool]]="axe-core",MID(Tabella4[[#This Row],[Rejected Element]],3,LEN(Tabella4[[#This Row],[Rejected Element]])-4),Tabella4[[#This Row],[Rejected Element]]),"\","")</f>
        <v>body#page &gt; nav#skiplink:nth-of-type(1) &gt; ul:nth-of-type(1) &gt; li:nth-of-type(1) &gt; a.skip-link.sr-only-focusable-abs:nth-of-type(1)</v>
      </c>
      <c r="Z482" s="34">
        <f>COUNTIFS(Tabella4[Detail univoco],Tabella4[[#This Row],[Detail univoco]],Tabella4[Rejected Element Univoco],Tabella4[[#This Row],[Rejected Element Univoco]],Tabella4[ItemsNodeLabel],Tabella4[[#This Row],[ItemsNodeLabel]])</f>
        <v>0</v>
      </c>
      <c r="AA482" s="34" t="str">
        <f>IF(Tabella4[[#This Row],[Componente]]="Documenti",VLOOKUP(Tabella4[[#This Row],[URL]],Tabella27[[URL]:[Servizio]],4,FALSE),VLOOKUP(Tabella4[[#This Row],[Page ID]],Tabella1[[Page ID]:[Servizio]],4,FALSE))</f>
        <v>S002 Poste Guidare Sicuri</v>
      </c>
      <c r="AB482" t="s">
        <v>1664</v>
      </c>
      <c r="AC482" s="34" t="str">
        <f>Tabella4[[#This Row],[User Impact]]</f>
        <v>2 - Serious</v>
      </c>
      <c r="AD482" s="34" t="str">
        <f>Copertina!C$2&amp;" - "&amp;Tabella4[[#This Row],[UNI CEI EN 301549]]&amp;" "&amp;VLOOKUP(Tabella4[[#This Row],[Criterio]],Tabella5[[ID]:[Criterio di successo]],2,FALSE)&amp;" - "&amp;Tabella4[[#This Row],[Servizio]]&amp;":"</f>
        <v>Insurance Brocker - 9.1.4.3 Contrasto (minimo) - S002 Poste Guidare Sicuri:</v>
      </c>
      <c r="AE482"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(#TM0385)
S002 Poste Guidare Sicuri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https://posteinsurancebroker.poste.it/faq-poste-guidare-sicuri/ - &lt;a tabindex="0" class="skip-link sr-only-focusable-abs" href="#accessibility-anchor"&gt;Passa al contenuto principale&lt;/a&gt; con selettore: 
["body#page &gt; nav#skiplink:nth-of-type(1) &gt; ul:nth-of-type(1) &gt; li:nth-of-type(1) &gt; a.skip-link.sr-only-focusable-abs:nth-of-type(1)"]
Dettaglio + screenshot (accedere con le seguenti credenziali: user, axeposte@gmail.com; password, Poste2024!): https://axe.deque.com/issues/b4f91585-ab79-4875-892a-64c7432bea84
Possibile metodologia risolutiva:
Modifica i colori del testo e/o dello sfondo dei controlli per garantire un rapporto di contrasto di almeno 4,5:1, inclusi gli stati attivo e hover.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482">
        <f>_xlfn.XLOOKUP(Tabella4[[#This Row],[ID Silk]],outTable[ID Silk],outTable[Numero ticket  ],,0,1)</f>
        <v>6008</v>
      </c>
    </row>
    <row r="483" spans="1:32">
      <c r="A483" s="34" t="str">
        <f>MID(Tabella4[[#This Row],[Servizio]],1,4)&amp;Tabella4[[#This Row],[UNI CEI EN 301549]]</f>
        <v>S0029.1.4.3</v>
      </c>
      <c r="B483" s="34" t="str">
        <f>Tabella4[[#This Row],[ID Silk]]&amp;"_1"</f>
        <v>S0029.1.4.3_1</v>
      </c>
      <c r="C483" s="34" t="s">
        <v>1828</v>
      </c>
      <c r="D483" s="2" t="str">
        <f>"(#"&amp;Tabella4[[#This Row],['#ID]]&amp;")"</f>
        <v>(#TM0386)</v>
      </c>
      <c r="E483" s="34" t="str">
        <f>IF(MID(Tabella4[[#This Row],['#ID]],1,1)="M","Mobile",IF(MID(Tabella4[[#This Row],['#ID]],1,1)="D","Desktop",IF(MID(Tabella4[[#This Row],['#ID]],1,2)="TM","Manuale","Documenti")))</f>
        <v>Manuale</v>
      </c>
      <c r="F483" s="34" t="s">
        <v>1006</v>
      </c>
      <c r="G483" s="34" t="s">
        <v>228</v>
      </c>
      <c r="H483" s="34" t="str">
        <f>IF(Tabella4[[#This Row],[Componente]]="Documenti","10.","9.")&amp;Tabella4[[#This Row],[Criterio]]</f>
        <v>9.1.4.3</v>
      </c>
      <c r="I483" s="34" t="s">
        <v>1023</v>
      </c>
      <c r="J483" s="34" t="s">
        <v>1037</v>
      </c>
      <c r="K483" s="34" t="s">
        <v>549</v>
      </c>
      <c r="L483" s="34" t="s">
        <v>1038</v>
      </c>
      <c r="M483" s="34" t="s">
        <v>1039</v>
      </c>
      <c r="N483" t="s">
        <v>552</v>
      </c>
      <c r="O483" t="s">
        <v>553</v>
      </c>
      <c r="P483" t="s">
        <v>388</v>
      </c>
      <c r="R483" s="34" t="str">
        <f>IF(Tabella4[[#This Row],[Componente]]="Documenti",_xlfn.XLOOKUP(Tabella4[[#This Row],[URL]],Tabella27[URL],Tabella27[PDF ID],,0),_xlfn.XLOOKUP(Tabella4[[#This Row],[URL]],Tabella1[URL],Tabella1[Page ID],,0))</f>
        <v>#8</v>
      </c>
      <c r="S483" s="34" t="s">
        <v>1004</v>
      </c>
      <c r="T483" t="s">
        <v>547</v>
      </c>
      <c r="V483" t="s">
        <v>548</v>
      </c>
      <c r="W483" s="34" t="s">
        <v>1069</v>
      </c>
      <c r="X483" s="34" t="str">
        <f>IFERROR(IF(Tabella4[[#This Row],[Tool]]="lighthouse",Tabella4[[#This Row],[Detail]],MID(Tabella4[[#This Row],[Detail]],1,FIND("&gt;",Tabella4[[#This Row],[Detail]]))),Tabella4[[#This Row],[Detail]])</f>
        <v>&lt;a class="skip-link sr-only-focusable-abs" href="#footer"&gt;</v>
      </c>
      <c r="Y483" s="34" t="str">
        <f>SUBSTITUTE(IF(Tabella4[[#This Row],[Tool]]="axe-core",MID(Tabella4[[#This Row],[Rejected Element]],3,LEN(Tabella4[[#This Row],[Rejected Element]])-4),Tabella4[[#This Row],[Rejected Element]]),"\","")</f>
        <v>body#page &gt; nav#skiplink:nth-of-type(1) &gt; ul:nth-of-type(1) &gt; li:nth-of-type(3) &gt; a.skip-link.sr-only-focusable-abs:nth-of-type(1)</v>
      </c>
      <c r="Z483" s="34">
        <f>COUNTIFS(Tabella4[Detail univoco],Tabella4[[#This Row],[Detail univoco]],Tabella4[Rejected Element Univoco],Tabella4[[#This Row],[Rejected Element Univoco]],Tabella4[ItemsNodeLabel],Tabella4[[#This Row],[ItemsNodeLabel]])</f>
        <v>0</v>
      </c>
      <c r="AA483" s="34" t="str">
        <f>IF(Tabella4[[#This Row],[Componente]]="Documenti",VLOOKUP(Tabella4[[#This Row],[URL]],Tabella27[[URL]:[Servizio]],4,FALSE),VLOOKUP(Tabella4[[#This Row],[Page ID]],Tabella1[[Page ID]:[Servizio]],4,FALSE))</f>
        <v>S002 Poste Guidare Sicuri</v>
      </c>
      <c r="AB483" t="s">
        <v>1665</v>
      </c>
      <c r="AC483" s="34" t="str">
        <f>Tabella4[[#This Row],[User Impact]]</f>
        <v>2 - Serious</v>
      </c>
      <c r="AD483" s="34" t="str">
        <f>Copertina!C$2&amp;" - "&amp;Tabella4[[#This Row],[UNI CEI EN 301549]]&amp;" "&amp;VLOOKUP(Tabella4[[#This Row],[Criterio]],Tabella5[[ID]:[Criterio di successo]],2,FALSE)&amp;" - "&amp;Tabella4[[#This Row],[Servizio]]&amp;":"</f>
        <v>Insurance Brocker - 9.1.4.3 Contrasto (minimo) - S002 Poste Guidare Sicuri:</v>
      </c>
      <c r="AE483"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- 9.1.4.3 Contrasto (minimo) - S002 Poste Guidare Sicuri: (#TM0386)
S002 Poste Guidare Sicuri
Requisito: WCAG 1.4.3
Disabilità afflitte: Colorblindness;Low Vision
Impatto Utente: 2 - Serious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https://posteinsurancebroker.poste.it/faq-poste-guidare-sicuri/ - &lt;a class="skip-link sr-only-focusable-abs" href="#footer"&gt;Passa al footer di pagina&lt;/a&gt; con selettore: 
["body#page &gt; nav#skiplink:nth-of-type(1) &gt; ul:nth-of-type(1) &gt; li:nth-of-type(3) &gt; a.skip-link.sr-only-focusable-abs:nth-of-type(1)"]
Dettaglio + screenshot (accedere con le seguenti credenziali: user, axeposte@gmail.com; password, Poste2024!): https://axe.deque.com/issues/d3133453-55b6-44f3-8f3d-b87246df5cf8
Possibile metodologia risolutiva:
Modifica i colori del testo e/o dello sfondo dei controlli per garantire un rapporto di contrasto di almeno 4,5:1, inclusi gli stati attivo e hover.
File di log (occorrenze rilevate: 13):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https://posteitaliane.sharepoint.com/:w:/r/teams/ACCESSIBILITRISULTATIVERIFICHETECNICHE/Shared%20Documents/Generale/SCHEDE_REQUISITI/9.1.4.3%20Contrasto%20(minimo).docx?d=w9f2bd23069d041949f3883a7dbad3f2c&amp;csf=1&amp;web=1&amp;e=tMcxqJ</v>
      </c>
      <c r="AF483">
        <f>_xlfn.XLOOKUP(Tabella4[[#This Row],[ID Silk]],outTable[ID Silk],outTable[Numero ticket  ],,0,1)</f>
        <v>6008</v>
      </c>
    </row>
    <row r="484" spans="1:32">
      <c r="A484" s="34" t="str">
        <f>MID(Tabella4[[#This Row],[Servizio]],1,4)&amp;Tabella4[[#This Row],[UNI CEI EN 301549]]</f>
        <v>S0029.1.3.1</v>
      </c>
      <c r="B484" s="34" t="str">
        <f>Tabella4[[#This Row],[ID Silk]]&amp;"_1"</f>
        <v>S0029.1.3.1_1</v>
      </c>
      <c r="C484" s="34" t="s">
        <v>1829</v>
      </c>
      <c r="D484" s="2" t="str">
        <f>"(#"&amp;Tabella4[[#This Row],['#ID]]&amp;")"</f>
        <v>(#TM0387)</v>
      </c>
      <c r="E484" s="34" t="str">
        <f>IF(MID(Tabella4[[#This Row],['#ID]],1,1)="M","Mobile",IF(MID(Tabella4[[#This Row],['#ID]],1,1)="D","Desktop",IF(MID(Tabella4[[#This Row],['#ID]],1,2)="TM","Manuale","Documenti")))</f>
        <v>Manuale</v>
      </c>
      <c r="F484" s="34" t="s">
        <v>1005</v>
      </c>
      <c r="G484" s="34" t="s">
        <v>184</v>
      </c>
      <c r="H484" s="34" t="str">
        <f>IF(Tabella4[[#This Row],[Componente]]="Documenti","10.","9.")&amp;Tabella4[[#This Row],[Criterio]]</f>
        <v>9.1.3.1</v>
      </c>
      <c r="I484" s="34" t="s">
        <v>1036</v>
      </c>
      <c r="J484" s="34" t="s">
        <v>1008</v>
      </c>
      <c r="K484" s="34" t="s">
        <v>558</v>
      </c>
      <c r="L484" s="34" t="s">
        <v>1040</v>
      </c>
      <c r="M484" s="34" t="s">
        <v>1041</v>
      </c>
      <c r="N484" t="s">
        <v>559</v>
      </c>
      <c r="O484" t="s">
        <v>560</v>
      </c>
      <c r="P484" t="s">
        <v>388</v>
      </c>
      <c r="R484" s="34" t="str">
        <f>IF(Tabella4[[#This Row],[Componente]]="Documenti",_xlfn.XLOOKUP(Tabella4[[#This Row],[URL]],Tabella27[URL],Tabella27[PDF ID],,0),_xlfn.XLOOKUP(Tabella4[[#This Row],[URL]],Tabella1[URL],Tabella1[Page ID],,0))</f>
        <v>#8</v>
      </c>
      <c r="S484" s="34" t="s">
        <v>1004</v>
      </c>
      <c r="T484" t="s">
        <v>556</v>
      </c>
      <c r="V484" t="s">
        <v>557</v>
      </c>
      <c r="W484" s="34" t="s">
        <v>1070</v>
      </c>
      <c r="X484" s="34" t="str">
        <f>IFERROR(IF(Tabella4[[#This Row],[Tool]]="lighthouse",Tabella4[[#This Row],[Detail]],MID(Tabella4[[#This Row],[Detail]],1,FIND("&gt;",Tabella4[[#This Row],[Detail]]))),Tabella4[[#This Row],[Detail]])</f>
        <v>&lt;ul&gt;</v>
      </c>
      <c r="Y484" s="34" t="str">
        <f>SUBSTITUTE(IF(Tabella4[[#This Row],[Tool]]="axe-core",MID(Tabella4[[#This Row],[Rejected Element]],3,LEN(Tabella4[[#This Row],[Rejected Element]])-4),Tabella4[[#This Row],[Rejected Element]]),"\","")</f>
        <v>body#page &gt; nav#skiplink:nth-of-type(1) &gt; ul:nth-of-type(1)</v>
      </c>
      <c r="Z484" s="34">
        <f>COUNTIFS(Tabella4[Detail univoco],Tabella4[[#This Row],[Detail univoco]],Tabella4[Rejected Element Univoco],Tabella4[[#This Row],[Rejected Element Univoco]],Tabella4[ItemsNodeLabel],Tabella4[[#This Row],[ItemsNodeLabel]])</f>
        <v>0</v>
      </c>
      <c r="AA484" s="34" t="str">
        <f>IF(Tabella4[[#This Row],[Componente]]="Documenti",VLOOKUP(Tabella4[[#This Row],[URL]],Tabella27[[URL]:[Servizio]],4,FALSE),VLOOKUP(Tabella4[[#This Row],[Page ID]],Tabella1[[Page ID]:[Servizio]],4,FALSE))</f>
        <v>S002 Poste Guidare Sicuri</v>
      </c>
      <c r="AB484" t="s">
        <v>1666</v>
      </c>
      <c r="AC484" s="34" t="str">
        <f>Tabella4[[#This Row],[User Impact]]</f>
        <v>3 - Moderate</v>
      </c>
      <c r="AD484" s="34" t="str">
        <f>Copertina!C$2&amp;" - "&amp;Tabella4[[#This Row],[UNI CEI EN 301549]]&amp;" "&amp;VLOOKUP(Tabella4[[#This Row],[Criterio]],Tabella5[[ID]:[Criterio di successo]],2,FALSE)&amp;" - "&amp;Tabella4[[#This Row],[Servizio]]&amp;":"</f>
        <v>Insurance Brocker - 9.1.3.1 Informazioni e correlazioni - S002 Poste Guidare Sicuri:</v>
      </c>
      <c r="AE484" s="34" t="str">
        <f>_xlfn.CONCAT(Tabella4[[#This Row],[Titolo Defect]]," ",Tabella4[[#This Row],[ID defectXsilk]],CHAR(10),Tabella4[[#This Row],[Servizio]],CHAR(10),_xlfn.CONCAT("Requisito: WCAG ", Tabella4[[#This Row],[Criterio]],CHAR(10),
        "Disabilità afflitte: ",Tabella4[[#This Row],[Disabilities]],CHAR(10),
        "Impatto Utente: ",Tabella4[[#This Row],[User Impact]],CHAR(10),CHAR(10),
        "Descrizione: ",Tabella4[[#This Row],[Titolo]]," - ",Tabella4[[#This Row],[Descrizione]],CHAR(10),CHAR(10),
        "Esempio di violazione individuata sull'oggetto: ",CHAR(10),Tabella4[[#This Row],[URL]]," - ",Tabella4[[#This Row],[Detail]]," con selettore: ",CHAR(10),Tabella4[[#This Row],[Rejected Element]],CHAR(10),CHAR(10),
        "Dettaglio + screenshot (accedere con le seguenti credenziali: user, axeposte@gmail.com; password, Poste2024!): ",Tabella4[[#This Row],[Share URL]],CHAR(10)
),CHAR(10),"Possibile metodologia risolutiva:"&amp;CHAR(10),Tabella4[[#This Row],[Soluzione note aggiuntive]],CHAR(10),CHAR(10),"File di log (occorrenze rilevate: "&amp;COUNTIF(Tabella4[ID Silk],Tabella4[[#This Row],[ID Silk]])&amp;"): https://posteitaliane.sharepoint.com/:x:/r/teams/ACCESSIBILITRISULTATIVERIFICHETECNICHE-PORTALEIMMIGRAZIONE/Shared%20Documents/PORTALE%20IMMIGRAZIONE/LOG/Log_2411.xlsx?d=wce770a595441461abc11f2c139111c73&amp;csf=1&amp;web=1&amp;e=tpdJfo",CHAR(10),CHAR(10),"Link al dettaglio requisito WCAG: ",IFERROR(VLOOKUP(Tabella4[[#This Row],[UNI CEI EN 301549]],'Dati input'!E$1:G$27,3,FALSE),""))</f>
        <v>Insurance Brocker - 9.1.3.1 Informazioni e correlazioni - S002 Poste Guidare Sicuri: (#TM0387)
S002 Poste Guidare Sicuri
Requisito: WCAG 1.3.1
Disabilità afflitte: Blind;Deafblind
Impatto Utente: 3 - Moderate
Descrizione: Il contenuto non è una list, ma è contrassegnato come tale - Il contenuto non è una list, ma è contrassegnato come tale. [Ulteriori informazioni] (https://docs.deque.com/issue-help/1.0.0/en/semantic-list-used-for-presentation)
Esempio di violazione individuata sull'oggetto: 
https://posteinsurancebroker.poste.it/faq-poste-guidare-sicuri/ - &lt;ul&gt; con selettore: 
["body#page &gt; nav#skiplink:nth-of-type(1) &gt; ul:nth-of-type(1)"]
Dettaglio + screenshot (accedere con le seguenti credenziali: user, axeposte@gmail.com; password, Poste2024!): https://axe.deque.com/issues/ceb381a4-91d4-433f-bde2-91497117e0ac
Possibile metodologia risolutiva:
Usa elementi di lista come &lt;ul&gt;, &lt;ol&gt;, e &lt;li&gt; solo per contenuti che devono essere presentati in forma di elenco. Assicurati che le liste siano semanticamente corrette per evitare confusione
File di log (occorrenze rilevate: 3): https://posteitaliane.sharepoint.com/:x:/r/teams/ACCESSIBILITRISULTATIVERIFICHETECNICHE-PORTALEIMMIGRAZIONE/Shared%20Documents/PORTALE%20IMMIGRAZIONE/LOG/Log_2411.xlsx?d=wce770a595441461abc11f2c139111c73&amp;csf=1&amp;web=1&amp;e=tpdJfo
Link al dettaglio requisito WCAG: https://posteitaliane.sharepoint.com/:w:/r/teams/ACCESSIBILITRISULTATIVERIFICHETECNICHE/Shared%20Documents/Generale/SCHEDE_REQUISITI/9.1.3.1%20Informazioni%20e%20correlazioni.docx?d=w7a79f28f1f0b4b86bd6f702204ff96de&amp;csf=1&amp;web=1&amp;e=l3sokQ</v>
      </c>
      <c r="AF484">
        <f>_xlfn.XLOOKUP(Tabella4[[#This Row],[ID Silk]],outTable[ID Silk],outTable[Numero ticket  ],,0,1)</f>
        <v>6006</v>
      </c>
    </row>
  </sheetData>
  <phoneticPr fontId="18" type="noConversion"/>
  <conditionalFormatting sqref="AE2:AE484">
    <cfRule type="duplicateValues" dxfId="5" priority="1981"/>
  </conditionalFormatting>
  <dataValidations count="1">
    <dataValidation type="list" allowBlank="1" showInputMessage="1" showErrorMessage="1" sqref="S2:S484" xr:uid="{A11A9F52-1A7D-40CC-A655-1DA24D5A9CB8}">
      <formula1>"lighthouse,axe-core"</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A665F-7F7D-40E8-82A2-5488EF48845F}">
  <sheetPr codeName="Foglio5"/>
  <dimension ref="A1:L7"/>
  <sheetViews>
    <sheetView topLeftCell="A2" workbookViewId="0">
      <selection activeCell="O35" sqref="O35"/>
    </sheetView>
  </sheetViews>
  <sheetFormatPr defaultRowHeight="14.4"/>
  <cols>
    <col min="1" max="1" width="6" customWidth="1"/>
    <col min="2" max="2" width="41.44140625" customWidth="1"/>
    <col min="3" max="3" width="47.33203125" customWidth="1"/>
    <col min="4" max="4" width="22.33203125" bestFit="1" customWidth="1"/>
    <col min="5" max="5" width="11.33203125" bestFit="1" customWidth="1"/>
    <col min="6" max="6" width="12.33203125" bestFit="1" customWidth="1"/>
    <col min="7" max="7" width="16" bestFit="1" customWidth="1"/>
    <col min="8" max="8" width="11.6640625" bestFit="1" customWidth="1"/>
    <col min="9" max="9" width="12.5546875" bestFit="1" customWidth="1"/>
    <col min="10" max="11" width="10.6640625" bestFit="1" customWidth="1"/>
    <col min="12" max="12" width="17.44140625" customWidth="1"/>
  </cols>
  <sheetData>
    <row r="1" spans="1:12">
      <c r="F1" s="68" t="s">
        <v>92</v>
      </c>
      <c r="G1" s="69"/>
      <c r="H1" s="69"/>
      <c r="I1" s="69" t="s">
        <v>93</v>
      </c>
      <c r="J1" s="69"/>
      <c r="K1" s="69"/>
    </row>
    <row r="2" spans="1:12">
      <c r="A2" s="15" t="s">
        <v>94</v>
      </c>
      <c r="B2" s="16" t="s">
        <v>8</v>
      </c>
      <c r="C2" s="16" t="s">
        <v>12</v>
      </c>
      <c r="D2" s="16" t="s">
        <v>95</v>
      </c>
      <c r="E2" s="16" t="s">
        <v>10</v>
      </c>
      <c r="F2" s="16" t="s">
        <v>96</v>
      </c>
      <c r="G2" s="16" t="s">
        <v>97</v>
      </c>
      <c r="H2" s="16" t="s">
        <v>98</v>
      </c>
      <c r="I2" s="16" t="s">
        <v>99</v>
      </c>
      <c r="J2" s="16" t="s">
        <v>100</v>
      </c>
      <c r="K2" s="16" t="s">
        <v>101</v>
      </c>
      <c r="L2" s="16" t="s">
        <v>102</v>
      </c>
    </row>
    <row r="3" spans="1:12">
      <c r="A3" s="17" t="s">
        <v>103</v>
      </c>
      <c r="B3" s="48" t="s">
        <v>472</v>
      </c>
      <c r="C3" t="s">
        <v>471</v>
      </c>
      <c r="D3" s="42" t="s">
        <v>197</v>
      </c>
      <c r="E3" t="s">
        <v>196</v>
      </c>
      <c r="F3" s="41">
        <f>ROUND(Tabella27[[#This Row],[M - Passed]]/7*100,0)</f>
        <v>29</v>
      </c>
      <c r="G3" s="41">
        <v>2</v>
      </c>
      <c r="H3" s="1">
        <f>7-Tabella27[[#This Row],[M - Passed]]</f>
        <v>5</v>
      </c>
      <c r="I3" s="1">
        <v>2033</v>
      </c>
      <c r="J3" s="18">
        <v>0</v>
      </c>
      <c r="K3" s="1">
        <v>11462</v>
      </c>
      <c r="L3" s="1">
        <f>COUNTIF(Tabella399[URL],Tabella27[[#This Row],[URL]])</f>
        <v>14</v>
      </c>
    </row>
    <row r="4" spans="1:12">
      <c r="A4" s="17" t="s">
        <v>477</v>
      </c>
      <c r="B4" s="48" t="s">
        <v>473</v>
      </c>
      <c r="C4" t="s">
        <v>474</v>
      </c>
      <c r="D4" s="42" t="s">
        <v>202</v>
      </c>
      <c r="E4" t="s">
        <v>202</v>
      </c>
      <c r="F4" s="1">
        <f>ROUND(Tabella27[[#This Row],[M - Passed]]/7*100,0)</f>
        <v>29</v>
      </c>
      <c r="G4" s="1">
        <v>2</v>
      </c>
      <c r="H4" s="1">
        <f>7-Tabella27[[#This Row],[M - Passed]]</f>
        <v>5</v>
      </c>
      <c r="I4" s="1">
        <v>2004</v>
      </c>
      <c r="J4" s="54">
        <v>0</v>
      </c>
      <c r="K4" s="1">
        <v>2531</v>
      </c>
      <c r="L4" s="1">
        <f>COUNTIF(Tabella399[URL],Tabella27[[#This Row],[URL]])</f>
        <v>14</v>
      </c>
    </row>
    <row r="5" spans="1:12">
      <c r="A5" s="17" t="s">
        <v>478</v>
      </c>
      <c r="B5" t="s">
        <v>467</v>
      </c>
      <c r="C5" t="s">
        <v>469</v>
      </c>
      <c r="D5" s="42" t="s">
        <v>207</v>
      </c>
      <c r="E5" t="s">
        <v>207</v>
      </c>
      <c r="F5" s="1">
        <f>ROUND(Tabella27[[#This Row],[M - Passed]]/7*100,0)</f>
        <v>43</v>
      </c>
      <c r="G5" s="1">
        <v>3</v>
      </c>
      <c r="H5" s="1">
        <f>7-Tabella27[[#This Row],[M - Passed]]</f>
        <v>4</v>
      </c>
      <c r="I5" s="1">
        <v>41065</v>
      </c>
      <c r="J5" s="54">
        <v>0</v>
      </c>
      <c r="K5" s="1">
        <v>15789</v>
      </c>
      <c r="L5" s="1">
        <f>COUNTIF(Tabella399[URL],Tabella27[[#This Row],[URL]])</f>
        <v>10</v>
      </c>
    </row>
    <row r="6" spans="1:12">
      <c r="A6" s="17" t="s">
        <v>479</v>
      </c>
      <c r="B6" t="s">
        <v>468</v>
      </c>
      <c r="C6" t="s">
        <v>470</v>
      </c>
      <c r="D6" s="42" t="s">
        <v>213</v>
      </c>
      <c r="E6" t="s">
        <v>213</v>
      </c>
      <c r="F6" s="1">
        <f>ROUND(Tabella27[[#This Row],[M - Passed]]/7*100,0)</f>
        <v>57</v>
      </c>
      <c r="G6" s="1">
        <v>4</v>
      </c>
      <c r="H6" s="1">
        <f>7-Tabella27[[#This Row],[M - Passed]]</f>
        <v>3</v>
      </c>
      <c r="I6" s="1">
        <v>11395</v>
      </c>
      <c r="J6" s="54">
        <v>8</v>
      </c>
      <c r="K6" s="1">
        <v>4623</v>
      </c>
      <c r="L6" s="1">
        <f>COUNTIF(Tabella399[URL],Tabella27[[#This Row],[URL]])</f>
        <v>12</v>
      </c>
    </row>
    <row r="7" spans="1:12">
      <c r="A7" s="17" t="s">
        <v>480</v>
      </c>
      <c r="B7" t="s">
        <v>475</v>
      </c>
      <c r="C7" t="s">
        <v>476</v>
      </c>
      <c r="D7" s="42" t="s">
        <v>218</v>
      </c>
      <c r="E7" t="s">
        <v>218</v>
      </c>
      <c r="F7" s="1">
        <f>ROUND(Tabella27[[#This Row],[M - Passed]]/7*100,0)</f>
        <v>71</v>
      </c>
      <c r="G7" s="1">
        <v>5</v>
      </c>
      <c r="H7" s="1">
        <f>7-Tabella27[[#This Row],[M - Passed]]</f>
        <v>2</v>
      </c>
      <c r="I7" s="1">
        <v>373387</v>
      </c>
      <c r="J7" s="54">
        <v>64</v>
      </c>
      <c r="K7" s="1">
        <v>288</v>
      </c>
      <c r="L7" s="1">
        <f>COUNTIF(Tabella399[URL],Tabella27[[#This Row],[URL]])</f>
        <v>8</v>
      </c>
    </row>
  </sheetData>
  <mergeCells count="2">
    <mergeCell ref="F1:H1"/>
    <mergeCell ref="I1:K1"/>
  </mergeCells>
  <phoneticPr fontId="18" type="noConversion"/>
  <conditionalFormatting sqref="B3:B7">
    <cfRule type="duplicateValues" dxfId="4" priority="1961"/>
    <cfRule type="duplicateValues" dxfId="3" priority="1962"/>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7DD623F-DC06-43F6-9D37-3ED0A048FB87}">
          <x14:formula1>
            <xm:f>'Dati input'!$A:$A</xm:f>
          </x14:formula1>
          <xm:sqref>D8:D1048576 E2 D1</xm:sqref>
        </x14:dataValidation>
        <x14:dataValidation type="list" allowBlank="1" showInputMessage="1" showErrorMessage="1" xr:uid="{5191240F-D691-447C-8440-FFEC17998A47}">
          <x14:formula1>
            <xm:f>'Dati input'!$A$2:$A$92</xm:f>
          </x14:formula1>
          <xm:sqref>E3:E7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A9B12-04C0-4C42-8067-F7BD618CBB32}">
  <sheetPr codeName="Foglio6"/>
  <dimension ref="A1:M59"/>
  <sheetViews>
    <sheetView workbookViewId="0">
      <selection activeCell="G59" sqref="G2:G59"/>
    </sheetView>
  </sheetViews>
  <sheetFormatPr defaultRowHeight="14.4"/>
  <cols>
    <col min="1" max="1" width="8.33203125" bestFit="1" customWidth="1"/>
    <col min="2" max="2" width="55.109375" customWidth="1"/>
    <col min="3" max="3" width="20.33203125" customWidth="1"/>
    <col min="4" max="4" width="16.33203125" bestFit="1" customWidth="1"/>
    <col min="5" max="5" width="16.6640625" bestFit="1" customWidth="1"/>
    <col min="6" max="6" width="27.88671875" customWidth="1"/>
    <col min="7" max="7" width="25.5546875" customWidth="1"/>
    <col min="8" max="8" width="15.44140625" bestFit="1" customWidth="1"/>
    <col min="9" max="10" width="17.44140625" customWidth="1"/>
  </cols>
  <sheetData>
    <row r="1" spans="1:13">
      <c r="A1" s="16" t="s">
        <v>58</v>
      </c>
      <c r="B1" s="16" t="s">
        <v>8</v>
      </c>
      <c r="C1" t="s">
        <v>84</v>
      </c>
      <c r="D1" t="s">
        <v>61</v>
      </c>
      <c r="E1" t="s">
        <v>62</v>
      </c>
      <c r="F1" t="s">
        <v>64</v>
      </c>
      <c r="G1" t="s">
        <v>65</v>
      </c>
      <c r="H1" t="s">
        <v>66</v>
      </c>
      <c r="I1" t="s">
        <v>67</v>
      </c>
      <c r="J1" t="s">
        <v>68</v>
      </c>
      <c r="K1" t="s">
        <v>71</v>
      </c>
      <c r="L1" t="s">
        <v>85</v>
      </c>
      <c r="M1" t="s">
        <v>75</v>
      </c>
    </row>
    <row r="2" spans="1:13">
      <c r="A2" t="s">
        <v>86</v>
      </c>
      <c r="B2" s="48" t="s">
        <v>472</v>
      </c>
      <c r="C2" s="19" t="s">
        <v>1151</v>
      </c>
      <c r="D2" t="s">
        <v>1005</v>
      </c>
      <c r="E2" t="s">
        <v>184</v>
      </c>
      <c r="F2" t="s">
        <v>1007</v>
      </c>
      <c r="G2" t="s">
        <v>1019</v>
      </c>
      <c r="H2" s="19" t="s">
        <v>88</v>
      </c>
      <c r="I2" s="19" t="s">
        <v>1152</v>
      </c>
      <c r="J2" t="s">
        <v>1153</v>
      </c>
      <c r="K2" t="s">
        <v>1154</v>
      </c>
      <c r="L2">
        <v>0</v>
      </c>
      <c r="M2" t="s">
        <v>1155</v>
      </c>
    </row>
    <row r="3" spans="1:13">
      <c r="A3" t="s">
        <v>87</v>
      </c>
      <c r="B3" s="48" t="s">
        <v>472</v>
      </c>
      <c r="C3" t="s">
        <v>1156</v>
      </c>
      <c r="D3" t="s">
        <v>1005</v>
      </c>
      <c r="E3" t="s">
        <v>184</v>
      </c>
      <c r="F3" t="s">
        <v>1023</v>
      </c>
      <c r="G3" t="s">
        <v>1008</v>
      </c>
      <c r="H3" s="19" t="s">
        <v>90</v>
      </c>
      <c r="I3" s="19" t="s">
        <v>1157</v>
      </c>
      <c r="J3" t="s">
        <v>1158</v>
      </c>
      <c r="K3" t="s">
        <v>1154</v>
      </c>
      <c r="L3">
        <v>0</v>
      </c>
      <c r="M3" t="s">
        <v>1159</v>
      </c>
    </row>
    <row r="4" spans="1:13">
      <c r="A4" t="s">
        <v>89</v>
      </c>
      <c r="B4" s="48" t="s">
        <v>472</v>
      </c>
      <c r="C4" t="s">
        <v>1160</v>
      </c>
      <c r="D4" t="s">
        <v>1005</v>
      </c>
      <c r="E4" t="s">
        <v>191</v>
      </c>
      <c r="F4" t="s">
        <v>1007</v>
      </c>
      <c r="G4" t="s">
        <v>1019</v>
      </c>
      <c r="H4" s="19" t="s">
        <v>1080</v>
      </c>
      <c r="I4" s="19" t="s">
        <v>1161</v>
      </c>
      <c r="J4" t="s">
        <v>1162</v>
      </c>
      <c r="K4" t="s">
        <v>1154</v>
      </c>
      <c r="L4" t="s">
        <v>1163</v>
      </c>
      <c r="M4" t="s">
        <v>1163</v>
      </c>
    </row>
    <row r="5" spans="1:13">
      <c r="A5" t="s">
        <v>1091</v>
      </c>
      <c r="B5" s="48" t="s">
        <v>472</v>
      </c>
      <c r="C5" t="s">
        <v>1164</v>
      </c>
      <c r="D5" t="s">
        <v>1005</v>
      </c>
      <c r="E5" t="s">
        <v>302</v>
      </c>
      <c r="F5" t="s">
        <v>1023</v>
      </c>
      <c r="G5" t="s">
        <v>1008</v>
      </c>
      <c r="H5" s="19" t="s">
        <v>1081</v>
      </c>
      <c r="I5" s="19" t="s">
        <v>1165</v>
      </c>
      <c r="J5" t="s">
        <v>1166</v>
      </c>
      <c r="K5" t="s">
        <v>1154</v>
      </c>
      <c r="L5" t="s">
        <v>1167</v>
      </c>
      <c r="M5" t="s">
        <v>1167</v>
      </c>
    </row>
    <row r="6" spans="1:13">
      <c r="A6" t="s">
        <v>1092</v>
      </c>
      <c r="B6" s="48" t="s">
        <v>472</v>
      </c>
      <c r="C6" t="s">
        <v>1168</v>
      </c>
      <c r="D6" t="s">
        <v>1005</v>
      </c>
      <c r="E6" t="s">
        <v>332</v>
      </c>
      <c r="F6" t="s">
        <v>1023</v>
      </c>
      <c r="G6" t="s">
        <v>1169</v>
      </c>
      <c r="H6" s="19" t="s">
        <v>1082</v>
      </c>
      <c r="I6" s="19" t="s">
        <v>1170</v>
      </c>
      <c r="J6" t="s">
        <v>1171</v>
      </c>
      <c r="K6" t="s">
        <v>1154</v>
      </c>
      <c r="L6" t="s">
        <v>1172</v>
      </c>
      <c r="M6" t="s">
        <v>1172</v>
      </c>
    </row>
    <row r="7" spans="1:13">
      <c r="A7" t="s">
        <v>1093</v>
      </c>
      <c r="B7" s="48" t="s">
        <v>472</v>
      </c>
      <c r="C7" t="s">
        <v>1173</v>
      </c>
      <c r="D7" t="s">
        <v>1005</v>
      </c>
      <c r="E7" t="s">
        <v>184</v>
      </c>
      <c r="F7" t="s">
        <v>1007</v>
      </c>
      <c r="G7" t="s">
        <v>1008</v>
      </c>
      <c r="H7" s="19" t="s">
        <v>91</v>
      </c>
      <c r="I7" s="19" t="s">
        <v>1174</v>
      </c>
      <c r="J7" t="s">
        <v>1175</v>
      </c>
      <c r="K7" t="s">
        <v>93</v>
      </c>
      <c r="L7">
        <v>0</v>
      </c>
      <c r="M7" t="s">
        <v>1176</v>
      </c>
    </row>
    <row r="8" spans="1:13">
      <c r="A8" t="s">
        <v>1094</v>
      </c>
      <c r="B8" s="48" t="s">
        <v>472</v>
      </c>
      <c r="C8" t="s">
        <v>1173</v>
      </c>
      <c r="D8" t="s">
        <v>1005</v>
      </c>
      <c r="E8" t="s">
        <v>184</v>
      </c>
      <c r="F8" t="s">
        <v>1023</v>
      </c>
      <c r="G8" t="s">
        <v>1008</v>
      </c>
      <c r="H8" s="19" t="s">
        <v>1083</v>
      </c>
      <c r="I8" s="19" t="s">
        <v>1177</v>
      </c>
      <c r="J8" t="s">
        <v>1178</v>
      </c>
      <c r="K8" t="s">
        <v>93</v>
      </c>
      <c r="L8">
        <v>0</v>
      </c>
      <c r="M8" t="s">
        <v>1179</v>
      </c>
    </row>
    <row r="9" spans="1:13">
      <c r="A9" t="s">
        <v>1095</v>
      </c>
      <c r="B9" s="48" t="s">
        <v>472</v>
      </c>
      <c r="C9" t="s">
        <v>1173</v>
      </c>
      <c r="D9" t="s">
        <v>1005</v>
      </c>
      <c r="E9" t="s">
        <v>184</v>
      </c>
      <c r="F9" t="s">
        <v>1023</v>
      </c>
      <c r="G9" t="s">
        <v>1008</v>
      </c>
      <c r="H9" s="19" t="s">
        <v>1084</v>
      </c>
      <c r="I9" s="19" t="s">
        <v>1180</v>
      </c>
      <c r="J9" t="s">
        <v>1181</v>
      </c>
      <c r="K9" t="s">
        <v>93</v>
      </c>
      <c r="L9">
        <v>0</v>
      </c>
      <c r="M9" t="s">
        <v>1182</v>
      </c>
    </row>
    <row r="10" spans="1:13">
      <c r="A10" t="s">
        <v>1096</v>
      </c>
      <c r="B10" s="48" t="s">
        <v>472</v>
      </c>
      <c r="C10" t="s">
        <v>1173</v>
      </c>
      <c r="D10" t="s">
        <v>1005</v>
      </c>
      <c r="E10" t="s">
        <v>184</v>
      </c>
      <c r="F10" t="s">
        <v>1007</v>
      </c>
      <c r="G10" t="s">
        <v>1008</v>
      </c>
      <c r="H10" s="19" t="s">
        <v>1085</v>
      </c>
      <c r="I10" s="19" t="s">
        <v>1183</v>
      </c>
      <c r="J10" t="s">
        <v>1184</v>
      </c>
      <c r="K10" t="s">
        <v>93</v>
      </c>
      <c r="L10">
        <v>0</v>
      </c>
      <c r="M10" t="s">
        <v>1185</v>
      </c>
    </row>
    <row r="11" spans="1:13">
      <c r="A11" t="s">
        <v>1097</v>
      </c>
      <c r="B11" s="48" t="s">
        <v>472</v>
      </c>
      <c r="C11" t="s">
        <v>1186</v>
      </c>
      <c r="D11" t="s">
        <v>1006</v>
      </c>
      <c r="E11" t="s">
        <v>228</v>
      </c>
      <c r="F11" t="s">
        <v>1023</v>
      </c>
      <c r="G11" t="s">
        <v>1169</v>
      </c>
      <c r="H11" s="19" t="s">
        <v>1086</v>
      </c>
      <c r="I11" s="19" t="s">
        <v>1187</v>
      </c>
      <c r="J11" t="s">
        <v>1188</v>
      </c>
      <c r="K11" t="s">
        <v>93</v>
      </c>
      <c r="L11">
        <v>0</v>
      </c>
      <c r="M11" t="s">
        <v>1189</v>
      </c>
    </row>
    <row r="12" spans="1:13">
      <c r="A12" t="s">
        <v>1098</v>
      </c>
      <c r="B12" s="48" t="s">
        <v>472</v>
      </c>
      <c r="C12" t="s">
        <v>1190</v>
      </c>
      <c r="D12" t="s">
        <v>1005</v>
      </c>
      <c r="E12" t="s">
        <v>302</v>
      </c>
      <c r="F12" t="s">
        <v>1036</v>
      </c>
      <c r="G12" t="s">
        <v>1191</v>
      </c>
      <c r="H12" s="19" t="s">
        <v>1087</v>
      </c>
      <c r="I12" s="19" t="s">
        <v>1192</v>
      </c>
      <c r="J12" t="s">
        <v>1193</v>
      </c>
      <c r="K12" t="s">
        <v>93</v>
      </c>
      <c r="L12">
        <v>0</v>
      </c>
      <c r="M12" t="s">
        <v>1194</v>
      </c>
    </row>
    <row r="13" spans="1:13">
      <c r="A13" t="s">
        <v>1099</v>
      </c>
      <c r="B13" s="48" t="s">
        <v>472</v>
      </c>
      <c r="C13" t="s">
        <v>1190</v>
      </c>
      <c r="D13" t="s">
        <v>1005</v>
      </c>
      <c r="E13" t="s">
        <v>302</v>
      </c>
      <c r="F13" t="s">
        <v>1195</v>
      </c>
      <c r="G13" t="s">
        <v>1196</v>
      </c>
      <c r="H13" s="19" t="s">
        <v>1088</v>
      </c>
      <c r="I13" s="19" t="s">
        <v>1197</v>
      </c>
      <c r="J13" t="s">
        <v>1198</v>
      </c>
      <c r="K13" t="s">
        <v>93</v>
      </c>
      <c r="L13">
        <v>0</v>
      </c>
      <c r="M13" t="s">
        <v>1199</v>
      </c>
    </row>
    <row r="14" spans="1:13">
      <c r="A14" t="s">
        <v>1100</v>
      </c>
      <c r="B14" s="48" t="s">
        <v>472</v>
      </c>
      <c r="C14" t="s">
        <v>1200</v>
      </c>
      <c r="D14" t="s">
        <v>1005</v>
      </c>
      <c r="E14" t="s">
        <v>332</v>
      </c>
      <c r="F14" t="s">
        <v>1036</v>
      </c>
      <c r="G14" t="s">
        <v>1169</v>
      </c>
      <c r="H14" s="19" t="s">
        <v>1089</v>
      </c>
      <c r="I14" s="19" t="s">
        <v>1201</v>
      </c>
      <c r="J14" t="s">
        <v>1202</v>
      </c>
      <c r="K14" t="s">
        <v>93</v>
      </c>
      <c r="L14">
        <v>0</v>
      </c>
      <c r="M14" t="s">
        <v>1203</v>
      </c>
    </row>
    <row r="15" spans="1:13">
      <c r="A15" t="s">
        <v>1101</v>
      </c>
      <c r="B15" s="48" t="s">
        <v>472</v>
      </c>
      <c r="C15" t="s">
        <v>1204</v>
      </c>
      <c r="D15" t="s">
        <v>1006</v>
      </c>
      <c r="E15" t="s">
        <v>334</v>
      </c>
      <c r="F15" t="s">
        <v>1023</v>
      </c>
      <c r="G15" t="s">
        <v>1169</v>
      </c>
      <c r="H15" s="19" t="s">
        <v>1090</v>
      </c>
      <c r="I15" s="19" t="s">
        <v>1205</v>
      </c>
      <c r="J15" t="s">
        <v>1206</v>
      </c>
      <c r="K15" t="s">
        <v>93</v>
      </c>
      <c r="L15">
        <v>0</v>
      </c>
      <c r="M15" t="s">
        <v>1207</v>
      </c>
    </row>
    <row r="16" spans="1:13">
      <c r="A16" t="s">
        <v>1103</v>
      </c>
      <c r="B16" s="55" t="s">
        <v>473</v>
      </c>
      <c r="C16" t="s">
        <v>1151</v>
      </c>
      <c r="D16" t="s">
        <v>1005</v>
      </c>
      <c r="E16" t="s">
        <v>184</v>
      </c>
      <c r="F16" t="s">
        <v>1007</v>
      </c>
      <c r="G16" t="s">
        <v>1019</v>
      </c>
      <c r="H16" s="19" t="s">
        <v>88</v>
      </c>
      <c r="I16" s="19" t="s">
        <v>1152</v>
      </c>
      <c r="J16" t="s">
        <v>1153</v>
      </c>
      <c r="K16" t="s">
        <v>1154</v>
      </c>
      <c r="L16">
        <v>0</v>
      </c>
      <c r="M16" t="s">
        <v>1155</v>
      </c>
    </row>
    <row r="17" spans="1:13">
      <c r="A17" t="s">
        <v>1104</v>
      </c>
      <c r="B17" s="55" t="s">
        <v>473</v>
      </c>
      <c r="C17" t="s">
        <v>1156</v>
      </c>
      <c r="D17" t="s">
        <v>1005</v>
      </c>
      <c r="E17" t="s">
        <v>184</v>
      </c>
      <c r="F17" t="s">
        <v>1023</v>
      </c>
      <c r="G17" t="s">
        <v>1008</v>
      </c>
      <c r="H17" s="19" t="s">
        <v>90</v>
      </c>
      <c r="I17" s="19" t="s">
        <v>1157</v>
      </c>
      <c r="J17" t="s">
        <v>1158</v>
      </c>
      <c r="K17" t="s">
        <v>1154</v>
      </c>
      <c r="L17">
        <v>0</v>
      </c>
      <c r="M17" t="s">
        <v>1159</v>
      </c>
    </row>
    <row r="18" spans="1:13">
      <c r="A18" t="s">
        <v>1105</v>
      </c>
      <c r="B18" s="55" t="s">
        <v>473</v>
      </c>
      <c r="C18" t="s">
        <v>1160</v>
      </c>
      <c r="D18" t="s">
        <v>1005</v>
      </c>
      <c r="E18" t="s">
        <v>191</v>
      </c>
      <c r="F18" t="s">
        <v>1007</v>
      </c>
      <c r="G18" t="s">
        <v>1019</v>
      </c>
      <c r="H18" s="19" t="s">
        <v>1080</v>
      </c>
      <c r="I18" s="19" t="s">
        <v>1161</v>
      </c>
      <c r="J18" t="s">
        <v>1162</v>
      </c>
      <c r="K18" t="s">
        <v>1154</v>
      </c>
      <c r="L18" t="s">
        <v>1163</v>
      </c>
      <c r="M18" t="s">
        <v>1163</v>
      </c>
    </row>
    <row r="19" spans="1:13">
      <c r="A19" t="s">
        <v>1106</v>
      </c>
      <c r="B19" s="55" t="s">
        <v>473</v>
      </c>
      <c r="C19" t="s">
        <v>1164</v>
      </c>
      <c r="D19" t="s">
        <v>1005</v>
      </c>
      <c r="E19" t="s">
        <v>302</v>
      </c>
      <c r="F19" t="s">
        <v>1023</v>
      </c>
      <c r="G19" t="s">
        <v>1008</v>
      </c>
      <c r="H19" s="19" t="s">
        <v>1081</v>
      </c>
      <c r="I19" s="19" t="s">
        <v>1165</v>
      </c>
      <c r="J19" t="s">
        <v>1166</v>
      </c>
      <c r="K19" t="s">
        <v>1154</v>
      </c>
      <c r="L19" t="s">
        <v>1167</v>
      </c>
      <c r="M19" t="s">
        <v>1167</v>
      </c>
    </row>
    <row r="20" spans="1:13">
      <c r="A20" t="s">
        <v>1107</v>
      </c>
      <c r="B20" s="55" t="s">
        <v>473</v>
      </c>
      <c r="C20" t="s">
        <v>1168</v>
      </c>
      <c r="D20" t="s">
        <v>1005</v>
      </c>
      <c r="E20" t="s">
        <v>332</v>
      </c>
      <c r="F20" t="s">
        <v>1023</v>
      </c>
      <c r="G20" t="s">
        <v>1169</v>
      </c>
      <c r="H20" s="19" t="s">
        <v>1082</v>
      </c>
      <c r="I20" s="19" t="s">
        <v>1170</v>
      </c>
      <c r="J20" t="s">
        <v>1171</v>
      </c>
      <c r="K20" t="s">
        <v>1154</v>
      </c>
      <c r="L20" t="s">
        <v>1172</v>
      </c>
      <c r="M20" t="s">
        <v>1172</v>
      </c>
    </row>
    <row r="21" spans="1:13">
      <c r="A21" t="s">
        <v>1108</v>
      </c>
      <c r="B21" s="55" t="s">
        <v>473</v>
      </c>
      <c r="C21" t="s">
        <v>1173</v>
      </c>
      <c r="D21" t="s">
        <v>1005</v>
      </c>
      <c r="E21" t="s">
        <v>184</v>
      </c>
      <c r="F21" t="s">
        <v>1007</v>
      </c>
      <c r="G21" t="s">
        <v>1008</v>
      </c>
      <c r="H21" s="19" t="s">
        <v>91</v>
      </c>
      <c r="I21" s="19" t="s">
        <v>1174</v>
      </c>
      <c r="J21" t="s">
        <v>1175</v>
      </c>
      <c r="K21" t="s">
        <v>93</v>
      </c>
      <c r="L21">
        <v>0</v>
      </c>
      <c r="M21" t="s">
        <v>1176</v>
      </c>
    </row>
    <row r="22" spans="1:13">
      <c r="A22" t="s">
        <v>1109</v>
      </c>
      <c r="B22" s="55" t="s">
        <v>473</v>
      </c>
      <c r="C22" t="s">
        <v>1173</v>
      </c>
      <c r="D22" t="s">
        <v>1005</v>
      </c>
      <c r="E22" t="s">
        <v>184</v>
      </c>
      <c r="F22" t="s">
        <v>1023</v>
      </c>
      <c r="G22" t="s">
        <v>1008</v>
      </c>
      <c r="H22" s="19" t="s">
        <v>1083</v>
      </c>
      <c r="I22" s="19" t="s">
        <v>1177</v>
      </c>
      <c r="J22" t="s">
        <v>1178</v>
      </c>
      <c r="K22" t="s">
        <v>93</v>
      </c>
      <c r="L22">
        <v>0</v>
      </c>
      <c r="M22" t="s">
        <v>1179</v>
      </c>
    </row>
    <row r="23" spans="1:13">
      <c r="A23" t="s">
        <v>1110</v>
      </c>
      <c r="B23" s="55" t="s">
        <v>473</v>
      </c>
      <c r="C23" t="s">
        <v>1173</v>
      </c>
      <c r="D23" t="s">
        <v>1005</v>
      </c>
      <c r="E23" t="s">
        <v>184</v>
      </c>
      <c r="F23" t="s">
        <v>1023</v>
      </c>
      <c r="G23" t="s">
        <v>1008</v>
      </c>
      <c r="H23" s="19" t="s">
        <v>1084</v>
      </c>
      <c r="I23" s="19" t="s">
        <v>1180</v>
      </c>
      <c r="J23" t="s">
        <v>1181</v>
      </c>
      <c r="K23" t="s">
        <v>93</v>
      </c>
      <c r="L23">
        <v>0</v>
      </c>
      <c r="M23" t="s">
        <v>1182</v>
      </c>
    </row>
    <row r="24" spans="1:13">
      <c r="A24" t="s">
        <v>1111</v>
      </c>
      <c r="B24" s="55" t="s">
        <v>473</v>
      </c>
      <c r="C24" t="s">
        <v>1173</v>
      </c>
      <c r="D24" t="s">
        <v>1005</v>
      </c>
      <c r="E24" t="s">
        <v>184</v>
      </c>
      <c r="F24" t="s">
        <v>1007</v>
      </c>
      <c r="G24" t="s">
        <v>1008</v>
      </c>
      <c r="H24" s="19" t="s">
        <v>1085</v>
      </c>
      <c r="I24" s="19" t="s">
        <v>1183</v>
      </c>
      <c r="J24" t="s">
        <v>1184</v>
      </c>
      <c r="K24" t="s">
        <v>93</v>
      </c>
      <c r="L24">
        <v>0</v>
      </c>
      <c r="M24" t="s">
        <v>1185</v>
      </c>
    </row>
    <row r="25" spans="1:13">
      <c r="A25" t="s">
        <v>1112</v>
      </c>
      <c r="B25" s="55" t="s">
        <v>473</v>
      </c>
      <c r="C25" t="s">
        <v>1208</v>
      </c>
      <c r="D25" t="s">
        <v>1005</v>
      </c>
      <c r="E25" t="s">
        <v>184</v>
      </c>
      <c r="F25" t="s">
        <v>1036</v>
      </c>
      <c r="G25" t="s">
        <v>1008</v>
      </c>
      <c r="H25" s="19" t="s">
        <v>1102</v>
      </c>
      <c r="I25" s="19" t="s">
        <v>1209</v>
      </c>
      <c r="J25" t="s">
        <v>1210</v>
      </c>
      <c r="K25" t="s">
        <v>93</v>
      </c>
      <c r="L25">
        <v>0</v>
      </c>
      <c r="M25" t="s">
        <v>1211</v>
      </c>
    </row>
    <row r="26" spans="1:13">
      <c r="A26" t="s">
        <v>1113</v>
      </c>
      <c r="B26" s="55" t="s">
        <v>473</v>
      </c>
      <c r="C26" t="s">
        <v>1186</v>
      </c>
      <c r="D26" t="s">
        <v>1006</v>
      </c>
      <c r="E26" t="s">
        <v>228</v>
      </c>
      <c r="F26" t="s">
        <v>1023</v>
      </c>
      <c r="G26" t="s">
        <v>1169</v>
      </c>
      <c r="H26" s="19" t="s">
        <v>1086</v>
      </c>
      <c r="I26" s="19" t="s">
        <v>1187</v>
      </c>
      <c r="J26" t="s">
        <v>1188</v>
      </c>
      <c r="K26" t="s">
        <v>93</v>
      </c>
      <c r="L26">
        <v>0</v>
      </c>
      <c r="M26" t="s">
        <v>1189</v>
      </c>
    </row>
    <row r="27" spans="1:13">
      <c r="A27" t="s">
        <v>1114</v>
      </c>
      <c r="B27" s="55" t="s">
        <v>473</v>
      </c>
      <c r="C27" t="s">
        <v>1190</v>
      </c>
      <c r="D27" t="s">
        <v>1005</v>
      </c>
      <c r="E27" t="s">
        <v>302</v>
      </c>
      <c r="F27" t="s">
        <v>1195</v>
      </c>
      <c r="G27" t="s">
        <v>1196</v>
      </c>
      <c r="H27" s="19" t="s">
        <v>1088</v>
      </c>
      <c r="I27" s="19" t="s">
        <v>1197</v>
      </c>
      <c r="J27" t="s">
        <v>1198</v>
      </c>
      <c r="K27" t="s">
        <v>93</v>
      </c>
      <c r="L27">
        <v>0</v>
      </c>
      <c r="M27" t="s">
        <v>1199</v>
      </c>
    </row>
    <row r="28" spans="1:13">
      <c r="A28" t="s">
        <v>1115</v>
      </c>
      <c r="B28" s="55" t="s">
        <v>473</v>
      </c>
      <c r="C28" t="s">
        <v>1200</v>
      </c>
      <c r="D28" t="s">
        <v>1005</v>
      </c>
      <c r="E28" t="s">
        <v>332</v>
      </c>
      <c r="F28" t="s">
        <v>1036</v>
      </c>
      <c r="G28" t="s">
        <v>1169</v>
      </c>
      <c r="H28" s="19" t="s">
        <v>1089</v>
      </c>
      <c r="I28" s="19" t="s">
        <v>1201</v>
      </c>
      <c r="J28" t="s">
        <v>1202</v>
      </c>
      <c r="K28" t="s">
        <v>93</v>
      </c>
      <c r="L28">
        <v>0</v>
      </c>
      <c r="M28" t="s">
        <v>1203</v>
      </c>
    </row>
    <row r="29" spans="1:13">
      <c r="A29" t="s">
        <v>1116</v>
      </c>
      <c r="B29" s="55" t="s">
        <v>473</v>
      </c>
      <c r="C29" t="s">
        <v>1204</v>
      </c>
      <c r="D29" t="s">
        <v>1006</v>
      </c>
      <c r="E29" t="s">
        <v>334</v>
      </c>
      <c r="F29" t="s">
        <v>1023</v>
      </c>
      <c r="G29" t="s">
        <v>1169</v>
      </c>
      <c r="H29" s="19" t="s">
        <v>1090</v>
      </c>
      <c r="I29" s="19" t="s">
        <v>1205</v>
      </c>
      <c r="J29" t="s">
        <v>1206</v>
      </c>
      <c r="K29" t="s">
        <v>93</v>
      </c>
      <c r="L29">
        <v>0</v>
      </c>
      <c r="M29" t="s">
        <v>1207</v>
      </c>
    </row>
    <row r="30" spans="1:13">
      <c r="A30" t="s">
        <v>1117</v>
      </c>
      <c r="B30" t="s">
        <v>467</v>
      </c>
      <c r="C30" t="s">
        <v>1151</v>
      </c>
      <c r="D30" t="s">
        <v>1005</v>
      </c>
      <c r="E30" t="s">
        <v>184</v>
      </c>
      <c r="F30" t="s">
        <v>1007</v>
      </c>
      <c r="G30" t="s">
        <v>1019</v>
      </c>
      <c r="H30" s="19" t="s">
        <v>88</v>
      </c>
      <c r="I30" s="19" t="s">
        <v>1152</v>
      </c>
      <c r="J30" t="s">
        <v>1153</v>
      </c>
      <c r="K30" t="s">
        <v>1154</v>
      </c>
      <c r="L30">
        <v>0</v>
      </c>
      <c r="M30" t="s">
        <v>1155</v>
      </c>
    </row>
    <row r="31" spans="1:13">
      <c r="A31" t="s">
        <v>1118</v>
      </c>
      <c r="B31" t="s">
        <v>467</v>
      </c>
      <c r="C31" t="s">
        <v>1156</v>
      </c>
      <c r="D31" t="s">
        <v>1005</v>
      </c>
      <c r="E31" t="s">
        <v>184</v>
      </c>
      <c r="F31" t="s">
        <v>1023</v>
      </c>
      <c r="G31" t="s">
        <v>1008</v>
      </c>
      <c r="H31" s="19" t="s">
        <v>90</v>
      </c>
      <c r="I31" s="19" t="s">
        <v>1157</v>
      </c>
      <c r="J31" t="s">
        <v>1158</v>
      </c>
      <c r="K31" t="s">
        <v>1154</v>
      </c>
      <c r="L31">
        <v>0</v>
      </c>
      <c r="M31" t="s">
        <v>1159</v>
      </c>
    </row>
    <row r="32" spans="1:13">
      <c r="A32" t="s">
        <v>1119</v>
      </c>
      <c r="B32" t="s">
        <v>467</v>
      </c>
      <c r="C32" t="s">
        <v>1160</v>
      </c>
      <c r="D32" t="s">
        <v>1005</v>
      </c>
      <c r="E32" t="s">
        <v>191</v>
      </c>
      <c r="F32" t="s">
        <v>1007</v>
      </c>
      <c r="G32" t="s">
        <v>1019</v>
      </c>
      <c r="H32" s="19" t="s">
        <v>1080</v>
      </c>
      <c r="I32" s="19" t="s">
        <v>1161</v>
      </c>
      <c r="J32" t="s">
        <v>1162</v>
      </c>
      <c r="K32" t="s">
        <v>1154</v>
      </c>
      <c r="L32" t="s">
        <v>1163</v>
      </c>
      <c r="M32" t="s">
        <v>1163</v>
      </c>
    </row>
    <row r="33" spans="1:13">
      <c r="A33" t="s">
        <v>1120</v>
      </c>
      <c r="B33" t="s">
        <v>467</v>
      </c>
      <c r="C33" t="s">
        <v>1164</v>
      </c>
      <c r="D33" t="s">
        <v>1005</v>
      </c>
      <c r="E33" t="s">
        <v>302</v>
      </c>
      <c r="F33" t="s">
        <v>1023</v>
      </c>
      <c r="G33" t="s">
        <v>1008</v>
      </c>
      <c r="H33" s="19" t="s">
        <v>1081</v>
      </c>
      <c r="I33" s="19" t="s">
        <v>1165</v>
      </c>
      <c r="J33" t="s">
        <v>1166</v>
      </c>
      <c r="K33" t="s">
        <v>1154</v>
      </c>
      <c r="L33" t="s">
        <v>1167</v>
      </c>
      <c r="M33" t="s">
        <v>1167</v>
      </c>
    </row>
    <row r="34" spans="1:13">
      <c r="A34" t="s">
        <v>1121</v>
      </c>
      <c r="B34" t="s">
        <v>467</v>
      </c>
      <c r="C34" t="s">
        <v>1173</v>
      </c>
      <c r="D34" t="s">
        <v>1005</v>
      </c>
      <c r="E34" t="s">
        <v>184</v>
      </c>
      <c r="F34" t="s">
        <v>1023</v>
      </c>
      <c r="G34" t="s">
        <v>1008</v>
      </c>
      <c r="H34" s="19" t="s">
        <v>1083</v>
      </c>
      <c r="I34" s="19" t="s">
        <v>1177</v>
      </c>
      <c r="J34" t="s">
        <v>1178</v>
      </c>
      <c r="K34" t="s">
        <v>93</v>
      </c>
      <c r="L34">
        <v>0</v>
      </c>
      <c r="M34" t="s">
        <v>1179</v>
      </c>
    </row>
    <row r="35" spans="1:13">
      <c r="A35" t="s">
        <v>1122</v>
      </c>
      <c r="B35" t="s">
        <v>467</v>
      </c>
      <c r="C35" t="s">
        <v>1173</v>
      </c>
      <c r="D35" t="s">
        <v>1005</v>
      </c>
      <c r="E35" t="s">
        <v>184</v>
      </c>
      <c r="F35" t="s">
        <v>1007</v>
      </c>
      <c r="G35" t="s">
        <v>1008</v>
      </c>
      <c r="H35" s="19" t="s">
        <v>1085</v>
      </c>
      <c r="I35" s="19" t="s">
        <v>1183</v>
      </c>
      <c r="J35" t="s">
        <v>1184</v>
      </c>
      <c r="K35" t="s">
        <v>93</v>
      </c>
      <c r="L35">
        <v>0</v>
      </c>
      <c r="M35" t="s">
        <v>1185</v>
      </c>
    </row>
    <row r="36" spans="1:13">
      <c r="A36" t="s">
        <v>1123</v>
      </c>
      <c r="B36" t="s">
        <v>467</v>
      </c>
      <c r="C36" t="s">
        <v>1173</v>
      </c>
      <c r="D36" t="s">
        <v>1005</v>
      </c>
      <c r="E36" t="s">
        <v>184</v>
      </c>
      <c r="F36" t="s">
        <v>1007</v>
      </c>
      <c r="G36" t="s">
        <v>1008</v>
      </c>
      <c r="H36" s="19" t="s">
        <v>91</v>
      </c>
      <c r="I36" s="19" t="s">
        <v>1174</v>
      </c>
      <c r="J36" t="s">
        <v>1175</v>
      </c>
      <c r="K36" t="s">
        <v>93</v>
      </c>
      <c r="L36">
        <v>0</v>
      </c>
      <c r="M36" t="s">
        <v>1176</v>
      </c>
    </row>
    <row r="37" spans="1:13">
      <c r="A37" t="s">
        <v>1124</v>
      </c>
      <c r="B37" t="s">
        <v>467</v>
      </c>
      <c r="C37" t="s">
        <v>1186</v>
      </c>
      <c r="D37" t="s">
        <v>1006</v>
      </c>
      <c r="E37" t="s">
        <v>228</v>
      </c>
      <c r="F37" t="s">
        <v>1023</v>
      </c>
      <c r="G37" t="s">
        <v>1169</v>
      </c>
      <c r="H37" s="19" t="s">
        <v>1086</v>
      </c>
      <c r="I37" s="19" t="s">
        <v>1187</v>
      </c>
      <c r="J37" t="s">
        <v>1188</v>
      </c>
      <c r="K37" t="s">
        <v>93</v>
      </c>
      <c r="L37">
        <v>0</v>
      </c>
      <c r="M37" t="s">
        <v>1189</v>
      </c>
    </row>
    <row r="38" spans="1:13">
      <c r="A38" t="s">
        <v>1125</v>
      </c>
      <c r="B38" t="s">
        <v>467</v>
      </c>
      <c r="C38" t="s">
        <v>1190</v>
      </c>
      <c r="D38" t="s">
        <v>1005</v>
      </c>
      <c r="E38" t="s">
        <v>302</v>
      </c>
      <c r="F38" t="s">
        <v>1036</v>
      </c>
      <c r="G38" t="s">
        <v>1191</v>
      </c>
      <c r="H38" s="19" t="s">
        <v>1087</v>
      </c>
      <c r="I38" s="19" t="s">
        <v>1192</v>
      </c>
      <c r="J38" t="s">
        <v>1193</v>
      </c>
      <c r="K38" t="s">
        <v>93</v>
      </c>
      <c r="L38">
        <v>0</v>
      </c>
      <c r="M38" t="s">
        <v>1194</v>
      </c>
    </row>
    <row r="39" spans="1:13">
      <c r="A39" t="s">
        <v>1126</v>
      </c>
      <c r="B39" t="s">
        <v>467</v>
      </c>
      <c r="C39" t="s">
        <v>1190</v>
      </c>
      <c r="D39" t="s">
        <v>1005</v>
      </c>
      <c r="E39" t="s">
        <v>302</v>
      </c>
      <c r="F39" t="s">
        <v>1195</v>
      </c>
      <c r="G39" t="s">
        <v>1196</v>
      </c>
      <c r="H39" s="19" t="s">
        <v>1088</v>
      </c>
      <c r="I39" s="19" t="s">
        <v>1197</v>
      </c>
      <c r="J39" t="s">
        <v>1198</v>
      </c>
      <c r="K39" t="s">
        <v>93</v>
      </c>
      <c r="L39">
        <v>0</v>
      </c>
      <c r="M39" t="s">
        <v>1199</v>
      </c>
    </row>
    <row r="40" spans="1:13">
      <c r="A40" t="s">
        <v>1130</v>
      </c>
      <c r="B40" t="s">
        <v>468</v>
      </c>
      <c r="C40" t="s">
        <v>1156</v>
      </c>
      <c r="D40" t="s">
        <v>1005</v>
      </c>
      <c r="E40" t="s">
        <v>184</v>
      </c>
      <c r="F40" t="s">
        <v>1023</v>
      </c>
      <c r="G40" t="s">
        <v>1008</v>
      </c>
      <c r="H40" s="19" t="s">
        <v>90</v>
      </c>
      <c r="I40" s="19" t="s">
        <v>1157</v>
      </c>
      <c r="J40" t="s">
        <v>1158</v>
      </c>
      <c r="K40" t="s">
        <v>1154</v>
      </c>
      <c r="L40">
        <v>0</v>
      </c>
      <c r="M40" t="s">
        <v>1159</v>
      </c>
    </row>
    <row r="41" spans="1:13">
      <c r="A41" t="s">
        <v>1131</v>
      </c>
      <c r="B41" t="s">
        <v>468</v>
      </c>
      <c r="C41" t="s">
        <v>1164</v>
      </c>
      <c r="D41" t="s">
        <v>1005</v>
      </c>
      <c r="E41" t="s">
        <v>302</v>
      </c>
      <c r="F41" t="s">
        <v>1023</v>
      </c>
      <c r="G41" t="s">
        <v>1008</v>
      </c>
      <c r="H41" s="19" t="s">
        <v>1081</v>
      </c>
      <c r="I41" s="19" t="s">
        <v>1165</v>
      </c>
      <c r="J41" t="s">
        <v>1166</v>
      </c>
      <c r="K41" t="s">
        <v>1154</v>
      </c>
      <c r="L41" t="s">
        <v>1167</v>
      </c>
      <c r="M41" t="s">
        <v>1167</v>
      </c>
    </row>
    <row r="42" spans="1:13">
      <c r="A42" t="s">
        <v>1132</v>
      </c>
      <c r="B42" t="s">
        <v>468</v>
      </c>
      <c r="C42" t="s">
        <v>1168</v>
      </c>
      <c r="D42" t="s">
        <v>1005</v>
      </c>
      <c r="E42" t="s">
        <v>332</v>
      </c>
      <c r="F42" t="s">
        <v>1023</v>
      </c>
      <c r="G42" t="s">
        <v>1169</v>
      </c>
      <c r="H42" s="19" t="s">
        <v>1082</v>
      </c>
      <c r="I42" s="19" t="s">
        <v>1170</v>
      </c>
      <c r="J42" t="s">
        <v>1171</v>
      </c>
      <c r="K42" t="s">
        <v>1154</v>
      </c>
      <c r="L42" t="s">
        <v>1172</v>
      </c>
      <c r="M42" t="s">
        <v>1172</v>
      </c>
    </row>
    <row r="43" spans="1:13">
      <c r="A43" t="s">
        <v>1133</v>
      </c>
      <c r="B43" t="s">
        <v>468</v>
      </c>
      <c r="C43" t="s">
        <v>1212</v>
      </c>
      <c r="D43" t="s">
        <v>1005</v>
      </c>
      <c r="E43" t="s">
        <v>124</v>
      </c>
      <c r="F43" t="s">
        <v>1023</v>
      </c>
      <c r="G43" t="s">
        <v>1008</v>
      </c>
      <c r="H43" s="19" t="s">
        <v>1127</v>
      </c>
      <c r="I43" s="19" t="s">
        <v>1213</v>
      </c>
      <c r="J43" t="s">
        <v>1214</v>
      </c>
      <c r="K43" t="s">
        <v>93</v>
      </c>
      <c r="L43">
        <v>0</v>
      </c>
      <c r="M43" t="s">
        <v>1215</v>
      </c>
    </row>
    <row r="44" spans="1:13">
      <c r="A44" t="s">
        <v>1134</v>
      </c>
      <c r="B44" t="s">
        <v>468</v>
      </c>
      <c r="C44" t="s">
        <v>1216</v>
      </c>
      <c r="D44" t="s">
        <v>1005</v>
      </c>
      <c r="E44" t="s">
        <v>184</v>
      </c>
      <c r="F44" t="s">
        <v>1023</v>
      </c>
      <c r="G44" t="s">
        <v>1169</v>
      </c>
      <c r="H44" s="19" t="s">
        <v>1128</v>
      </c>
      <c r="I44" s="19" t="s">
        <v>1217</v>
      </c>
      <c r="J44" t="s">
        <v>1218</v>
      </c>
      <c r="K44" t="s">
        <v>93</v>
      </c>
      <c r="L44">
        <v>0</v>
      </c>
      <c r="M44" t="s">
        <v>1219</v>
      </c>
    </row>
    <row r="45" spans="1:13">
      <c r="A45" t="s">
        <v>1135</v>
      </c>
      <c r="B45" t="s">
        <v>468</v>
      </c>
      <c r="C45" t="s">
        <v>1208</v>
      </c>
      <c r="D45" t="s">
        <v>1005</v>
      </c>
      <c r="E45" t="s">
        <v>184</v>
      </c>
      <c r="F45" t="s">
        <v>1036</v>
      </c>
      <c r="G45" t="s">
        <v>1008</v>
      </c>
      <c r="H45" s="19" t="s">
        <v>1102</v>
      </c>
      <c r="I45" s="19" t="s">
        <v>1209</v>
      </c>
      <c r="J45" t="s">
        <v>1210</v>
      </c>
      <c r="K45" t="s">
        <v>93</v>
      </c>
      <c r="L45">
        <v>0</v>
      </c>
      <c r="M45" t="s">
        <v>1211</v>
      </c>
    </row>
    <row r="46" spans="1:13">
      <c r="A46" t="s">
        <v>1136</v>
      </c>
      <c r="B46" t="s">
        <v>468</v>
      </c>
      <c r="C46" t="s">
        <v>1186</v>
      </c>
      <c r="D46" t="s">
        <v>1006</v>
      </c>
      <c r="E46" t="s">
        <v>228</v>
      </c>
      <c r="F46" t="s">
        <v>1023</v>
      </c>
      <c r="G46" t="s">
        <v>1169</v>
      </c>
      <c r="H46" s="19" t="s">
        <v>1086</v>
      </c>
      <c r="I46" s="19" t="s">
        <v>1187</v>
      </c>
      <c r="J46" t="s">
        <v>1188</v>
      </c>
      <c r="K46" t="s">
        <v>93</v>
      </c>
      <c r="L46">
        <v>0</v>
      </c>
      <c r="M46" t="s">
        <v>1189</v>
      </c>
    </row>
    <row r="47" spans="1:13">
      <c r="A47" t="s">
        <v>1137</v>
      </c>
      <c r="B47" t="s">
        <v>468</v>
      </c>
      <c r="C47" t="s">
        <v>1190</v>
      </c>
      <c r="D47" t="s">
        <v>1005</v>
      </c>
      <c r="E47" t="s">
        <v>302</v>
      </c>
      <c r="F47" t="s">
        <v>1036</v>
      </c>
      <c r="G47" t="s">
        <v>1191</v>
      </c>
      <c r="H47" s="19" t="s">
        <v>1087</v>
      </c>
      <c r="I47" s="19" t="s">
        <v>1192</v>
      </c>
      <c r="J47" t="s">
        <v>1193</v>
      </c>
      <c r="K47" t="s">
        <v>93</v>
      </c>
      <c r="L47">
        <v>0</v>
      </c>
      <c r="M47" t="s">
        <v>1194</v>
      </c>
    </row>
    <row r="48" spans="1:13">
      <c r="A48" t="s">
        <v>1138</v>
      </c>
      <c r="B48" t="s">
        <v>468</v>
      </c>
      <c r="C48" t="s">
        <v>1190</v>
      </c>
      <c r="D48" t="s">
        <v>1005</v>
      </c>
      <c r="E48" t="s">
        <v>302</v>
      </c>
      <c r="F48" t="s">
        <v>1195</v>
      </c>
      <c r="G48" t="s">
        <v>1196</v>
      </c>
      <c r="H48" s="19" t="s">
        <v>1088</v>
      </c>
      <c r="I48" s="19" t="s">
        <v>1197</v>
      </c>
      <c r="J48" t="s">
        <v>1198</v>
      </c>
      <c r="K48" t="s">
        <v>93</v>
      </c>
      <c r="L48">
        <v>0</v>
      </c>
      <c r="M48" t="s">
        <v>1199</v>
      </c>
    </row>
    <row r="49" spans="1:13">
      <c r="A49" t="s">
        <v>1139</v>
      </c>
      <c r="B49" t="s">
        <v>468</v>
      </c>
      <c r="C49" t="s">
        <v>1200</v>
      </c>
      <c r="D49" t="s">
        <v>1005</v>
      </c>
      <c r="E49" t="s">
        <v>332</v>
      </c>
      <c r="F49" t="s">
        <v>1036</v>
      </c>
      <c r="G49" t="s">
        <v>1169</v>
      </c>
      <c r="H49" s="19" t="s">
        <v>1089</v>
      </c>
      <c r="I49" s="19" t="s">
        <v>1201</v>
      </c>
      <c r="J49" t="s">
        <v>1202</v>
      </c>
      <c r="K49" t="s">
        <v>93</v>
      </c>
      <c r="L49">
        <v>0</v>
      </c>
      <c r="M49" t="s">
        <v>1203</v>
      </c>
    </row>
    <row r="50" spans="1:13">
      <c r="A50" t="s">
        <v>1140</v>
      </c>
      <c r="B50" t="s">
        <v>468</v>
      </c>
      <c r="C50" t="s">
        <v>1204</v>
      </c>
      <c r="D50" t="s">
        <v>1006</v>
      </c>
      <c r="E50" t="s">
        <v>334</v>
      </c>
      <c r="F50" t="s">
        <v>1023</v>
      </c>
      <c r="G50" t="s">
        <v>1169</v>
      </c>
      <c r="H50" s="19" t="s">
        <v>1090</v>
      </c>
      <c r="I50" s="19" t="s">
        <v>1205</v>
      </c>
      <c r="J50" t="s">
        <v>1206</v>
      </c>
      <c r="K50" t="s">
        <v>93</v>
      </c>
      <c r="L50">
        <v>0</v>
      </c>
      <c r="M50" t="s">
        <v>1207</v>
      </c>
    </row>
    <row r="51" spans="1:13">
      <c r="A51" t="s">
        <v>1141</v>
      </c>
      <c r="B51" t="s">
        <v>468</v>
      </c>
      <c r="C51" t="s">
        <v>1220</v>
      </c>
      <c r="D51" t="s">
        <v>1005</v>
      </c>
      <c r="E51" t="s">
        <v>334</v>
      </c>
      <c r="F51" t="s">
        <v>1023</v>
      </c>
      <c r="G51" t="s">
        <v>1008</v>
      </c>
      <c r="H51" s="19" t="s">
        <v>1129</v>
      </c>
      <c r="I51" s="19" t="s">
        <v>1221</v>
      </c>
      <c r="J51" t="s">
        <v>1222</v>
      </c>
      <c r="K51" t="s">
        <v>93</v>
      </c>
      <c r="L51">
        <v>0</v>
      </c>
      <c r="M51" t="s">
        <v>1223</v>
      </c>
    </row>
    <row r="52" spans="1:13">
      <c r="A52" t="s">
        <v>1143</v>
      </c>
      <c r="B52" t="s">
        <v>475</v>
      </c>
      <c r="C52" t="s">
        <v>1156</v>
      </c>
      <c r="D52" t="s">
        <v>1005</v>
      </c>
      <c r="E52" t="s">
        <v>184</v>
      </c>
      <c r="F52" t="s">
        <v>1023</v>
      </c>
      <c r="G52" t="s">
        <v>1008</v>
      </c>
      <c r="H52" s="19" t="s">
        <v>90</v>
      </c>
      <c r="I52" s="19" t="s">
        <v>1157</v>
      </c>
      <c r="J52" t="s">
        <v>1158</v>
      </c>
      <c r="K52" t="s">
        <v>1154</v>
      </c>
      <c r="L52">
        <v>0</v>
      </c>
      <c r="M52" t="s">
        <v>1159</v>
      </c>
    </row>
    <row r="53" spans="1:13">
      <c r="A53" t="s">
        <v>1144</v>
      </c>
      <c r="B53" t="s">
        <v>475</v>
      </c>
      <c r="C53" t="s">
        <v>1164</v>
      </c>
      <c r="D53" t="s">
        <v>1005</v>
      </c>
      <c r="E53" t="s">
        <v>302</v>
      </c>
      <c r="F53" t="s">
        <v>1023</v>
      </c>
      <c r="G53" t="s">
        <v>1008</v>
      </c>
      <c r="H53" s="19" t="s">
        <v>1081</v>
      </c>
      <c r="I53" s="19" t="s">
        <v>1165</v>
      </c>
      <c r="J53" t="s">
        <v>1166</v>
      </c>
      <c r="K53" t="s">
        <v>1154</v>
      </c>
      <c r="L53" t="s">
        <v>1167</v>
      </c>
      <c r="M53" t="s">
        <v>1167</v>
      </c>
    </row>
    <row r="54" spans="1:13">
      <c r="A54" t="s">
        <v>1145</v>
      </c>
      <c r="B54" t="s">
        <v>475</v>
      </c>
      <c r="C54" t="s">
        <v>1212</v>
      </c>
      <c r="D54" t="s">
        <v>1005</v>
      </c>
      <c r="E54" t="s">
        <v>124</v>
      </c>
      <c r="F54" t="s">
        <v>1023</v>
      </c>
      <c r="G54" t="s">
        <v>1008</v>
      </c>
      <c r="H54" s="19" t="s">
        <v>1127</v>
      </c>
      <c r="I54" s="19" t="s">
        <v>1213</v>
      </c>
      <c r="J54" t="s">
        <v>1214</v>
      </c>
      <c r="K54" t="s">
        <v>93</v>
      </c>
      <c r="L54">
        <v>0</v>
      </c>
      <c r="M54" t="s">
        <v>1215</v>
      </c>
    </row>
    <row r="55" spans="1:13">
      <c r="A55" t="s">
        <v>1146</v>
      </c>
      <c r="B55" t="s">
        <v>475</v>
      </c>
      <c r="C55" t="s">
        <v>1224</v>
      </c>
      <c r="D55" t="s">
        <v>1005</v>
      </c>
      <c r="E55" t="s">
        <v>124</v>
      </c>
      <c r="F55" t="s">
        <v>1023</v>
      </c>
      <c r="G55" t="s">
        <v>1008</v>
      </c>
      <c r="H55" s="19" t="s">
        <v>1142</v>
      </c>
      <c r="I55" s="19" t="s">
        <v>1225</v>
      </c>
      <c r="J55" t="s">
        <v>1226</v>
      </c>
      <c r="K55" t="s">
        <v>93</v>
      </c>
      <c r="L55">
        <v>0</v>
      </c>
      <c r="M55" t="s">
        <v>1227</v>
      </c>
    </row>
    <row r="56" spans="1:13">
      <c r="A56" t="s">
        <v>1147</v>
      </c>
      <c r="B56" t="s">
        <v>475</v>
      </c>
      <c r="C56" t="s">
        <v>1216</v>
      </c>
      <c r="D56" t="s">
        <v>1005</v>
      </c>
      <c r="E56" t="s">
        <v>184</v>
      </c>
      <c r="F56" t="s">
        <v>1023</v>
      </c>
      <c r="G56" t="s">
        <v>1169</v>
      </c>
      <c r="H56" s="19" t="s">
        <v>1128</v>
      </c>
      <c r="I56" s="19" t="s">
        <v>1217</v>
      </c>
      <c r="J56" t="s">
        <v>1218</v>
      </c>
      <c r="K56" t="s">
        <v>93</v>
      </c>
      <c r="L56">
        <v>0</v>
      </c>
      <c r="M56" t="s">
        <v>1219</v>
      </c>
    </row>
    <row r="57" spans="1:13">
      <c r="A57" t="s">
        <v>1148</v>
      </c>
      <c r="B57" t="s">
        <v>475</v>
      </c>
      <c r="C57" t="s">
        <v>1208</v>
      </c>
      <c r="D57" t="s">
        <v>1005</v>
      </c>
      <c r="E57" t="s">
        <v>184</v>
      </c>
      <c r="F57" t="s">
        <v>1036</v>
      </c>
      <c r="G57" t="s">
        <v>1008</v>
      </c>
      <c r="H57" s="19" t="s">
        <v>1102</v>
      </c>
      <c r="I57" s="19" t="s">
        <v>1209</v>
      </c>
      <c r="J57" t="s">
        <v>1210</v>
      </c>
      <c r="K57" t="s">
        <v>93</v>
      </c>
      <c r="L57">
        <v>0</v>
      </c>
      <c r="M57" t="s">
        <v>1211</v>
      </c>
    </row>
    <row r="58" spans="1:13">
      <c r="A58" t="s">
        <v>1149</v>
      </c>
      <c r="B58" t="s">
        <v>475</v>
      </c>
      <c r="C58" t="s">
        <v>1186</v>
      </c>
      <c r="D58" t="s">
        <v>1006</v>
      </c>
      <c r="E58" t="s">
        <v>228</v>
      </c>
      <c r="F58" t="s">
        <v>1023</v>
      </c>
      <c r="G58" t="s">
        <v>1169</v>
      </c>
      <c r="H58" s="19" t="s">
        <v>1086</v>
      </c>
      <c r="I58" s="19" t="s">
        <v>1187</v>
      </c>
      <c r="J58" t="s">
        <v>1188</v>
      </c>
      <c r="K58" t="s">
        <v>93</v>
      </c>
      <c r="L58">
        <v>0</v>
      </c>
      <c r="M58" t="s">
        <v>1189</v>
      </c>
    </row>
    <row r="59" spans="1:13">
      <c r="A59" t="s">
        <v>1150</v>
      </c>
      <c r="B59" t="s">
        <v>475</v>
      </c>
      <c r="C59" t="s">
        <v>1190</v>
      </c>
      <c r="D59" t="s">
        <v>1005</v>
      </c>
      <c r="E59" t="s">
        <v>302</v>
      </c>
      <c r="F59" t="s">
        <v>1036</v>
      </c>
      <c r="G59" t="s">
        <v>1191</v>
      </c>
      <c r="H59" s="19" t="s">
        <v>1087</v>
      </c>
      <c r="I59" s="19" t="s">
        <v>1192</v>
      </c>
      <c r="J59" t="s">
        <v>1193</v>
      </c>
      <c r="K59" t="s">
        <v>93</v>
      </c>
      <c r="L59">
        <v>0</v>
      </c>
      <c r="M59" t="s">
        <v>1194</v>
      </c>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9CA16-4E26-49E0-8422-415081638838}">
  <sheetPr codeName="Foglio7"/>
  <dimension ref="A1:D46"/>
  <sheetViews>
    <sheetView topLeftCell="A21" workbookViewId="0">
      <selection activeCell="I34" sqref="I34"/>
    </sheetView>
  </sheetViews>
  <sheetFormatPr defaultRowHeight="14.4"/>
  <cols>
    <col min="1" max="1" width="9.5546875" bestFit="1" customWidth="1"/>
    <col min="3" max="3" width="34.33203125" bestFit="1" customWidth="1"/>
    <col min="4" max="4" width="8.33203125" bestFit="1" customWidth="1"/>
  </cols>
  <sheetData>
    <row r="1" spans="1:4" ht="15" thickBot="1">
      <c r="A1" t="s">
        <v>7</v>
      </c>
      <c r="B1" t="s">
        <v>104</v>
      </c>
      <c r="C1" t="s">
        <v>105</v>
      </c>
      <c r="D1" t="s">
        <v>106</v>
      </c>
    </row>
    <row r="2" spans="1:4">
      <c r="A2" s="17" t="s">
        <v>1285</v>
      </c>
      <c r="B2" s="56" t="s">
        <v>107</v>
      </c>
      <c r="C2" s="19" t="s">
        <v>108</v>
      </c>
      <c r="D2" s="13" t="s">
        <v>84</v>
      </c>
    </row>
    <row r="3" spans="1:4">
      <c r="A3" s="17" t="s">
        <v>1285</v>
      </c>
      <c r="B3" s="56">
        <v>2</v>
      </c>
      <c r="C3" s="19" t="s">
        <v>109</v>
      </c>
      <c r="D3" s="14" t="s">
        <v>84</v>
      </c>
    </row>
    <row r="4" spans="1:4">
      <c r="A4" s="17" t="s">
        <v>1285</v>
      </c>
      <c r="B4" s="56">
        <v>3</v>
      </c>
      <c r="C4" s="19" t="s">
        <v>110</v>
      </c>
      <c r="D4" s="14" t="s">
        <v>84</v>
      </c>
    </row>
    <row r="5" spans="1:4">
      <c r="A5" s="17" t="s">
        <v>1285</v>
      </c>
      <c r="B5" s="56">
        <v>4</v>
      </c>
      <c r="C5" s="19" t="s">
        <v>111</v>
      </c>
      <c r="D5" s="14" t="s">
        <v>409</v>
      </c>
    </row>
    <row r="6" spans="1:4">
      <c r="A6" s="17" t="s">
        <v>1285</v>
      </c>
      <c r="B6" s="56">
        <v>5</v>
      </c>
      <c r="C6" s="19" t="s">
        <v>112</v>
      </c>
      <c r="D6" s="14" t="s">
        <v>84</v>
      </c>
    </row>
    <row r="7" spans="1:4">
      <c r="A7" s="17" t="s">
        <v>1285</v>
      </c>
      <c r="B7" s="56">
        <v>6</v>
      </c>
      <c r="C7" s="19" t="s">
        <v>113</v>
      </c>
      <c r="D7" s="14" t="s">
        <v>84</v>
      </c>
    </row>
    <row r="8" spans="1:4">
      <c r="A8" s="17" t="s">
        <v>1285</v>
      </c>
      <c r="B8" s="56">
        <v>7</v>
      </c>
      <c r="C8" s="19" t="s">
        <v>114</v>
      </c>
      <c r="D8" s="14" t="s">
        <v>409</v>
      </c>
    </row>
    <row r="9" spans="1:4">
      <c r="A9" s="57" t="s">
        <v>1285</v>
      </c>
      <c r="B9" s="56">
        <v>8</v>
      </c>
      <c r="C9" s="19" t="s">
        <v>115</v>
      </c>
      <c r="D9" s="14" t="s">
        <v>84</v>
      </c>
    </row>
    <row r="10" spans="1:4" ht="15" thickBot="1">
      <c r="A10" s="58" t="s">
        <v>1285</v>
      </c>
      <c r="B10" s="59">
        <v>9</v>
      </c>
      <c r="C10" s="60" t="s">
        <v>116</v>
      </c>
      <c r="D10" s="61" t="s">
        <v>84</v>
      </c>
    </row>
    <row r="11" spans="1:4">
      <c r="A11" s="17" t="s">
        <v>1286</v>
      </c>
      <c r="B11" s="56" t="s">
        <v>107</v>
      </c>
      <c r="C11" s="19" t="s">
        <v>108</v>
      </c>
      <c r="D11" s="13" t="s">
        <v>84</v>
      </c>
    </row>
    <row r="12" spans="1:4">
      <c r="A12" s="17" t="s">
        <v>1286</v>
      </c>
      <c r="B12" s="56">
        <v>2</v>
      </c>
      <c r="C12" s="19" t="s">
        <v>109</v>
      </c>
      <c r="D12" s="14" t="s">
        <v>84</v>
      </c>
    </row>
    <row r="13" spans="1:4">
      <c r="A13" s="17" t="s">
        <v>1286</v>
      </c>
      <c r="B13" s="56">
        <v>3</v>
      </c>
      <c r="C13" s="19" t="s">
        <v>110</v>
      </c>
      <c r="D13" s="14" t="s">
        <v>84</v>
      </c>
    </row>
    <row r="14" spans="1:4">
      <c r="A14" s="17" t="s">
        <v>1286</v>
      </c>
      <c r="B14" s="56">
        <v>4</v>
      </c>
      <c r="C14" s="19" t="s">
        <v>111</v>
      </c>
      <c r="D14" s="14" t="s">
        <v>409</v>
      </c>
    </row>
    <row r="15" spans="1:4">
      <c r="A15" s="17" t="s">
        <v>1286</v>
      </c>
      <c r="B15" s="56">
        <v>5</v>
      </c>
      <c r="C15" s="19" t="s">
        <v>112</v>
      </c>
      <c r="D15" s="14" t="s">
        <v>84</v>
      </c>
    </row>
    <row r="16" spans="1:4">
      <c r="A16" s="17" t="s">
        <v>1286</v>
      </c>
      <c r="B16" s="56">
        <v>6</v>
      </c>
      <c r="C16" s="19" t="s">
        <v>113</v>
      </c>
      <c r="D16" s="14" t="s">
        <v>84</v>
      </c>
    </row>
    <row r="17" spans="1:4">
      <c r="A17" s="17" t="s">
        <v>1286</v>
      </c>
      <c r="B17" s="56">
        <v>7</v>
      </c>
      <c r="C17" s="19" t="s">
        <v>114</v>
      </c>
      <c r="D17" s="14" t="s">
        <v>84</v>
      </c>
    </row>
    <row r="18" spans="1:4">
      <c r="A18" s="57" t="s">
        <v>1286</v>
      </c>
      <c r="B18" s="56">
        <v>8</v>
      </c>
      <c r="C18" s="19" t="s">
        <v>115</v>
      </c>
      <c r="D18" s="14" t="s">
        <v>84</v>
      </c>
    </row>
    <row r="19" spans="1:4" ht="15" thickBot="1">
      <c r="A19" s="58" t="s">
        <v>1286</v>
      </c>
      <c r="B19" s="59">
        <v>9</v>
      </c>
      <c r="C19" s="60" t="s">
        <v>116</v>
      </c>
      <c r="D19" s="61" t="s">
        <v>84</v>
      </c>
    </row>
    <row r="20" spans="1:4">
      <c r="A20" s="17" t="s">
        <v>1287</v>
      </c>
      <c r="B20" s="56" t="s">
        <v>107</v>
      </c>
      <c r="C20" s="19" t="s">
        <v>108</v>
      </c>
      <c r="D20" s="13" t="s">
        <v>84</v>
      </c>
    </row>
    <row r="21" spans="1:4">
      <c r="A21" s="17" t="s">
        <v>1287</v>
      </c>
      <c r="B21" s="56">
        <v>2</v>
      </c>
      <c r="C21" s="19" t="s">
        <v>109</v>
      </c>
      <c r="D21" s="14" t="s">
        <v>84</v>
      </c>
    </row>
    <row r="22" spans="1:4">
      <c r="A22" s="17" t="s">
        <v>1287</v>
      </c>
      <c r="B22" s="56">
        <v>3</v>
      </c>
      <c r="C22" s="19" t="s">
        <v>110</v>
      </c>
      <c r="D22" s="14" t="s">
        <v>409</v>
      </c>
    </row>
    <row r="23" spans="1:4">
      <c r="A23" s="17" t="s">
        <v>1287</v>
      </c>
      <c r="B23" s="56">
        <v>4</v>
      </c>
      <c r="C23" s="19" t="s">
        <v>111</v>
      </c>
      <c r="D23" s="14" t="s">
        <v>409</v>
      </c>
    </row>
    <row r="24" spans="1:4">
      <c r="A24" s="17" t="s">
        <v>1287</v>
      </c>
      <c r="B24" s="56">
        <v>5</v>
      </c>
      <c r="C24" s="19" t="s">
        <v>112</v>
      </c>
      <c r="D24" s="14" t="s">
        <v>84</v>
      </c>
    </row>
    <row r="25" spans="1:4">
      <c r="A25" s="17" t="s">
        <v>1287</v>
      </c>
      <c r="B25" s="56">
        <v>6</v>
      </c>
      <c r="C25" s="19" t="s">
        <v>113</v>
      </c>
      <c r="D25" s="14" t="s">
        <v>84</v>
      </c>
    </row>
    <row r="26" spans="1:4">
      <c r="A26" s="17" t="s">
        <v>1287</v>
      </c>
      <c r="B26" s="56">
        <v>7</v>
      </c>
      <c r="C26" s="19" t="s">
        <v>114</v>
      </c>
      <c r="D26" s="14" t="s">
        <v>84</v>
      </c>
    </row>
    <row r="27" spans="1:4">
      <c r="A27" s="57" t="s">
        <v>1287</v>
      </c>
      <c r="B27" s="56">
        <v>8</v>
      </c>
      <c r="C27" s="19" t="s">
        <v>115</v>
      </c>
      <c r="D27" s="14" t="s">
        <v>84</v>
      </c>
    </row>
    <row r="28" spans="1:4" ht="15" thickBot="1">
      <c r="A28" s="58" t="s">
        <v>1287</v>
      </c>
      <c r="B28" s="59">
        <v>9</v>
      </c>
      <c r="C28" s="60" t="s">
        <v>116</v>
      </c>
      <c r="D28" s="61" t="s">
        <v>84</v>
      </c>
    </row>
    <row r="29" spans="1:4">
      <c r="A29" s="17" t="s">
        <v>1288</v>
      </c>
      <c r="B29" s="56" t="s">
        <v>107</v>
      </c>
      <c r="C29" s="19" t="s">
        <v>108</v>
      </c>
      <c r="D29" s="13" t="s">
        <v>1290</v>
      </c>
    </row>
    <row r="30" spans="1:4">
      <c r="A30" s="17" t="s">
        <v>1288</v>
      </c>
      <c r="B30" s="56">
        <v>2</v>
      </c>
      <c r="C30" s="19" t="s">
        <v>109</v>
      </c>
      <c r="D30" s="14" t="s">
        <v>84</v>
      </c>
    </row>
    <row r="31" spans="1:4">
      <c r="A31" s="17" t="s">
        <v>1288</v>
      </c>
      <c r="B31" s="56">
        <v>3</v>
      </c>
      <c r="C31" s="19" t="s">
        <v>110</v>
      </c>
      <c r="D31" s="14" t="s">
        <v>1290</v>
      </c>
    </row>
    <row r="32" spans="1:4">
      <c r="A32" s="17" t="s">
        <v>1288</v>
      </c>
      <c r="B32" s="56">
        <v>4</v>
      </c>
      <c r="C32" s="19" t="s">
        <v>111</v>
      </c>
      <c r="D32" s="14" t="s">
        <v>409</v>
      </c>
    </row>
    <row r="33" spans="1:4">
      <c r="A33" s="17" t="s">
        <v>1288</v>
      </c>
      <c r="B33" s="56">
        <v>5</v>
      </c>
      <c r="C33" s="19" t="s">
        <v>112</v>
      </c>
      <c r="D33" s="14" t="s">
        <v>84</v>
      </c>
    </row>
    <row r="34" spans="1:4">
      <c r="A34" s="17" t="s">
        <v>1288</v>
      </c>
      <c r="B34" s="56">
        <v>6</v>
      </c>
      <c r="C34" s="19" t="s">
        <v>113</v>
      </c>
      <c r="D34" s="14" t="s">
        <v>84</v>
      </c>
    </row>
    <row r="35" spans="1:4">
      <c r="A35" s="17" t="s">
        <v>1288</v>
      </c>
      <c r="B35" s="56">
        <v>7</v>
      </c>
      <c r="C35" s="19" t="s">
        <v>114</v>
      </c>
      <c r="D35" s="14" t="s">
        <v>409</v>
      </c>
    </row>
    <row r="36" spans="1:4">
      <c r="A36" s="57" t="s">
        <v>1288</v>
      </c>
      <c r="B36" s="56">
        <v>8</v>
      </c>
      <c r="C36" s="19" t="s">
        <v>115</v>
      </c>
      <c r="D36" s="14" t="s">
        <v>84</v>
      </c>
    </row>
    <row r="37" spans="1:4" ht="15" thickBot="1">
      <c r="A37" s="58" t="s">
        <v>1288</v>
      </c>
      <c r="B37" s="59">
        <v>9</v>
      </c>
      <c r="C37" s="60" t="s">
        <v>116</v>
      </c>
      <c r="D37" s="61" t="s">
        <v>84</v>
      </c>
    </row>
    <row r="38" spans="1:4">
      <c r="A38" s="17" t="s">
        <v>1289</v>
      </c>
      <c r="B38" s="56" t="s">
        <v>107</v>
      </c>
      <c r="C38" s="19" t="s">
        <v>108</v>
      </c>
      <c r="D38" s="13" t="s">
        <v>1290</v>
      </c>
    </row>
    <row r="39" spans="1:4">
      <c r="A39" s="17" t="s">
        <v>1289</v>
      </c>
      <c r="B39" s="56">
        <v>2</v>
      </c>
      <c r="C39" s="19" t="s">
        <v>109</v>
      </c>
      <c r="D39" s="14" t="s">
        <v>84</v>
      </c>
    </row>
    <row r="40" spans="1:4">
      <c r="A40" s="17" t="s">
        <v>1289</v>
      </c>
      <c r="B40" s="56">
        <v>3</v>
      </c>
      <c r="C40" s="19" t="s">
        <v>110</v>
      </c>
      <c r="D40" s="14" t="s">
        <v>409</v>
      </c>
    </row>
    <row r="41" spans="1:4">
      <c r="A41" s="17" t="s">
        <v>1289</v>
      </c>
      <c r="B41" s="56">
        <v>4</v>
      </c>
      <c r="C41" s="19" t="s">
        <v>111</v>
      </c>
      <c r="D41" s="14" t="s">
        <v>409</v>
      </c>
    </row>
    <row r="42" spans="1:4">
      <c r="A42" s="17" t="s">
        <v>1289</v>
      </c>
      <c r="B42" s="56">
        <v>5</v>
      </c>
      <c r="C42" s="19" t="s">
        <v>112</v>
      </c>
      <c r="D42" s="14" t="s">
        <v>84</v>
      </c>
    </row>
    <row r="43" spans="1:4">
      <c r="A43" s="17" t="s">
        <v>1289</v>
      </c>
      <c r="B43" s="56">
        <v>6</v>
      </c>
      <c r="C43" s="19" t="s">
        <v>113</v>
      </c>
      <c r="D43" s="14" t="s">
        <v>1290</v>
      </c>
    </row>
    <row r="44" spans="1:4">
      <c r="A44" s="17" t="s">
        <v>1289</v>
      </c>
      <c r="B44" s="56">
        <v>7</v>
      </c>
      <c r="C44" s="19" t="s">
        <v>114</v>
      </c>
      <c r="D44" s="14" t="s">
        <v>1290</v>
      </c>
    </row>
    <row r="45" spans="1:4">
      <c r="A45" s="57" t="s">
        <v>1289</v>
      </c>
      <c r="B45" s="56">
        <v>8</v>
      </c>
      <c r="C45" s="19" t="s">
        <v>115</v>
      </c>
      <c r="D45" s="14" t="s">
        <v>1290</v>
      </c>
    </row>
    <row r="46" spans="1:4" ht="15" thickBot="1">
      <c r="A46" s="58" t="s">
        <v>1289</v>
      </c>
      <c r="B46" s="59">
        <v>9</v>
      </c>
      <c r="C46" s="60" t="s">
        <v>116</v>
      </c>
      <c r="D46" s="61" t="s">
        <v>84</v>
      </c>
    </row>
  </sheetData>
  <phoneticPr fontId="18" type="noConversion"/>
  <conditionalFormatting sqref="D2:D46">
    <cfRule type="cellIs" dxfId="2" priority="1" operator="equal">
      <formula>"N/A"</formula>
    </cfRule>
    <cfRule type="cellIs" dxfId="1" priority="2" operator="equal">
      <formula>"Fail"</formula>
    </cfRule>
    <cfRule type="cellIs" dxfId="0" priority="3" operator="equal">
      <formula>"Pass"</formula>
    </cfRule>
  </conditionalFormatting>
  <dataValidations count="1">
    <dataValidation type="list" allowBlank="1" showInputMessage="1" showErrorMessage="1" sqref="D2:D46" xr:uid="{EB0A399F-BC27-47C7-8038-5BB2B4CD624D}">
      <formula1>"Pass,Fail,N/A"</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8"/>
  <dimension ref="A1:G92"/>
  <sheetViews>
    <sheetView workbookViewId="0">
      <selection activeCell="A14" sqref="A14:G14"/>
    </sheetView>
  </sheetViews>
  <sheetFormatPr defaultRowHeight="15" customHeight="1"/>
  <cols>
    <col min="1" max="1" width="34.6640625" bestFit="1" customWidth="1"/>
    <col min="2" max="2" width="62.6640625" bestFit="1" customWidth="1"/>
  </cols>
  <sheetData>
    <row r="1" spans="1:7" ht="14.4" customHeight="1">
      <c r="A1" s="4" t="s">
        <v>117</v>
      </c>
      <c r="B1" s="4" t="s">
        <v>95</v>
      </c>
      <c r="C1" s="20" t="s">
        <v>72</v>
      </c>
      <c r="D1" s="20" t="s">
        <v>118</v>
      </c>
      <c r="E1" s="21" t="s">
        <v>119</v>
      </c>
      <c r="F1" s="21" t="s">
        <v>120</v>
      </c>
      <c r="G1" s="21" t="s">
        <v>121</v>
      </c>
    </row>
    <row r="2" spans="1:7" s="3" customFormat="1" ht="14.4">
      <c r="A2" s="42" t="s">
        <v>122</v>
      </c>
      <c r="B2" s="42" t="s">
        <v>123</v>
      </c>
      <c r="C2" s="22" t="s">
        <v>124</v>
      </c>
      <c r="D2" s="23" t="s">
        <v>125</v>
      </c>
      <c r="E2" s="28" t="s">
        <v>30</v>
      </c>
      <c r="F2" s="29" t="s">
        <v>126</v>
      </c>
      <c r="G2" s="28" t="s">
        <v>127</v>
      </c>
    </row>
    <row r="3" spans="1:7" s="3" customFormat="1" ht="14.4">
      <c r="A3" s="42" t="s">
        <v>128</v>
      </c>
      <c r="B3" s="42" t="s">
        <v>408</v>
      </c>
      <c r="C3" s="24" t="s">
        <v>129</v>
      </c>
      <c r="D3" s="25" t="s">
        <v>130</v>
      </c>
      <c r="E3" s="28" t="s">
        <v>131</v>
      </c>
      <c r="F3" s="29" t="s">
        <v>132</v>
      </c>
      <c r="G3" s="28" t="s">
        <v>133</v>
      </c>
    </row>
    <row r="4" spans="1:7" s="3" customFormat="1" ht="14.4" customHeight="1">
      <c r="A4" s="42" t="s">
        <v>128</v>
      </c>
      <c r="B4" s="42" t="s">
        <v>134</v>
      </c>
      <c r="C4" s="24" t="s">
        <v>135</v>
      </c>
      <c r="D4" s="25" t="s">
        <v>136</v>
      </c>
      <c r="E4" s="28" t="s">
        <v>32</v>
      </c>
      <c r="F4" s="29" t="s">
        <v>137</v>
      </c>
      <c r="G4" s="28" t="s">
        <v>138</v>
      </c>
    </row>
    <row r="5" spans="1:7" s="3" customFormat="1" ht="14.4">
      <c r="A5" s="42" t="s">
        <v>139</v>
      </c>
      <c r="B5" s="42" t="s">
        <v>140</v>
      </c>
      <c r="C5" s="24" t="s">
        <v>141</v>
      </c>
      <c r="D5" s="25" t="s">
        <v>142</v>
      </c>
      <c r="E5" s="28" t="s">
        <v>33</v>
      </c>
      <c r="F5" s="29" t="s">
        <v>143</v>
      </c>
      <c r="G5" s="28" t="s">
        <v>144</v>
      </c>
    </row>
    <row r="6" spans="1:7" s="3" customFormat="1" ht="14.4">
      <c r="A6" s="42" t="s">
        <v>139</v>
      </c>
      <c r="B6" s="42" t="s">
        <v>145</v>
      </c>
      <c r="C6" s="24" t="s">
        <v>146</v>
      </c>
      <c r="D6" s="25" t="s">
        <v>147</v>
      </c>
      <c r="E6" s="28" t="s">
        <v>148</v>
      </c>
      <c r="F6" s="29" t="s">
        <v>149</v>
      </c>
      <c r="G6" s="29" t="s">
        <v>150</v>
      </c>
    </row>
    <row r="7" spans="1:7" s="3" customFormat="1" ht="14.4">
      <c r="A7" s="42" t="s">
        <v>139</v>
      </c>
      <c r="B7" s="42" t="s">
        <v>151</v>
      </c>
      <c r="C7" s="24" t="s">
        <v>152</v>
      </c>
      <c r="D7" s="25" t="s">
        <v>153</v>
      </c>
      <c r="E7" s="28" t="s">
        <v>154</v>
      </c>
      <c r="F7" s="29" t="s">
        <v>155</v>
      </c>
      <c r="G7" s="28" t="s">
        <v>156</v>
      </c>
    </row>
    <row r="8" spans="1:7" s="3" customFormat="1" ht="14.4">
      <c r="A8" s="42" t="s">
        <v>139</v>
      </c>
      <c r="B8" s="42" t="s">
        <v>157</v>
      </c>
      <c r="C8" s="24" t="s">
        <v>158</v>
      </c>
      <c r="D8" s="25" t="s">
        <v>159</v>
      </c>
      <c r="E8" s="28" t="s">
        <v>160</v>
      </c>
      <c r="F8" s="29" t="s">
        <v>161</v>
      </c>
      <c r="G8" s="28" t="s">
        <v>162</v>
      </c>
    </row>
    <row r="9" spans="1:7" s="3" customFormat="1" ht="14.4">
      <c r="A9" s="42" t="s">
        <v>139</v>
      </c>
      <c r="B9" s="42" t="s">
        <v>163</v>
      </c>
      <c r="C9" s="24" t="s">
        <v>164</v>
      </c>
      <c r="D9" s="25" t="s">
        <v>165</v>
      </c>
      <c r="E9" s="28" t="s">
        <v>166</v>
      </c>
      <c r="F9" s="29" t="s">
        <v>167</v>
      </c>
      <c r="G9" s="28" t="s">
        <v>168</v>
      </c>
    </row>
    <row r="10" spans="1:7" s="3" customFormat="1" ht="14.4">
      <c r="A10" s="42" t="s">
        <v>139</v>
      </c>
      <c r="B10" s="42" t="s">
        <v>169</v>
      </c>
      <c r="C10" s="24" t="s">
        <v>170</v>
      </c>
      <c r="D10" s="25" t="s">
        <v>171</v>
      </c>
      <c r="E10" s="28" t="s">
        <v>172</v>
      </c>
      <c r="F10" s="29" t="s">
        <v>173</v>
      </c>
      <c r="G10" s="28" t="s">
        <v>174</v>
      </c>
    </row>
    <row r="11" spans="1:7" s="3" customFormat="1" ht="14.4">
      <c r="A11" s="42" t="s">
        <v>175</v>
      </c>
      <c r="B11" s="42" t="s">
        <v>176</v>
      </c>
      <c r="C11" s="24" t="s">
        <v>177</v>
      </c>
      <c r="D11" s="25" t="s">
        <v>178</v>
      </c>
      <c r="E11" s="28" t="s">
        <v>179</v>
      </c>
      <c r="F11" s="29" t="s">
        <v>180</v>
      </c>
      <c r="G11" s="28" t="s">
        <v>181</v>
      </c>
    </row>
    <row r="12" spans="1:7" ht="14.4">
      <c r="A12" s="42" t="s">
        <v>182</v>
      </c>
      <c r="B12" s="42" t="s">
        <v>183</v>
      </c>
      <c r="C12" s="24" t="s">
        <v>184</v>
      </c>
      <c r="D12" s="25" t="s">
        <v>185</v>
      </c>
      <c r="E12" s="28" t="s">
        <v>186</v>
      </c>
      <c r="F12" s="29" t="s">
        <v>187</v>
      </c>
      <c r="G12" s="28" t="s">
        <v>188</v>
      </c>
    </row>
    <row r="13" spans="1:7" ht="14.4">
      <c r="A13" s="42" t="s">
        <v>189</v>
      </c>
      <c r="B13" s="42" t="s">
        <v>190</v>
      </c>
      <c r="C13" s="24" t="s">
        <v>191</v>
      </c>
      <c r="D13" s="25" t="s">
        <v>192</v>
      </c>
      <c r="E13" s="28" t="s">
        <v>193</v>
      </c>
      <c r="F13" s="29" t="s">
        <v>194</v>
      </c>
      <c r="G13" s="28" t="s">
        <v>195</v>
      </c>
    </row>
    <row r="14" spans="1:7" ht="14.4">
      <c r="A14" s="42" t="s">
        <v>196</v>
      </c>
      <c r="B14" s="42" t="s">
        <v>197</v>
      </c>
      <c r="C14" s="24" t="s">
        <v>198</v>
      </c>
      <c r="D14" s="25" t="s">
        <v>199</v>
      </c>
      <c r="E14" s="28" t="s">
        <v>39</v>
      </c>
      <c r="F14" s="29" t="s">
        <v>200</v>
      </c>
      <c r="G14" s="28" t="s">
        <v>201</v>
      </c>
    </row>
    <row r="15" spans="1:7" ht="14.4">
      <c r="A15" s="42" t="s">
        <v>202</v>
      </c>
      <c r="B15" s="42" t="s">
        <v>202</v>
      </c>
      <c r="C15" s="24" t="s">
        <v>203</v>
      </c>
      <c r="D15" s="25" t="s">
        <v>204</v>
      </c>
      <c r="E15" s="28" t="s">
        <v>42</v>
      </c>
      <c r="F15" s="29" t="s">
        <v>205</v>
      </c>
      <c r="G15" s="28" t="s">
        <v>206</v>
      </c>
    </row>
    <row r="16" spans="1:7" ht="14.4">
      <c r="A16" s="42" t="s">
        <v>207</v>
      </c>
      <c r="B16" s="42" t="s">
        <v>207</v>
      </c>
      <c r="C16" s="24" t="s">
        <v>208</v>
      </c>
      <c r="D16" s="25" t="s">
        <v>209</v>
      </c>
      <c r="E16" s="28" t="s">
        <v>210</v>
      </c>
      <c r="F16" s="29" t="s">
        <v>211</v>
      </c>
      <c r="G16" s="28" t="s">
        <v>212</v>
      </c>
    </row>
    <row r="17" spans="1:7" ht="14.4">
      <c r="A17" s="42" t="s">
        <v>213</v>
      </c>
      <c r="B17" s="42" t="s">
        <v>213</v>
      </c>
      <c r="C17" s="24" t="s">
        <v>214</v>
      </c>
      <c r="D17" s="25" t="s">
        <v>215</v>
      </c>
      <c r="E17" s="28" t="s">
        <v>45</v>
      </c>
      <c r="F17" s="29" t="s">
        <v>216</v>
      </c>
      <c r="G17" s="28" t="s">
        <v>217</v>
      </c>
    </row>
    <row r="18" spans="1:7" ht="14.4">
      <c r="A18" s="42" t="s">
        <v>218</v>
      </c>
      <c r="B18" s="42" t="s">
        <v>218</v>
      </c>
      <c r="C18" s="24" t="s">
        <v>219</v>
      </c>
      <c r="D18" s="25" t="s">
        <v>220</v>
      </c>
      <c r="E18" s="28" t="s">
        <v>221</v>
      </c>
      <c r="F18" s="29" t="s">
        <v>222</v>
      </c>
      <c r="G18" s="28" t="s">
        <v>223</v>
      </c>
    </row>
    <row r="19" spans="1:7" ht="14.4">
      <c r="A19" s="42"/>
      <c r="B19" s="42"/>
      <c r="C19" s="24" t="s">
        <v>224</v>
      </c>
      <c r="D19" s="25" t="s">
        <v>225</v>
      </c>
      <c r="E19" s="28" t="s">
        <v>47</v>
      </c>
      <c r="F19" s="29" t="s">
        <v>226</v>
      </c>
      <c r="G19" s="28" t="s">
        <v>227</v>
      </c>
    </row>
    <row r="20" spans="1:7" ht="14.4">
      <c r="A20" s="42"/>
      <c r="B20" s="42"/>
      <c r="C20" s="24" t="s">
        <v>228</v>
      </c>
      <c r="D20" s="25" t="s">
        <v>229</v>
      </c>
      <c r="E20" s="28" t="s">
        <v>49</v>
      </c>
      <c r="F20" s="29" t="s">
        <v>230</v>
      </c>
      <c r="G20" s="29" t="s">
        <v>231</v>
      </c>
    </row>
    <row r="21" spans="1:7" ht="14.4">
      <c r="A21" s="42"/>
      <c r="B21" s="42"/>
      <c r="C21" s="24" t="s">
        <v>232</v>
      </c>
      <c r="D21" s="25" t="s">
        <v>233</v>
      </c>
      <c r="E21" s="28" t="s">
        <v>234</v>
      </c>
      <c r="F21" s="29" t="s">
        <v>235</v>
      </c>
      <c r="G21" s="28" t="s">
        <v>236</v>
      </c>
    </row>
    <row r="22" spans="1:7" ht="14.4">
      <c r="A22" s="42"/>
      <c r="B22" s="42"/>
      <c r="C22" s="24" t="s">
        <v>237</v>
      </c>
      <c r="D22" s="25" t="s">
        <v>238</v>
      </c>
      <c r="E22" s="28" t="s">
        <v>239</v>
      </c>
      <c r="F22" s="29" t="s">
        <v>240</v>
      </c>
      <c r="G22" s="28" t="s">
        <v>241</v>
      </c>
    </row>
    <row r="23" spans="1:7" ht="14.4">
      <c r="C23" s="24" t="s">
        <v>242</v>
      </c>
      <c r="D23" s="25" t="s">
        <v>243</v>
      </c>
      <c r="E23" s="28" t="s">
        <v>244</v>
      </c>
      <c r="F23" s="29" t="s">
        <v>245</v>
      </c>
      <c r="G23" s="29" t="s">
        <v>246</v>
      </c>
    </row>
    <row r="24" spans="1:7" ht="14.4">
      <c r="C24" s="24" t="s">
        <v>247</v>
      </c>
      <c r="D24" s="25" t="s">
        <v>248</v>
      </c>
      <c r="E24" s="28" t="s">
        <v>249</v>
      </c>
      <c r="F24" s="29" t="s">
        <v>250</v>
      </c>
      <c r="G24" s="28" t="s">
        <v>251</v>
      </c>
    </row>
    <row r="25" spans="1:7" ht="14.4">
      <c r="C25" s="24" t="s">
        <v>252</v>
      </c>
      <c r="D25" s="25" t="s">
        <v>253</v>
      </c>
      <c r="E25" s="28" t="s">
        <v>254</v>
      </c>
      <c r="F25" s="29" t="s">
        <v>255</v>
      </c>
      <c r="G25" s="28" t="s">
        <v>256</v>
      </c>
    </row>
    <row r="26" spans="1:7" ht="14.4">
      <c r="C26" s="24" t="s">
        <v>257</v>
      </c>
      <c r="D26" s="25" t="s">
        <v>258</v>
      </c>
      <c r="E26" s="28" t="s">
        <v>54</v>
      </c>
      <c r="F26" s="29" t="s">
        <v>259</v>
      </c>
      <c r="G26" s="28" t="s">
        <v>260</v>
      </c>
    </row>
    <row r="27" spans="1:7" ht="14.4">
      <c r="C27" s="24" t="s">
        <v>261</v>
      </c>
      <c r="D27" s="25" t="s">
        <v>262</v>
      </c>
      <c r="E27" s="28" t="s">
        <v>263</v>
      </c>
      <c r="F27" s="29" t="s">
        <v>264</v>
      </c>
      <c r="G27" s="28" t="s">
        <v>265</v>
      </c>
    </row>
    <row r="28" spans="1:7" ht="14.4">
      <c r="C28" s="24" t="s">
        <v>266</v>
      </c>
      <c r="D28" s="25" t="s">
        <v>267</v>
      </c>
      <c r="E28" s="28" t="s">
        <v>268</v>
      </c>
      <c r="F28" s="28" t="s">
        <v>269</v>
      </c>
      <c r="G28" s="28" t="s">
        <v>270</v>
      </c>
    </row>
    <row r="29" spans="1:7" ht="14.4">
      <c r="C29" s="24" t="s">
        <v>271</v>
      </c>
      <c r="D29" s="25" t="s">
        <v>272</v>
      </c>
      <c r="E29" s="28"/>
      <c r="F29" s="28"/>
      <c r="G29" s="28"/>
    </row>
    <row r="30" spans="1:7" ht="14.4">
      <c r="C30" s="24" t="s">
        <v>273</v>
      </c>
      <c r="D30" s="25" t="s">
        <v>274</v>
      </c>
      <c r="E30" s="28"/>
      <c r="F30" s="28"/>
      <c r="G30" s="28"/>
    </row>
    <row r="31" spans="1:7" ht="14.4">
      <c r="C31" s="24" t="s">
        <v>275</v>
      </c>
      <c r="D31" s="25" t="s">
        <v>276</v>
      </c>
      <c r="E31" s="28"/>
      <c r="F31" s="28"/>
      <c r="G31" s="28"/>
    </row>
    <row r="32" spans="1:7" ht="14.4">
      <c r="C32" s="24" t="s">
        <v>277</v>
      </c>
      <c r="D32" s="25" t="s">
        <v>278</v>
      </c>
      <c r="E32" s="28"/>
      <c r="F32" s="28"/>
      <c r="G32" s="28"/>
    </row>
    <row r="33" spans="3:7" ht="14.4">
      <c r="C33" s="24" t="s">
        <v>279</v>
      </c>
      <c r="D33" s="25" t="s">
        <v>280</v>
      </c>
      <c r="E33" s="28"/>
      <c r="F33" s="28"/>
      <c r="G33" s="28"/>
    </row>
    <row r="34" spans="3:7" ht="14.4">
      <c r="C34" s="24" t="s">
        <v>281</v>
      </c>
      <c r="D34" s="25" t="s">
        <v>282</v>
      </c>
      <c r="E34" s="28"/>
      <c r="F34" s="28"/>
      <c r="G34" s="28"/>
    </row>
    <row r="35" spans="3:7" ht="14.4">
      <c r="C35" s="24" t="s">
        <v>283</v>
      </c>
      <c r="D35" s="25" t="s">
        <v>284</v>
      </c>
      <c r="E35" s="28"/>
      <c r="F35" s="28"/>
      <c r="G35" s="28"/>
    </row>
    <row r="36" spans="3:7" ht="14.4">
      <c r="C36" s="24" t="s">
        <v>285</v>
      </c>
      <c r="D36" s="25" t="s">
        <v>286</v>
      </c>
      <c r="E36" s="28"/>
      <c r="F36" s="28"/>
      <c r="G36" s="28"/>
    </row>
    <row r="37" spans="3:7" ht="14.4">
      <c r="C37" s="24" t="s">
        <v>287</v>
      </c>
      <c r="D37" s="25" t="s">
        <v>288</v>
      </c>
      <c r="E37" s="28"/>
      <c r="F37" s="28"/>
      <c r="G37" s="28"/>
    </row>
    <row r="38" spans="3:7" ht="14.4">
      <c r="C38" s="24" t="s">
        <v>289</v>
      </c>
      <c r="D38" s="25" t="s">
        <v>290</v>
      </c>
      <c r="E38" s="28"/>
      <c r="F38" s="28"/>
      <c r="G38" s="28"/>
    </row>
    <row r="39" spans="3:7" ht="14.4">
      <c r="C39" s="24" t="s">
        <v>291</v>
      </c>
      <c r="D39" s="25" t="s">
        <v>292</v>
      </c>
      <c r="E39" s="28"/>
      <c r="F39" s="28"/>
      <c r="G39" s="28"/>
    </row>
    <row r="40" spans="3:7" ht="14.4">
      <c r="C40" s="24" t="s">
        <v>293</v>
      </c>
      <c r="D40" s="25" t="s">
        <v>294</v>
      </c>
      <c r="E40" s="28"/>
      <c r="F40" s="28"/>
      <c r="G40" s="28"/>
    </row>
    <row r="41" spans="3:7" ht="14.4">
      <c r="C41" s="24" t="s">
        <v>295</v>
      </c>
      <c r="D41" s="25" t="s">
        <v>296</v>
      </c>
      <c r="E41" s="28"/>
      <c r="F41" s="28"/>
      <c r="G41" s="28"/>
    </row>
    <row r="42" spans="3:7" ht="14.4">
      <c r="C42" s="24" t="s">
        <v>297</v>
      </c>
      <c r="D42" s="25" t="s">
        <v>298</v>
      </c>
      <c r="E42" s="28"/>
      <c r="F42" s="28"/>
      <c r="G42" s="28"/>
    </row>
    <row r="43" spans="3:7" ht="14.4">
      <c r="C43" s="24" t="s">
        <v>299</v>
      </c>
      <c r="D43" s="25" t="s">
        <v>300</v>
      </c>
      <c r="E43" s="28"/>
      <c r="F43" s="28"/>
      <c r="G43" s="28"/>
    </row>
    <row r="44" spans="3:7" ht="14.4">
      <c r="C44" s="24" t="s">
        <v>301</v>
      </c>
      <c r="D44" s="25" t="s">
        <v>116</v>
      </c>
      <c r="E44" s="28"/>
      <c r="F44" s="28"/>
      <c r="G44" s="28"/>
    </row>
    <row r="45" spans="3:7" ht="14.4">
      <c r="C45" s="24" t="s">
        <v>302</v>
      </c>
      <c r="D45" s="25" t="s">
        <v>303</v>
      </c>
      <c r="E45" s="28"/>
      <c r="F45" s="28"/>
      <c r="G45" s="28"/>
    </row>
    <row r="46" spans="3:7" ht="14.4">
      <c r="C46" s="24" t="s">
        <v>304</v>
      </c>
      <c r="D46" s="25" t="s">
        <v>305</v>
      </c>
      <c r="E46" s="28"/>
      <c r="F46" s="28"/>
      <c r="G46" s="28"/>
    </row>
    <row r="47" spans="3:7" ht="14.4">
      <c r="C47" s="24" t="s">
        <v>306</v>
      </c>
      <c r="D47" s="25" t="s">
        <v>307</v>
      </c>
      <c r="E47" s="28"/>
      <c r="F47" s="28"/>
      <c r="G47" s="28"/>
    </row>
    <row r="48" spans="3:7" ht="14.4">
      <c r="C48" s="24" t="s">
        <v>308</v>
      </c>
      <c r="D48" s="25" t="s">
        <v>309</v>
      </c>
      <c r="E48" s="28"/>
      <c r="F48" s="28"/>
      <c r="G48" s="28"/>
    </row>
    <row r="49" spans="3:7" ht="14.4">
      <c r="C49" s="24" t="s">
        <v>310</v>
      </c>
      <c r="D49" s="25" t="s">
        <v>311</v>
      </c>
      <c r="E49" s="28"/>
      <c r="F49" s="28"/>
      <c r="G49" s="28"/>
    </row>
    <row r="50" spans="3:7" ht="14.4">
      <c r="C50" s="24" t="s">
        <v>312</v>
      </c>
      <c r="D50" s="25" t="s">
        <v>313</v>
      </c>
      <c r="E50" s="28"/>
      <c r="F50" s="28"/>
      <c r="G50" s="28"/>
    </row>
    <row r="51" spans="3:7" ht="14.4">
      <c r="C51" s="24" t="s">
        <v>314</v>
      </c>
      <c r="D51" s="25" t="s">
        <v>315</v>
      </c>
      <c r="E51" s="28"/>
      <c r="F51" s="28"/>
      <c r="G51" s="28"/>
    </row>
    <row r="52" spans="3:7" ht="14.4">
      <c r="C52" s="24" t="s">
        <v>316</v>
      </c>
      <c r="D52" s="25" t="s">
        <v>317</v>
      </c>
      <c r="E52" s="28"/>
      <c r="F52" s="28"/>
      <c r="G52" s="28"/>
    </row>
    <row r="53" spans="3:7" ht="14.4">
      <c r="C53" s="24" t="s">
        <v>318</v>
      </c>
      <c r="D53" s="25" t="s">
        <v>319</v>
      </c>
      <c r="E53" s="28"/>
      <c r="F53" s="28"/>
      <c r="G53" s="28"/>
    </row>
    <row r="54" spans="3:7" ht="14.4">
      <c r="C54" s="24" t="s">
        <v>320</v>
      </c>
      <c r="D54" s="25" t="s">
        <v>321</v>
      </c>
      <c r="E54" s="28"/>
      <c r="F54" s="28"/>
      <c r="G54" s="28"/>
    </row>
    <row r="55" spans="3:7" ht="14.4">
      <c r="C55" s="24" t="s">
        <v>322</v>
      </c>
      <c r="D55" s="25" t="s">
        <v>323</v>
      </c>
      <c r="E55" s="28"/>
      <c r="F55" s="28"/>
      <c r="G55" s="28"/>
    </row>
    <row r="56" spans="3:7" ht="14.4">
      <c r="C56" s="24" t="s">
        <v>324</v>
      </c>
      <c r="D56" s="25" t="s">
        <v>325</v>
      </c>
      <c r="E56" s="28"/>
      <c r="F56" s="28"/>
      <c r="G56" s="28"/>
    </row>
    <row r="57" spans="3:7" ht="14.4">
      <c r="C57" s="24" t="s">
        <v>326</v>
      </c>
      <c r="D57" s="25" t="s">
        <v>327</v>
      </c>
      <c r="E57" s="28"/>
      <c r="F57" s="28"/>
      <c r="G57" s="28"/>
    </row>
    <row r="58" spans="3:7" ht="14.4">
      <c r="C58" s="24" t="s">
        <v>328</v>
      </c>
      <c r="D58" s="25" t="s">
        <v>329</v>
      </c>
      <c r="E58" s="28"/>
      <c r="F58" s="28"/>
      <c r="G58" s="28"/>
    </row>
    <row r="59" spans="3:7" ht="14.4">
      <c r="C59" s="24" t="s">
        <v>330</v>
      </c>
      <c r="D59" s="25" t="s">
        <v>331</v>
      </c>
      <c r="E59" s="28"/>
      <c r="F59" s="28"/>
      <c r="G59" s="28"/>
    </row>
    <row r="60" spans="3:7" ht="14.4">
      <c r="C60" s="24" t="s">
        <v>332</v>
      </c>
      <c r="D60" s="25" t="s">
        <v>333</v>
      </c>
      <c r="E60" s="28"/>
      <c r="F60" s="28"/>
      <c r="G60" s="28"/>
    </row>
    <row r="61" spans="3:7" ht="14.4">
      <c r="C61" s="24" t="s">
        <v>334</v>
      </c>
      <c r="D61" s="25" t="s">
        <v>335</v>
      </c>
      <c r="E61" s="28"/>
      <c r="F61" s="28"/>
      <c r="G61" s="28"/>
    </row>
    <row r="62" spans="3:7" ht="14.4">
      <c r="C62" s="24" t="s">
        <v>336</v>
      </c>
      <c r="D62" s="25" t="s">
        <v>337</v>
      </c>
      <c r="E62" s="28"/>
      <c r="F62" s="28"/>
      <c r="G62" s="28"/>
    </row>
    <row r="63" spans="3:7" ht="14.4">
      <c r="C63" s="24" t="s">
        <v>338</v>
      </c>
      <c r="D63" s="25" t="s">
        <v>339</v>
      </c>
      <c r="E63" s="28"/>
      <c r="F63" s="28"/>
      <c r="G63" s="28"/>
    </row>
    <row r="64" spans="3:7" ht="14.4">
      <c r="C64" s="24" t="s">
        <v>340</v>
      </c>
      <c r="D64" s="25" t="s">
        <v>341</v>
      </c>
      <c r="E64" s="28"/>
      <c r="F64" s="28"/>
      <c r="G64" s="28"/>
    </row>
    <row r="65" spans="3:7" ht="14.4">
      <c r="C65" s="24" t="s">
        <v>342</v>
      </c>
      <c r="D65" s="25" t="s">
        <v>343</v>
      </c>
      <c r="E65" s="28"/>
      <c r="F65" s="28"/>
      <c r="G65" s="28"/>
    </row>
    <row r="66" spans="3:7" ht="14.4">
      <c r="C66" s="24" t="s">
        <v>344</v>
      </c>
      <c r="D66" s="25" t="s">
        <v>345</v>
      </c>
      <c r="E66" s="28"/>
      <c r="F66" s="28"/>
      <c r="G66" s="28"/>
    </row>
    <row r="67" spans="3:7" ht="14.4">
      <c r="C67" s="24" t="s">
        <v>346</v>
      </c>
      <c r="D67" s="25" t="s">
        <v>347</v>
      </c>
      <c r="E67" s="28"/>
      <c r="F67" s="28"/>
      <c r="G67" s="28"/>
    </row>
    <row r="68" spans="3:7" ht="14.4">
      <c r="C68" s="24" t="s">
        <v>348</v>
      </c>
      <c r="D68" s="25" t="s">
        <v>349</v>
      </c>
      <c r="E68" s="28"/>
      <c r="F68" s="28"/>
      <c r="G68" s="28"/>
    </row>
    <row r="69" spans="3:7" ht="14.4">
      <c r="C69" s="24" t="s">
        <v>350</v>
      </c>
      <c r="D69" s="25" t="s">
        <v>351</v>
      </c>
      <c r="E69" s="28"/>
      <c r="F69" s="28"/>
      <c r="G69" s="28"/>
    </row>
    <row r="70" spans="3:7" ht="14.4">
      <c r="C70" s="24" t="s">
        <v>352</v>
      </c>
      <c r="D70" s="25" t="s">
        <v>353</v>
      </c>
      <c r="E70" s="28"/>
      <c r="F70" s="28"/>
      <c r="G70" s="28"/>
    </row>
    <row r="71" spans="3:7" ht="14.4">
      <c r="C71" s="24" t="s">
        <v>354</v>
      </c>
      <c r="D71" s="25" t="s">
        <v>355</v>
      </c>
      <c r="E71" s="28"/>
      <c r="F71" s="28"/>
      <c r="G71" s="28"/>
    </row>
    <row r="72" spans="3:7" ht="14.4">
      <c r="C72" s="24" t="s">
        <v>356</v>
      </c>
      <c r="D72" s="25" t="s">
        <v>357</v>
      </c>
      <c r="E72" s="28"/>
      <c r="F72" s="28"/>
      <c r="G72" s="28"/>
    </row>
    <row r="73" spans="3:7" ht="14.4">
      <c r="C73" s="24" t="s">
        <v>358</v>
      </c>
      <c r="D73" s="25" t="s">
        <v>359</v>
      </c>
      <c r="E73" s="28"/>
      <c r="F73" s="28"/>
      <c r="G73" s="28"/>
    </row>
    <row r="74" spans="3:7" ht="14.4">
      <c r="C74" s="24" t="s">
        <v>360</v>
      </c>
      <c r="D74" s="25" t="s">
        <v>361</v>
      </c>
      <c r="E74" s="28"/>
      <c r="F74" s="28"/>
      <c r="G74" s="28"/>
    </row>
    <row r="75" spans="3:7" ht="14.4">
      <c r="C75" s="24" t="s">
        <v>362</v>
      </c>
      <c r="D75" s="25" t="s">
        <v>363</v>
      </c>
      <c r="E75" s="28"/>
      <c r="F75" s="28"/>
      <c r="G75" s="28"/>
    </row>
    <row r="76" spans="3:7" ht="14.4">
      <c r="C76" s="24" t="s">
        <v>364</v>
      </c>
      <c r="D76" s="25" t="s">
        <v>365</v>
      </c>
      <c r="E76" s="28"/>
      <c r="F76" s="28"/>
      <c r="G76" s="28"/>
    </row>
    <row r="77" spans="3:7" ht="14.4">
      <c r="C77" s="24" t="s">
        <v>366</v>
      </c>
      <c r="D77" s="25" t="s">
        <v>367</v>
      </c>
      <c r="E77" s="28"/>
      <c r="F77" s="28"/>
      <c r="G77" s="28"/>
    </row>
    <row r="78" spans="3:7" ht="14.4">
      <c r="C78" s="24" t="s">
        <v>368</v>
      </c>
      <c r="D78" s="25" t="s">
        <v>369</v>
      </c>
      <c r="E78" s="28"/>
      <c r="F78" s="28"/>
      <c r="G78" s="28"/>
    </row>
    <row r="79" spans="3:7" ht="14.4">
      <c r="C79" s="26" t="s">
        <v>370</v>
      </c>
      <c r="D79" s="27" t="s">
        <v>371</v>
      </c>
      <c r="E79" s="28"/>
      <c r="F79" s="28"/>
      <c r="G79" s="28"/>
    </row>
    <row r="80" spans="3:7" ht="14.4">
      <c r="C80" s="25" t="s">
        <v>372</v>
      </c>
      <c r="D80" s="25" t="s">
        <v>373</v>
      </c>
      <c r="E80" s="28"/>
      <c r="F80" s="28"/>
      <c r="G80" s="28"/>
    </row>
    <row r="81" spans="1:7" ht="14.4">
      <c r="A81" s="43"/>
      <c r="B81" s="43"/>
      <c r="C81" s="44" t="s">
        <v>374</v>
      </c>
      <c r="D81" s="44" t="s">
        <v>375</v>
      </c>
      <c r="E81" s="28"/>
      <c r="F81" s="28"/>
      <c r="G81" s="28"/>
    </row>
    <row r="82" spans="1:7" ht="14.4">
      <c r="A82" s="43"/>
      <c r="B82" s="43"/>
      <c r="C82" s="45" t="s">
        <v>376</v>
      </c>
      <c r="D82" s="45" t="s">
        <v>377</v>
      </c>
      <c r="E82" s="28"/>
      <c r="F82" s="28"/>
      <c r="G82" s="28"/>
    </row>
    <row r="83" spans="1:7" ht="14.4">
      <c r="A83" s="43"/>
      <c r="B83" s="43"/>
      <c r="C83" s="44" t="s">
        <v>37</v>
      </c>
      <c r="D83" s="44" t="s">
        <v>378</v>
      </c>
      <c r="E83" s="28"/>
      <c r="F83" s="28"/>
      <c r="G83" s="28"/>
    </row>
    <row r="84" spans="1:7" ht="14.4">
      <c r="A84" s="43"/>
      <c r="B84" s="43"/>
      <c r="C84" s="45" t="s">
        <v>38</v>
      </c>
      <c r="D84" s="45" t="s">
        <v>379</v>
      </c>
      <c r="E84" s="28"/>
      <c r="F84" s="28"/>
      <c r="G84" s="28"/>
    </row>
    <row r="85" spans="1:7" ht="14.4">
      <c r="A85" s="43"/>
      <c r="B85" s="43"/>
      <c r="C85" s="44" t="s">
        <v>380</v>
      </c>
      <c r="D85" s="44" t="s">
        <v>377</v>
      </c>
      <c r="E85" s="28"/>
      <c r="F85" s="28"/>
      <c r="G85" s="28"/>
    </row>
    <row r="86" spans="1:7" ht="14.4">
      <c r="A86" s="43"/>
      <c r="B86" s="43"/>
      <c r="C86" s="25"/>
      <c r="D86" s="25"/>
      <c r="E86" s="28"/>
      <c r="F86" s="28"/>
      <c r="G86" s="28"/>
    </row>
    <row r="87" spans="1:7" ht="14.4">
      <c r="A87" s="43"/>
      <c r="B87" s="43"/>
      <c r="C87" s="25"/>
      <c r="D87" s="25"/>
      <c r="E87" s="28"/>
      <c r="F87" s="28"/>
      <c r="G87" s="28"/>
    </row>
    <row r="88" spans="1:7" ht="14.4">
      <c r="A88" s="43"/>
      <c r="B88" s="43"/>
      <c r="C88" s="25"/>
      <c r="D88" s="25"/>
      <c r="E88" s="28"/>
      <c r="F88" s="28"/>
      <c r="G88" s="28"/>
    </row>
    <row r="89" spans="1:7" ht="14.4">
      <c r="A89" s="43"/>
      <c r="B89" s="43"/>
      <c r="C89" s="25"/>
      <c r="D89" s="25"/>
      <c r="E89" s="28"/>
      <c r="F89" s="28"/>
      <c r="G89" s="28"/>
    </row>
    <row r="90" spans="1:7" ht="14.4">
      <c r="A90" s="43"/>
      <c r="B90" s="43"/>
      <c r="C90" s="25"/>
      <c r="D90" s="25"/>
      <c r="E90" s="28"/>
      <c r="F90" s="28"/>
      <c r="G90" s="28"/>
    </row>
    <row r="91" spans="1:7" ht="14.4">
      <c r="A91" s="43"/>
      <c r="B91" s="43"/>
      <c r="C91" s="25"/>
      <c r="D91" s="25"/>
      <c r="E91" s="28"/>
      <c r="F91" s="28"/>
      <c r="G91" s="28"/>
    </row>
    <row r="92" spans="1:7" ht="14.4">
      <c r="A92" s="43"/>
      <c r="B92" s="43"/>
      <c r="C92" s="25"/>
      <c r="D92" s="25"/>
      <c r="E92" s="28"/>
      <c r="F92" s="28"/>
      <c r="G92" s="28"/>
    </row>
  </sheetData>
  <phoneticPr fontId="18" type="noConversion"/>
  <hyperlinks>
    <hyperlink ref="F2" r:id="rId1" display="../../../../../:w:/r/teams/ACCESSIBILITRISULTATIVERIFICHETECNICHE/Shared Documents/Generale/SCHEDE_REQUISITI/10.1.3.1 Informazioni e correlazioni.docx?d=w16f7613ad3554851b2c89a5ca010a7a2&amp;csf=1&amp;web=1&amp;e=AFWDmi" xr:uid="{B923DD3E-29A2-474B-A98D-51A34B7C2EA8}"/>
    <hyperlink ref="F3" r:id="rId2" display="../../../../../:w:/r/teams/ACCESSIBILITRISULTATIVERIFICHETECNICHE/Shared Documents/Generale/SCHEDE_REQUISITI/10.1.3.2 Sequenza significativa.docx?d=wc358fe04604c46dcad4900207034af1e&amp;csf=1&amp;web=1&amp;e=ovB9eB" xr:uid="{2EBB7A16-9BFD-47DE-B679-DB8B2A59FC0B}"/>
    <hyperlink ref="F4" r:id="rId3" display="../../../../../:w:/r/teams/ACCESSIBILITRISULTATIVERIFICHETECNICHE/Shared Documents/Generale/SCHEDE_REQUISITI/10.1.4.3 Contrasto (minimo).docx?d=wb5da035a086249bca8fc7050a31c158c&amp;csf=1&amp;web=1&amp;e=SVKGXy" xr:uid="{F1902A1E-38B9-494D-A670-771657652556}"/>
    <hyperlink ref="F5" r:id="rId4" display="../../../../../:w:/r/teams/ACCESSIBILITRISULTATIVERIFICHETECNICHE/Shared Documents/Generale/SCHEDE_REQUISITI/10.2.4.2 Titolazione del documento.docx?d=wd1431799a8524b148514a35ac1863838&amp;csf=1&amp;web=1&amp;e=9MpdKG" xr:uid="{422F391F-417B-42BE-8B6B-42B2D839F0B9}"/>
    <hyperlink ref="F6" r:id="rId5" display="../../../../../:w:/r/teams/ACCESSIBILITRISULTATIVERIFICHETECNICHE/Shared Documents/Generale/SCHEDE_REQUISITI/11.1.1.1.1_Contenuti_non_testuali_(funzionalit%C3%A0_aperta).docx?d=w87e8fee9cda64daea0b797bbf7db8184&amp;csf=1&amp;web=1&amp;e=GdUue0" xr:uid="{5F850396-743B-4489-B5B8-68D7F580BFA4}"/>
    <hyperlink ref="G6" r:id="rId6" xr:uid="{7114CAD9-6CF7-4E4F-909C-126FD9A47319}"/>
    <hyperlink ref="F7" r:id="rId7" display="../../../../../:w:/r/teams/ACCESSIBILITRISULTATIVERIFICHETECNICHE/Shared Documents/Generale/SCHEDE_REQUISITI/11.1.3.1.1_Informazioni_e_correlazioni_(funzionalit%C3%A0_aperta).docx?d=w1723de3ac60b4c5f9c588e068a27725a&amp;csf=1&amp;web=1&amp;e=Gv7WM5" xr:uid="{ADACD8D9-795F-4565-8434-2EEB6A03C4F6}"/>
    <hyperlink ref="F8" r:id="rId8" display="../../../../../:w:/r/teams/ACCESSIBILITRISULTATIVERIFICHETECNICHE/Shared Documents/Generale/SCHEDE_REQUISITI/11.1.4.3_Contrasto_(minimo).docx?d=w61b20e8f7ec6428fbe679b262725c98f&amp;csf=1&amp;web=1&amp;e=Pnm4F4" xr:uid="{C2C5DFA7-8526-4EB4-B998-86E0BE25ABEB}"/>
    <hyperlink ref="F9" r:id="rId9" display="../../../../../:w:/r/teams/ACCESSIBILITRISULTATIVERIFICHETECNICHE/Shared Documents/Generale/SCHEDE_REQUISITI/11.1.4.4.1_Ridimensionamento_del_testo_(funzionalit%C3%A0_aperta).docx?d=w48964c94b2224c57bcf3e84b2beb00f2&amp;csf=1&amp;web=1&amp;e=gNF9AI" xr:uid="{97166325-E6AB-418D-9C8E-3A6CFCCBBFF8}"/>
    <hyperlink ref="F10" r:id="rId10" display="../../../../../:w:/r/teams/ACCESSIBILITRISULTATIVERIFICHETECNICHE/Shared Documents/Generale/SCHEDE_REQUISITI/11.2.1.1.1 Tastiera (funzionalit%C3%A0 aperta).docx?d=w62b4d3c4acf14dfd8425f81a2052d5fc&amp;csf=1&amp;web=1&amp;e=hOD3Af" xr:uid="{D8A8FE6D-DD9C-466F-9FF9-F751560834DD}"/>
    <hyperlink ref="F11" r:id="rId11" display="../../../../../:w:/r/teams/ACCESSIBILITRISULTATIVERIFICHETECNICHE/Shared Documents/Generale/SCHEDE_REQUISITI/11.2.4.3_Ordine_del_focus.docx?d=wcb056349c8564b71b5cf8e23274b72d3&amp;csf=1&amp;web=1&amp;e=XCZDB2" xr:uid="{2C9FAD87-AF96-4435-A69E-4120C4EEDB49}"/>
    <hyperlink ref="F12" r:id="rId12" display="../../../../../:w:/r/teams/ACCESSIBILITRISULTATIVERIFICHETECNICHE/Shared Documents/Generale/SCHEDE_REQUISITI/11.2.4.6_Intestazioni_ed_etichette.docx?d=we6de86faee7f485db6c8ae30b4ef3d0f&amp;csf=1&amp;web=1&amp;e=izmYSc" xr:uid="{5F33D428-66F7-465B-A066-C91D2AA475A9}"/>
    <hyperlink ref="F13" r:id="rId13" display="../../../../../:w:/r/teams/ACCESSIBILITRISULTATIVERIFICHETECNICHE/Shared Documents/Generale/SCHEDE_REQUISITI/11.4.1.2.1_Nome,ruolo,valore_(funzionalit%C3%A0_aperta).docx?d=wb96cf3f2554842538f60f52e05fa31f4&amp;csf=1&amp;web=1&amp;e=FzyCQ3" xr:uid="{1A8B6C32-7A6D-4C01-9CAC-849A141B234A}"/>
    <hyperlink ref="F14" r:id="rId14" display="../../../../../:w:/r/teams/ACCESSIBILITRISULTATIVERIFICHETECNICHE/Shared Documents/Generale/SCHEDE_REQUISITI/9.1.1.1 Contenuti non testuali .docx?d=w096cbdf06fa14fbf9d8a34e20106b52f&amp;csf=1&amp;web=1&amp;e=GfrHzT" xr:uid="{35886601-4039-418E-9E47-511B220A6A0F}"/>
    <hyperlink ref="F15" r:id="rId15" display="../../../../../:w:/r/teams/ACCESSIBILITRISULTATIVERIFICHETECNICHE/Shared Documents/Generale/SCHEDE_REQUISITI/9.1.3.1 Informazioni e correlazioni.docx?d=w7a79f28f1f0b4b86bd6f702204ff96de&amp;csf=1&amp;web=1&amp;e=l3sokQ" xr:uid="{0B9A24BC-4626-4E23-8A2C-A478699BEDF6}"/>
    <hyperlink ref="F16" r:id="rId16" display="../../../../../:w:/r/teams/ACCESSIBILITRISULTATIVERIFICHETECNICHE/Shared Documents/Generale/SCHEDE_REQUISITI/9.1.4.10 Ricalcolo del flusso.docx?d=wcab1a4b7ac854b1896f011100ac19e1a&amp;csf=1&amp;web=1&amp;e=olvDEd" xr:uid="{2FB38D79-B664-4760-8904-ECBB511E0FC3}"/>
    <hyperlink ref="F17" r:id="rId17" display="../../../../../:w:/r/teams/ACCESSIBILITRISULTATIVERIFICHETECNICHE/Shared Documents/Generale/SCHEDE_REQUISITI/9.1.4.3 Contrasto (minimo).docx?d=w9f2bd23069d041949f3883a7dbad3f2c&amp;csf=1&amp;web=1&amp;e=tMcxqJ" xr:uid="{CE96305B-4D36-4618-A602-066765E2CDA2}"/>
    <hyperlink ref="F18" r:id="rId18" display="../../../../../:w:/r/teams/ACCESSIBILITRISULTATIVERIFICHETECNICHE/Shared Documents/Generale/SCHEDE_REQUISITI/9.1.4.4 Ridimensionamento del testo.docx?d=wb29e3fb3b6f9461f9c272ad4ae5b9539&amp;csf=1&amp;web=1&amp;e=DsXnvH" xr:uid="{578AABF2-47AF-42BF-9316-696BC1536CD0}"/>
    <hyperlink ref="F19" r:id="rId19" display="../../../../../:w:/r/teams/ACCESSIBILITRISULTATIVERIFICHETECNICHE/Shared Documents/Generale/SCHEDE_REQUISITI/9.2.1.1 Tastiera.docx?d=w7e0af80dcc2f478eb0c964bfb973ea4e&amp;csf=1&amp;web=1&amp;e=1LDvvU" xr:uid="{B2293056-3BD9-4095-A174-BBC1883547B1}"/>
    <hyperlink ref="F20" r:id="rId20" display="../../../../../:w:/r/teams/ACCESSIBILITRISULTATIVERIFICHETECNICHE/Shared Documents/Generale/SCHEDE_REQUISITI/9.2.4.3 Ordine del focus.docx?d=w8cfd3853e81f4868a46cbdbabe5c4d99&amp;csf=1&amp;web=1&amp;e=ii42fw" xr:uid="{EA580CB0-E64E-447F-8433-35CA00FB3C95}"/>
    <hyperlink ref="G20" r:id="rId21" xr:uid="{D5501921-D19D-4A7A-9224-781F47B08C34}"/>
    <hyperlink ref="F21" r:id="rId22" display="../../../../../:w:/r/teams/ACCESSIBILITRISULTATIVERIFICHETECNICHE/Shared Documents/Generale/SCHEDE_REQUISITI/9.2.4.6 Intestazioni ed etichette.docx?d=wf6c9c284bd7149b995df5c13ab23753c&amp;csf=1&amp;web=1&amp;e=ThNYfp" xr:uid="{873F1080-0347-42A6-AFFB-8372B3C9D39C}"/>
    <hyperlink ref="F22" r:id="rId23" display="../../../../../:w:/r/teams/ACCESSIBILITRISULTATIVERIFICHETECNICHE/Shared Documents/Generale/SCHEDE_REQUISITI/9.2.4.7 Focus visibile.docx?d=w1fc5b839f5674a11b612c49a913c44e9&amp;csf=1&amp;web=1&amp;e=8oysv3" xr:uid="{88D3ED54-7772-4999-9F85-2EF3DF769104}"/>
    <hyperlink ref="F23" r:id="rId24" display="../../../../../:w:/r/teams/ACCESSIBILITRISULTATIVERIFICHETECNICHE/Shared Documents/Generale/SCHEDE_REQUISITI/9.2.5.3 Etichetta nel nome.docx?d=w7044ef49b041441cb975967bc49a7316&amp;csf=1&amp;web=1&amp;e=20GbnH" xr:uid="{C84D71EE-7DA4-435D-B6DC-E20CFB8AACEF}"/>
    <hyperlink ref="G23" r:id="rId25" xr:uid="{303D3147-67CC-4856-898B-3584AA639C4D}"/>
    <hyperlink ref="F24" r:id="rId26" display="../../../../../:w:/r/teams/ACCESSIBILITRISULTATIVERIFICHETECNICHE/Shared Documents/Generale/SCHEDE_REQUISITI/9.3.3.1 Identificazione degli errori.docx?d=w7557ede362e04860b5036f0d4737a4b8&amp;csf=1&amp;web=1&amp;e=17zl1d" xr:uid="{CBA204CD-F1B0-409B-86FC-68AB0FB62217}"/>
    <hyperlink ref="F25" r:id="rId27" display="../../../../../:w:/r/teams/ACCESSIBILITRISULTATIVERIFICHETECNICHE/Shared Documents/Generale/SCHEDE_REQUISITI/9.3.3.3 Suggerimenti per gli errori.docx?d=wb025a58cdf8347f6866094fffc511a0b&amp;csf=1&amp;web=1&amp;e=caJkec" xr:uid="{56933023-56CA-4FFA-85C1-98EE30DF5FF8}"/>
    <hyperlink ref="F26" r:id="rId28" display="../../../../../:w:/r/teams/ACCESSIBILITRISULTATIVERIFICHETECNICHE/Shared Documents/Generale/SCHEDE_REQUISITI/9.4.1.2 Nome, ruolo, valore.docx?d=wc532360c915c4d57b69c2d2be6d3c155&amp;csf=1&amp;web=1&amp;e=RZyIkK" xr:uid="{DA30B87C-9B37-4B06-98B7-ED7F15626C3B}"/>
    <hyperlink ref="F27" r:id="rId29" display="../../../../../:w:/r/teams/ACCESSIBILITRISULTATIVERIFICHETECNICHE/Shared Documents/Generale/SCHEDE_REQUISITI/9.4.1.3 Messaggi di stato.docx?d=wcac2bab4ebfc469689210a383cc417e0&amp;csf=1&amp;web=1&amp;e=r7iq8O" xr:uid="{3AF3C34E-7856-4290-8F08-669A44ACE749}"/>
  </hyperlinks>
  <pageMargins left="0.7" right="0.7" top="0.75" bottom="0.75" header="0.3" footer="0.3"/>
  <tableParts count="1">
    <tablePart r:id="rId3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feff129-6b3a-4f43-8172-4fbe361cc799" xsi:nil="true"/>
    <lcf76f155ced4ddcb4097134ff3c332f xmlns="4a953a25-0824-47cb-886e-ac97b2f35636">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A86FE981C806E6459703CE6369C01C57" ma:contentTypeVersion="12" ma:contentTypeDescription="Creare un nuovo documento." ma:contentTypeScope="" ma:versionID="f15fbb7c6bf2e64a65207aeedf689c1e">
  <xsd:schema xmlns:xsd="http://www.w3.org/2001/XMLSchema" xmlns:xs="http://www.w3.org/2001/XMLSchema" xmlns:p="http://schemas.microsoft.com/office/2006/metadata/properties" xmlns:ns2="4a953a25-0824-47cb-886e-ac97b2f35636" xmlns:ns3="8feff129-6b3a-4f43-8172-4fbe361cc799" targetNamespace="http://schemas.microsoft.com/office/2006/metadata/properties" ma:root="true" ma:fieldsID="eafacd27a59b86123be18e2421a1e5a9" ns2:_="" ns3:_="">
    <xsd:import namespace="4a953a25-0824-47cb-886e-ac97b2f35636"/>
    <xsd:import namespace="8feff129-6b3a-4f43-8172-4fbe361cc7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53a25-0824-47cb-886e-ac97b2f356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ag immagine" ma:readOnly="false" ma:fieldId="{5cf76f15-5ced-4ddc-b409-7134ff3c332f}" ma:taxonomyMulti="true" ma:sspId="cdd2b59f-462c-49c5-acd8-2388f751959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feff129-6b3a-4f43-8172-4fbe361cc79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4364477-ef28-4d6b-8f3a-a8ac30fc5d10}" ma:internalName="TaxCatchAll" ma:showField="CatchAllData" ma:web="8feff129-6b3a-4f43-8172-4fbe361cc7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500E92-59EC-4228-BD4F-2B47D95B5656}">
  <ds:schemaRefs>
    <ds:schemaRef ds:uri="http://schemas.microsoft.com/sharepoint/v3/contenttype/forms"/>
  </ds:schemaRefs>
</ds:datastoreItem>
</file>

<file path=customXml/itemProps2.xml><?xml version="1.0" encoding="utf-8"?>
<ds:datastoreItem xmlns:ds="http://schemas.openxmlformats.org/officeDocument/2006/customXml" ds:itemID="{0C73584E-F0BA-4879-A719-9A9335DDCA37}">
  <ds:schemaRefs>
    <ds:schemaRef ds:uri="http://purl.org/dc/dcmitype/"/>
    <ds:schemaRef ds:uri="http://www.w3.org/XML/1998/namespace"/>
    <ds:schemaRef ds:uri="4a953a25-0824-47cb-886e-ac97b2f35636"/>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schemas.microsoft.com/office/infopath/2007/PartnerControls"/>
    <ds:schemaRef ds:uri="8feff129-6b3a-4f43-8172-4fbe361cc799"/>
    <ds:schemaRef ds:uri="http://purl.org/dc/terms/"/>
  </ds:schemaRefs>
</ds:datastoreItem>
</file>

<file path=customXml/itemProps3.xml><?xml version="1.0" encoding="utf-8"?>
<ds:datastoreItem xmlns:ds="http://schemas.openxmlformats.org/officeDocument/2006/customXml" ds:itemID="{BDB15734-DB15-4FDA-8260-3F7413034524}">
  <ds:schemaRefs>
    <ds:schemaRef ds:uri="http://schemas.microsoft.com/DataMashup"/>
  </ds:schemaRefs>
</ds:datastoreItem>
</file>

<file path=customXml/itemProps4.xml><?xml version="1.0" encoding="utf-8"?>
<ds:datastoreItem xmlns:ds="http://schemas.openxmlformats.org/officeDocument/2006/customXml" ds:itemID="{24A38737-94A4-4722-9A78-93F03BDB49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953a25-0824-47cb-886e-ac97b2f35636"/>
    <ds:schemaRef ds:uri="8feff129-6b3a-4f43-8172-4fbe361cc7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prova</vt:lpstr>
      <vt:lpstr>Copertina</vt:lpstr>
      <vt:lpstr>Page Status_Summary</vt:lpstr>
      <vt:lpstr>Pivot</vt:lpstr>
      <vt:lpstr>Not Passed</vt:lpstr>
      <vt:lpstr>PDF Status_Summary</vt:lpstr>
      <vt:lpstr>PDF Issues</vt:lpstr>
      <vt:lpstr>PDF InLab Test</vt:lpstr>
      <vt:lpstr>Dati 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Stella Purziani</dc:creator>
  <cp:keywords/>
  <dc:description/>
  <cp:lastModifiedBy>Leonardo Diamanti</cp:lastModifiedBy>
  <cp:revision/>
  <dcterms:created xsi:type="dcterms:W3CDTF">2022-08-30T14:11:34Z</dcterms:created>
  <dcterms:modified xsi:type="dcterms:W3CDTF">2025-10-06T14:21:41Z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0x010100A86FE981C806E6459703CE6369C01C57</vt:lpwstr>
  </property>
  <property fmtid="{D5CDD505-2E9C-101B-9397-08002B2CF9AE}" pid="3" name="MediaServiceImageTags">
    <vt:lpwstr/>
  </property>
  <property fmtid="{D5CDD505-2E9C-101B-9397-08002B2CF9AE}" pid="4" name="Order">
    <vt:r8>895000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